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2 Dino Spawn Codes" sheetId="1" r:id="rId5"/>
    <sheet state="visible" name="Copy of 112 EngramItem Spawn Co" sheetId="2" r:id="rId6"/>
    <sheet state="visible" name="Copy of VariantsTraits" sheetId="3" r:id="rId7"/>
  </sheets>
  <definedNames>
    <definedName hidden="1" localSheetId="0" name="_xlnm._FilterDatabase">'112 Dino Spawn Codes'!$C$2:$M$452</definedName>
    <definedName hidden="1" localSheetId="1" name="_xlnm._FilterDatabase">'Copy of 112 EngramItem Spawn Co'!$E$2:$J$22</definedName>
    <definedName hidden="1" localSheetId="2" name="_xlnm._FilterDatabase">'Copy of VariantsTraits'!$C$2:$F$84</definedName>
  </definedNames>
  <calcPr/>
</workbook>
</file>

<file path=xl/sharedStrings.xml><?xml version="1.0" encoding="utf-8"?>
<sst xmlns="http://schemas.openxmlformats.org/spreadsheetml/2006/main" count="4318" uniqueCount="4113">
  <si>
    <t>p</t>
  </si>
  <si>
    <t>Savage</t>
  </si>
  <si>
    <t>Tier Order</t>
  </si>
  <si>
    <t>Dino</t>
  </si>
  <si>
    <t>Tier</t>
  </si>
  <si>
    <t>Information</t>
  </si>
  <si>
    <t xml:space="preserve">Information </t>
  </si>
  <si>
    <t>Blueprint</t>
  </si>
  <si>
    <t>Summon Wild</t>
  </si>
  <si>
    <t>Summon Tamed</t>
  </si>
  <si>
    <t>Blueprint Path</t>
  </si>
  <si>
    <t>Dino Spawn</t>
  </si>
  <si>
    <t>Disable Dino - Add to Game.ini - If you remove a tier will ruin the mod progression</t>
  </si>
  <si>
    <t>Savage Achitina</t>
  </si>
  <si>
    <t>Alpha</t>
  </si>
  <si>
    <t>SavageAchatina_Character_BP_S_C</t>
  </si>
  <si>
    <t>/ArkSupreme/Content/SupremeDinos/2Savage/Achitina/SavageAchatina_Character_BP_S_C</t>
  </si>
  <si>
    <t>Savage Allo</t>
  </si>
  <si>
    <t>SavageAllo_Character_BP_S_C</t>
  </si>
  <si>
    <t>/ArkSupreme/Content/SupremeDinos/2Savage/Allo/SavageAllo_Character_BP_S_C</t>
  </si>
  <si>
    <t>Savage Ankylosaurus</t>
  </si>
  <si>
    <t>SavageAnkylo_Character_BP_S_C</t>
  </si>
  <si>
    <t>/ArkSupreme/Content/SupremeDinos/2Savage/Ankylosaurus/SavageAnkylo_Character_BP_S_C</t>
  </si>
  <si>
    <t>Savage Ant</t>
  </si>
  <si>
    <t>SavageAnt_Character_BP_S_C</t>
  </si>
  <si>
    <t>/ArkSupreme/Content/SupremeDinos/2Savage/Ant/SavageAnt_Character_BP_S_C</t>
  </si>
  <si>
    <t>Savage Araneo</t>
  </si>
  <si>
    <t>SavageSpider_Character_BP_S_C</t>
  </si>
  <si>
    <t>/ArkSupreme/Content/SupremeDinos/2Savage/Araneo/SavageSpider_Character_BP_S_C</t>
  </si>
  <si>
    <t>Savage Archaeopteryx</t>
  </si>
  <si>
    <t>SavageArcha_Character_BP_S_C</t>
  </si>
  <si>
    <t>/ArkSupreme/Content/SupremeDinos/2Savage/Archaeopteryx/SavageArcha_Character_BP_S_C</t>
  </si>
  <si>
    <t>Savage Argentavis</t>
  </si>
  <si>
    <t>SavageArgent_Character_BP_S_C</t>
  </si>
  <si>
    <t>/ArkSupreme/Content/SupremeDinos/2Savage/Argentavis/SavageArgent_Character_BP_S_C</t>
  </si>
  <si>
    <t>Savage Arthropluera</t>
  </si>
  <si>
    <t>SavageArthro_Character_BP_S_C</t>
  </si>
  <si>
    <t>/ArkSupreme/Content/SupremeDinos/2Savage/Arthropluera/SavageArthro_Character_BP_S_C</t>
  </si>
  <si>
    <t>Savage Baryonyx</t>
  </si>
  <si>
    <t>SavageBaryonyx_Character_BP_S_C</t>
  </si>
  <si>
    <t>/ArkSupreme/Content/SupremeDinos/2Savage/Baryonyx/SavageBaryonyx_Character_BP_S_C</t>
  </si>
  <si>
    <t>Savage Basilisk</t>
  </si>
  <si>
    <t>Basilisk_Character_BP_Savage_S_C</t>
  </si>
  <si>
    <t>/ArkSupreme/Content/SupremeDinos/2Savage/Basilisk/Basilisk_Character_BP_Savage_S_C</t>
  </si>
  <si>
    <t>Savage Brontosaurus</t>
  </si>
  <si>
    <t>SavageSauropod_Character_BP_S_C</t>
  </si>
  <si>
    <t>/ArkSupreme/Content/SupremeDinos/2Savage/Brontosaurus/SavageSauropod_Character_BP_S_C</t>
  </si>
  <si>
    <t>Savage Broodmother</t>
  </si>
  <si>
    <t>SpiderL_Character_BP_Savage_S_C</t>
  </si>
  <si>
    <t>/ArkSupreme/Content/SupremeDinos/2Savage/Broodmother/SpiderL_Character_BP_Savage_S_C</t>
  </si>
  <si>
    <t>Savage Bulbdog</t>
  </si>
  <si>
    <t>Boss</t>
  </si>
  <si>
    <t>Savage_LanternPug_Character_BP_S_C</t>
  </si>
  <si>
    <t>/ArkSupreme/Content/SupremeDinos/2Savage/Bulbdog/Savage_LanternPug_Character_BP_S_C</t>
  </si>
  <si>
    <t>Savage Carcha</t>
  </si>
  <si>
    <t>SavageCarcha_Character_BP_S_C</t>
  </si>
  <si>
    <t>/ArkSupreme/Content/SupremeDinos/2Savage/Carcha/SavageCarcha_Character_BP_S_C</t>
  </si>
  <si>
    <t>Savage Carno</t>
  </si>
  <si>
    <t>SavageCarno_Character_BP_S_C</t>
  </si>
  <si>
    <t>/ArkSupreme/Content/SupremeDinos/2Savage/Carno/SavageCarno_Character_BP_S_C</t>
  </si>
  <si>
    <t>Savage Castoroides</t>
  </si>
  <si>
    <t>SavageBeaver_Character_BP_S_C</t>
  </si>
  <si>
    <t>/ArkSupreme/Content/SupremeDinos/2Savage/Castoroides/SavageBeaver_Character_BP_S_C</t>
  </si>
  <si>
    <t>Savage Chalicotherium</t>
  </si>
  <si>
    <t>SavageChalico_Character_BP_S_C</t>
  </si>
  <si>
    <t>/ArkSupreme/Content/SupremeDinos/2Savage/Chalicotherium/SavageChalico_Character_BP_S_C</t>
  </si>
  <si>
    <t>Savage Compy</t>
  </si>
  <si>
    <t>SavageCompy_Character_BP_S_C</t>
  </si>
  <si>
    <t>/ArkSupreme/Content/SupremeDinos/2Savage/Compy/SavageCompy_Character_BP_S_C</t>
  </si>
  <si>
    <t>Savage Daeodon</t>
  </si>
  <si>
    <t>SavageDaeodon_Character_BP_S_C</t>
  </si>
  <si>
    <t>/ArkSupreme/Content/SupremeDinos/2Savage/Daeodon/SavageDaeodon_Character_BP_S_C</t>
  </si>
  <si>
    <t>Savage DefenseUnit</t>
  </si>
  <si>
    <t>Defender_Character_BP_Savage_S_C</t>
  </si>
  <si>
    <t>/ArkSupreme/Content/SupremeDinos/2Savage/DefenseUnit/Defender_Character_BP_Savage_S_C</t>
  </si>
  <si>
    <t>Savage Dilo</t>
  </si>
  <si>
    <t>SavageDilo_Character_BP_S_C</t>
  </si>
  <si>
    <t>/ArkSupreme/Content/SupremeDinos/2Savage/Dilo/SavageDilo_Character_BP_S_C</t>
  </si>
  <si>
    <t>Savage Dimetrodon</t>
  </si>
  <si>
    <t>SavageDimetro_Character_BP_S_C</t>
  </si>
  <si>
    <t>/ArkSupreme/Content/SupremeDinos/2Savage/Dimetrodon/SavageDimetro_Character_BP_S_C</t>
  </si>
  <si>
    <t>Savage Dimorphodon</t>
  </si>
  <si>
    <t>SavageDimorph_Character_BP_S_C</t>
  </si>
  <si>
    <t>/ArkSupreme/Content/SupremeDinos/2Savage/Dimorphodon/SavageDimorph_Character_BP_S_C</t>
  </si>
  <si>
    <t>Savage Diplodocus</t>
  </si>
  <si>
    <t>SavageDiplodocus_Character_BP_S_C</t>
  </si>
  <si>
    <t>/ArkSupreme/Content/SupremeDinos/2Savage/Diplodocus/SavageDiplodocus_Character_BP_S_C</t>
  </si>
  <si>
    <t>Savage Direbear</t>
  </si>
  <si>
    <t>SavageDirebear_Character_BP_S_C</t>
  </si>
  <si>
    <t>/ArkSupreme/Content/SupremeDinos/2Savage/Direbear/SavageDirebear_Character_BP_S_C</t>
  </si>
  <si>
    <t>Savage Direwolf</t>
  </si>
  <si>
    <t>SavageDirewolf_Character_BP_S_C</t>
  </si>
  <si>
    <t>/ArkSupreme/Content/SupremeDinos/2Savage/Direwolf/SavageDirewolf_Character_BP_S_C</t>
  </si>
  <si>
    <t>Savage Dodo</t>
  </si>
  <si>
    <t>SavageDodo_Character_BP_S_C</t>
  </si>
  <si>
    <t>/ArkSupreme/Content/SupremeDinos/2Savage/Dodo/SavageDodo_Character_BP_S_C</t>
  </si>
  <si>
    <t>Savage Dodorex</t>
  </si>
  <si>
    <t>DodoRex_Character_BP_Savage_S_C</t>
  </si>
  <si>
    <t>/ArkSupreme/Content/SupremeDinos/2Savage/Dodorex/DodoRex_Character_BP_Savage_S_C</t>
  </si>
  <si>
    <t>Savage Dodowvyern</t>
  </si>
  <si>
    <t>DodoWyvern_Character_BP_Savage_S_C</t>
  </si>
  <si>
    <t>/ArkSupreme/Content/SupremeDinos/2Savage/Dodowvyern/DodoWyvern_Character_BP_Savage_S_C</t>
  </si>
  <si>
    <t>Savage Doedicurus</t>
  </si>
  <si>
    <t>SavageDoed_Character_BP_S_C</t>
  </si>
  <si>
    <t>/ArkSupreme/Content/SupremeDinos/2Savage/Doedicurus/SavageDoed_Character_BP_S_C</t>
  </si>
  <si>
    <t>Savage Dragonfly</t>
  </si>
  <si>
    <t>SavageDragonfly_Character_BP_S_C</t>
  </si>
  <si>
    <t>/ArkSupreme/Content/SupremeDinos/2Savage/Dragonfly/SavageDragonfly_Character_BP_S_C</t>
  </si>
  <si>
    <t>Savage Dungbeetle</t>
  </si>
  <si>
    <t>SavageDungBeetle_Character_BP_S_C</t>
  </si>
  <si>
    <t>/ArkSupreme/Content/SupremeDinos/2Savage/Dungbeetle/SavageDungBeetle_Character_BP_S_C</t>
  </si>
  <si>
    <t>Savage Enforcer</t>
  </si>
  <si>
    <t>Enforcer_Character_BP_Savage_S_C</t>
  </si>
  <si>
    <t>/ArkSupreme/Content/SupremeDinos/2Savage/Enforcer/Enforcer_Character_BP_Savage_S_C</t>
  </si>
  <si>
    <t>Savage Equus</t>
  </si>
  <si>
    <t>SavageEquus_Character_BP_S_C</t>
  </si>
  <si>
    <t>/ArkSupreme/Content/SupremeDinos/2Savage/Equus/SavageEquus_Character_BP_S_C</t>
  </si>
  <si>
    <t>Savage Featherlight</t>
  </si>
  <si>
    <t>LanternBird_Character_BP_Savage_S_C</t>
  </si>
  <si>
    <t>/ArkSupreme/Content/SupremeDinos/2Savage/Featherlight/LanternBird_Character_BP_Savage_S_C</t>
  </si>
  <si>
    <t>Savage Frog</t>
  </si>
  <si>
    <t>SavageToad_Character_BP_S_C</t>
  </si>
  <si>
    <t>/ArkSupreme/Content/SupremeDinos/2Savage/Frog/SavageToad_Character_BP_S_C</t>
  </si>
  <si>
    <t>Savage Gallimimus</t>
  </si>
  <si>
    <t>SavageGalli_Character_BP_S_C</t>
  </si>
  <si>
    <t>/ArkSupreme/Content/SupremeDinos/2Savage/Gallimimus/SavageGalli_Character_BP_S_C</t>
  </si>
  <si>
    <t>Savage Gasbag</t>
  </si>
  <si>
    <t>GasBags_Character_BP_Savage_S_C</t>
  </si>
  <si>
    <t>/ArkSupreme/Content/SupremeDinos/2Savage/Gasbag/GasBags_Character_BP_Savage_S_C</t>
  </si>
  <si>
    <t>Savage Giga</t>
  </si>
  <si>
    <t>SavageGigant_Character_BP_S_C</t>
  </si>
  <si>
    <t>/ArkSupreme/Content/SupremeDinos/2Savage/Giga/SavageGigant_Character_BP_S_C</t>
  </si>
  <si>
    <t>Savage Gigantopithecus</t>
  </si>
  <si>
    <t>SavageBigfoot_Character_BP_S_C</t>
  </si>
  <si>
    <t>/ArkSupreme/Content/SupremeDinos/2Savage/Gigantopithecus/SavageBigfoot_Character_BP_S_C</t>
  </si>
  <si>
    <t>Savage Glowtail</t>
  </si>
  <si>
    <t>LanternLizard_Character_BP_Savage_S_C</t>
  </si>
  <si>
    <t>/ArkSupreme/Content/SupremeDinos/2Savage/Glowtail/LanternLizard_Character_BP_Savage_S_C</t>
  </si>
  <si>
    <t>Savage Gorilla</t>
  </si>
  <si>
    <t>Gorilla_Character_BP_Savage_S_C</t>
  </si>
  <si>
    <t>/ArkSupreme/Content/SupremeDinos/2Savage/Gorilla/Gorilla_Character_BP_Savage_S_C</t>
  </si>
  <si>
    <t>Savage Hesperornis</t>
  </si>
  <si>
    <t>SavageHesperornis_Character_BP_S_C</t>
  </si>
  <si>
    <t>cheat summon Alpha_LanternPug_Character_BP</t>
  </si>
  <si>
    <t>admincheat GMSummon "Alpha_LanternPug_Character_BP" 225</t>
  </si>
  <si>
    <t>/ArkSupreme/Content/SupremeDinos/2Savage/Hesperornis/SavageHesperornis_Character_BP_S_C</t>
  </si>
  <si>
    <t>NPCReplacements=(FromClassName="Alpha_LanternPug_Character_BP",ToClassName="")</t>
  </si>
  <si>
    <t>Savage Hyena</t>
  </si>
  <si>
    <t>SavageHyaenodon_Character_BP_S_C</t>
  </si>
  <si>
    <t>/ArkSupreme/Content/SupremeDinos/2Savage/Hyena/SavageHyaenodon_Character_BP_S_C</t>
  </si>
  <si>
    <t>Savage Iguanodon</t>
  </si>
  <si>
    <t>SavageIguanodon_Character_BP_S_C</t>
  </si>
  <si>
    <t>/ArkSupreme/Content/SupremeDinos/2Savage/Iguanodon/SavageIguanodon_Character_BP_S_C</t>
  </si>
  <si>
    <t>Savage Jerboa</t>
  </si>
  <si>
    <t>Jerboa_Character_BP_Savage_S_C</t>
  </si>
  <si>
    <t>/ArkSupreme/Content/SupremeDinos/2Savage/Jerboa/Jerboa_Character_BP_Savage_S_C</t>
  </si>
  <si>
    <t>Savage Kairuku</t>
  </si>
  <si>
    <t>SavageKairuku_Character_BP_S_C</t>
  </si>
  <si>
    <t>/ArkSupreme/Content/SupremeDinos/2Savage/Kairuku/SavageKairuku_Character_BP_S_C</t>
  </si>
  <si>
    <t>Savage Kaprosuchus</t>
  </si>
  <si>
    <t>SavageKaprosuchus_Character_BP_S_C</t>
  </si>
  <si>
    <t>/ArkSupreme/Content/SupremeDinos/2Savage/Kaprosuchus/SavageKaprosuchus_Character_BP_S_C</t>
  </si>
  <si>
    <t>Savage Karkinos</t>
  </si>
  <si>
    <t>Crab_Character_BP_Savage_S_C</t>
  </si>
  <si>
    <t>/ArkSupreme/Content/SupremeDinos/2Savage/Karkinos/Crab_Character_BP_Savage_S_C</t>
  </si>
  <si>
    <t>Savage Kentro</t>
  </si>
  <si>
    <t>SavageKentro_Character_BP_S_C</t>
  </si>
  <si>
    <t>/ArkSupreme/Content/SupremeDinos/2Savage/Kentro/SavageKentro_Character_BP_S_C</t>
  </si>
  <si>
    <t>Savage Lystro</t>
  </si>
  <si>
    <t>SavageLystro_Character_BP_S_C</t>
  </si>
  <si>
    <t>/ArkSupreme/Content/SupremeDinos/2Savage/Lystro/SavageLystro_Character_BP_S_C</t>
  </si>
  <si>
    <t>Savage Mammoth</t>
  </si>
  <si>
    <t>SavageMammoth_Character_BP_S_C</t>
  </si>
  <si>
    <t>/ArkSupreme/Content/SupremeDinos/2Savage/Mammoth/SavageMammoth_Character_BP_S_C</t>
  </si>
  <si>
    <t>Savage Managarm</t>
  </si>
  <si>
    <t>IceJumper_Character_BP_Savage_S_C</t>
  </si>
  <si>
    <t>/ArkSupreme/Content/SupremeDinos/2Savage/Managarm/IceJumper_Character_BP_Savage_S_C</t>
  </si>
  <si>
    <t>Savage Manticore</t>
  </si>
  <si>
    <t>Manticore_Character_BP_Savage_S_C</t>
  </si>
  <si>
    <t>/ArkSupreme/Content/SupremeDinos/2Savage/Manticore/Manticore_Character_BP_Savage_S_C</t>
  </si>
  <si>
    <t>Savage Mantis</t>
  </si>
  <si>
    <t>Mantis_Character_BP_Savage_S_C</t>
  </si>
  <si>
    <t>/ArkSupreme/Content/SupremeDinos/2Savage/Mantis/Mantis_Character_BP_Savage_S_C</t>
  </si>
  <si>
    <t>Savage Megalania</t>
  </si>
  <si>
    <t>SavageMegalania_Character_BP_S_C</t>
  </si>
  <si>
    <t>/ArkSupreme/Content/SupremeDinos/2Savage/Megalania/SavageMegalania_Character_BP_S_C</t>
  </si>
  <si>
    <t>Savage Megalo</t>
  </si>
  <si>
    <t>SavageMegalosaurus_Character_BP_S_C</t>
  </si>
  <si>
    <t>/ArkSupreme/Content/SupremeDinos/2Savage/Megalo/SavageMegalosaurus_Character_BP_S_C</t>
  </si>
  <si>
    <t>Savage Megaloceros</t>
  </si>
  <si>
    <t>SavageStag_Character_BP_S_C</t>
  </si>
  <si>
    <t>/ArkSupreme/Content/SupremeDinos/2Savage/Megaloceros/SavageStag_Character_BP_S_C</t>
  </si>
  <si>
    <t>Savage Megatherium</t>
  </si>
  <si>
    <t>SavageMegatherium_Character_BP_S_C</t>
  </si>
  <si>
    <t>/ArkSupreme/Content/SupremeDinos/2Savage/Megatherium/SavageMegatherium_Character_BP_S_C</t>
  </si>
  <si>
    <t>Savage Molerat</t>
  </si>
  <si>
    <t>MoleRat_Character_BP_Savage_S_C</t>
  </si>
  <si>
    <t>/ArkSupreme/Content/SupremeDinos/2Savage/Molerat/MoleRat_Character_BP_Savage_S_C</t>
  </si>
  <si>
    <t>Savage Monkey</t>
  </si>
  <si>
    <t>SavageMonkey_Character_BP_S_C</t>
  </si>
  <si>
    <t>/ArkSupreme/Content/SupremeDinos/2Savage/Monkey/SavageMonkey_Character_BP_S_C</t>
  </si>
  <si>
    <t>Savage Morellatops</t>
  </si>
  <si>
    <t xml:space="preserve">Alpha </t>
  </si>
  <si>
    <t>camelsaurus_Character_BP_Savage_S_C</t>
  </si>
  <si>
    <t>/ArkSupreme/Content/SupremeDinos/2Savage/Morellatops/camelsaurus_Character_BP_Savage_S_C</t>
  </si>
  <si>
    <t>Savage Moschops</t>
  </si>
  <si>
    <t>SavageMoschops_Character_BP_S_C</t>
  </si>
  <si>
    <t>/ArkSupreme/Content/SupremeDinos/2Savage/Moschops/SavageMoschops_Character_BP_S_C</t>
  </si>
  <si>
    <t>Savage Moth</t>
  </si>
  <si>
    <t>Moth_Character_BP_Savage_S_C</t>
  </si>
  <si>
    <t>/ArkSupreme/Content/SupremeDinos/2Savage/Moth/Moth_Character_BP_Savage_S_C</t>
  </si>
  <si>
    <t>Savage Nameless</t>
  </si>
  <si>
    <t>ChupaCabra_Character_BP_Savage_S_C</t>
  </si>
  <si>
    <t>/ArkSupreme/Content/SupremeDinos/2Savage/Nameless/ChupaCabra_Character_BP_Savage_S_C</t>
  </si>
  <si>
    <t>Savage Onyc</t>
  </si>
  <si>
    <t>SavageOnyc_Character_BP_S_C</t>
  </si>
  <si>
    <t>/ArkSupreme/Content/SupremeDinos/2Savage/Onyc/SavageOnyc_Character_BP_S_C</t>
  </si>
  <si>
    <t>Savage Otter</t>
  </si>
  <si>
    <t>SavageOtter_Character_BP_S_C</t>
  </si>
  <si>
    <t>/ArkSupreme/Content/SupremeDinos/2Savage/Otter/SavageOtter_Character_BP_S_C</t>
  </si>
  <si>
    <t>Savage Oviraptor</t>
  </si>
  <si>
    <t>SavageOviraptor_Character_BP_S_C</t>
  </si>
  <si>
    <t>/ArkSupreme/Content/SupremeDinos/2Savage/Oviraptor/SavageOviraptor_Character_BP_S_C</t>
  </si>
  <si>
    <t>Savage Ovis</t>
  </si>
  <si>
    <t>SavageOvis_Character_BP_S_C</t>
  </si>
  <si>
    <t>/ArkSupreme/Content/SupremeDinos/2Savage/Ovis/SavageOvis_Character_BP_S_C</t>
  </si>
  <si>
    <t>Savage Owl</t>
  </si>
  <si>
    <t>Owl_Character_BP_Savage_S_C</t>
  </si>
  <si>
    <t>/ArkSupreme/Content/SupremeDinos/2Savage/Owl/Owl_Character_BP_Savage_S_C</t>
  </si>
  <si>
    <t>Savage Pachy</t>
  </si>
  <si>
    <t>SavagePachy_Character_BP_S_C</t>
  </si>
  <si>
    <t>/ArkSupreme/Content/SupremeDinos/2Savage/Pachy/SavagePachy_Character_BP_S_C</t>
  </si>
  <si>
    <t>Savage Pachyrhino</t>
  </si>
  <si>
    <t>SavagePachyrhino_Character_BP_S_C</t>
  </si>
  <si>
    <t>/ArkSupreme/Content/SupremeDinos/2Savage/Pachyrhino/SavagePachyrhino_Character_BP_S_C</t>
  </si>
  <si>
    <t>Savage Paraceratherium</t>
  </si>
  <si>
    <t>SavageParacer_Character_BP_S_C</t>
  </si>
  <si>
    <t>/ArkSupreme/Content/SupremeDinos/2Savage/Paraceratherium/SavageParacer_Character_BP_S_C</t>
  </si>
  <si>
    <t>Savage Parasaur</t>
  </si>
  <si>
    <t>SavagePara_Character_BP_S_C</t>
  </si>
  <si>
    <t>/ArkSupreme/Content/SupremeDinos/2Savage/Parasaur/SavagePara_Character_BP_S_C</t>
  </si>
  <si>
    <t>Savage Pegomastax</t>
  </si>
  <si>
    <t>SavagePegomastax_Character_BP_S_C</t>
  </si>
  <si>
    <t>/ArkSupreme/Content/SupremeDinos/2Savage/Pegomastax/SavagePegomastax_Character_BP_S_C</t>
  </si>
  <si>
    <t>Savage Pelagornis</t>
  </si>
  <si>
    <t>SavagePela_Character_BP_S_C</t>
  </si>
  <si>
    <t>/ArkSupreme/Content/SupremeDinos/2Savage/Pelagornis/SavagePela_Character_BP_S_C</t>
  </si>
  <si>
    <t>Savage Phiomia</t>
  </si>
  <si>
    <t>SavagePhiomia_Character_BP_S_C</t>
  </si>
  <si>
    <t>/ArkSupreme/Content/SupremeDinos/2Savage/Phiomia/SavagePhiomia_Character_BP_S_C</t>
  </si>
  <si>
    <t>Savage Phoenix</t>
  </si>
  <si>
    <t>Phoenix_Character_BP_Savage_S_C</t>
  </si>
  <si>
    <t>/ArkSupreme/Content/SupremeDinos/2Savage/Phoenix/Phoenix_Character_BP_Savage_S_C</t>
  </si>
  <si>
    <t>Savage Procoptodon</t>
  </si>
  <si>
    <t>SavageProcoptodon_Character_BP_S_C</t>
  </si>
  <si>
    <t>/ArkSupreme/Content/SupremeDinos/2Savage/Procoptodon/SavageProcoptodon_Character_BP_S_C</t>
  </si>
  <si>
    <t>Savage Ptera</t>
  </si>
  <si>
    <t>SavagePtero_Character_BP_S_C</t>
  </si>
  <si>
    <t>/ArkSupreme/Content/SupremeDinos/2Savage/Ptera/SavagePtero_Character_BP_S_C</t>
  </si>
  <si>
    <t>Savage PteroTeuthis</t>
  </si>
  <si>
    <t>Pteroteuthis_Character_BP_Savage_S_C</t>
  </si>
  <si>
    <t>/ArkSupreme/Content/SupremeDinos/2Savage/PteroTeuthis/Pteroteuthis_Character_BP_Savage_S_C</t>
  </si>
  <si>
    <t>Savage Pulmonoscorpius</t>
  </si>
  <si>
    <t>SavageScorpion_Character_BP_S_C</t>
  </si>
  <si>
    <t>/ArkSupreme/Content/SupremeDinos/2Savage/Pulmonoscorpius/SavageScorpion_Character_BP_S_C</t>
  </si>
  <si>
    <t>Savage Purlovia</t>
  </si>
  <si>
    <t>SavagePurlovia_Character_BP_S_C</t>
  </si>
  <si>
    <t>/ArkSupreme/Content/SupremeDinos/2Savage/Purlovia/SavagePurlovia_Character_BP_S_C</t>
  </si>
  <si>
    <t>Savage Quetzal</t>
  </si>
  <si>
    <t>SavageQuetz_Character_BP_S_C</t>
  </si>
  <si>
    <t>/ArkSupreme/Content/SupremeDinos/2Savage/Quetzal/SavageQuetz_Character_BP_S_C</t>
  </si>
  <si>
    <t>Savage Raptor</t>
  </si>
  <si>
    <t>SavageRaptor_Character_BP_S_C</t>
  </si>
  <si>
    <t>/ArkSupreme/Content/SupremeDinos/2Savage/Raptor/SavageRaptor_Character_BP_S_C</t>
  </si>
  <si>
    <t>Savage Ravager</t>
  </si>
  <si>
    <t>CaveWolf_Character_BP_Savage_S_C</t>
  </si>
  <si>
    <t>/ArkSupreme/Content/SupremeDinos/2Savage/Ravager/CaveWolf_Character_BP_Savage_S_C</t>
  </si>
  <si>
    <t>Savage Rex</t>
  </si>
  <si>
    <t>SavageRex_Character_BP_S_C</t>
  </si>
  <si>
    <t>/ArkSupreme/Content/SupremeDinos/2Savage/Rex/SavageRex_Character_BP_S_C</t>
  </si>
  <si>
    <t>Savage Rhynio</t>
  </si>
  <si>
    <t>SavageRhynio_Character_BP_S_C</t>
  </si>
  <si>
    <t>/ArkSupreme/Content/SupremeDinos/2Savage/Rhynio/SavageRhynio_Character_BP_S_C</t>
  </si>
  <si>
    <t>Savage Rockdrake</t>
  </si>
  <si>
    <t>RockDrake_Character_BP_Savage_S_C</t>
  </si>
  <si>
    <t>/ArkSupreme/Content/SupremeDinos/2Savage/Rockdrake/RockDrake_Character_BP_Savage_S_C</t>
  </si>
  <si>
    <t>Savage Rockgolem</t>
  </si>
  <si>
    <t>RockGolem_Character_BP_Savage_S_C</t>
  </si>
  <si>
    <t>/ArkSupreme/Content/SupremeDinos/2Savage/Rockgolem/RockGolem_Character_BP_Savage_S_C</t>
  </si>
  <si>
    <t>Savage Sabertooth</t>
  </si>
  <si>
    <t>SavageSaber_Character_BP_S_C</t>
  </si>
  <si>
    <t>/ArkSupreme/Content/SupremeDinos/2Savage/Sabertooth/SavageSaber_Character_BP_S_C</t>
  </si>
  <si>
    <t>Savage Sarco</t>
  </si>
  <si>
    <t>SavageSarco_Character_BP_S_C</t>
  </si>
  <si>
    <t>/ArkSupreme/Content/SupremeDinos/2Savage/Sarco/SavageSarco_Character_BP_S_C</t>
  </si>
  <si>
    <t>Savage Scout</t>
  </si>
  <si>
    <t>Scout_Character_BP_Savage_S_C</t>
  </si>
  <si>
    <t>/ArkSupreme/Content/SupremeDinos/2Savage/Scout/Scout_Character_BP_Savage_S_C</t>
  </si>
  <si>
    <t>Savage Shinehorn</t>
  </si>
  <si>
    <t>LanternGoat_Character_BP_Savage_S_C</t>
  </si>
  <si>
    <t>/ArkSupreme/Content/SupremeDinos/2Savage/Shinehorn/LanternGoat_Character_BP_Savage_S_C</t>
  </si>
  <si>
    <t>Savage Snake</t>
  </si>
  <si>
    <t>SavageBoaFrill_Character_BP_S_C</t>
  </si>
  <si>
    <t>/ArkSupreme/Content/SupremeDinos/2Savage/Snake/SavageBoaFrill_Character_BP_S_C</t>
  </si>
  <si>
    <t>Savage Spinosaurus</t>
  </si>
  <si>
    <t>SavageSpino_Character_BP_S_C</t>
  </si>
  <si>
    <t>/ArkSupreme/Content/SupremeDinos/2Savage/Spinosaurus/SavageSpino_Character_BP_S_C</t>
  </si>
  <si>
    <t>Savage Stego</t>
  </si>
  <si>
    <t>SavageStego_Character_BP_C</t>
  </si>
  <si>
    <t>/ArkSupreme/Content/SupremeDinos/2Savage/Stego/SavageStego_Character_BP_C</t>
  </si>
  <si>
    <t>Savage Tapejara</t>
  </si>
  <si>
    <t>SavageTapejara_Character_BP_S_C</t>
  </si>
  <si>
    <t>/ArkSupreme/Content/SupremeDinos/2Savage/Tapejara/SavageTapejara_Character_BP_S_C</t>
  </si>
  <si>
    <t>Savage TerrorBird</t>
  </si>
  <si>
    <t>SavageTerrorBird_Character_BP_S_C</t>
  </si>
  <si>
    <t>/ArkSupreme/Content/SupremeDinos/2Savage/TerrorBird/SavageTerrorBird_Character_BP_S_C</t>
  </si>
  <si>
    <t>Savage Therizinosaurus</t>
  </si>
  <si>
    <t>SavageTherizino_Character_BP_S_C</t>
  </si>
  <si>
    <t>/ArkSupreme/Content/SupremeDinos/2Savage/Therizinosaurus/SavageTherizino_Character_BP_S_C</t>
  </si>
  <si>
    <t>Savage Thornydragon</t>
  </si>
  <si>
    <t>SpineyLizard_Character_BP_Savage_S_C</t>
  </si>
  <si>
    <t>/ArkSupreme/Content/SupremeDinos/2Savage/Thornydragon/SpineyLizard_Character_BP_Savage_S_C</t>
  </si>
  <si>
    <t>Savage Thyla</t>
  </si>
  <si>
    <t>SavageThylacoleo_Character_BP_S_C</t>
  </si>
  <si>
    <t>/ArkSupreme/Content/SupremeDinos/2Savage/Thyla/SavageThylacoleo_Character_BP_S_C</t>
  </si>
  <si>
    <t>Savage Titanosaur</t>
  </si>
  <si>
    <t>SavageTitanosaur_Character_BP_S_C</t>
  </si>
  <si>
    <t>/ArkSupreme/Content/SupremeDinos/2Savage/Titanosaur/SavageTitanosaur_Character_BP_S_C</t>
  </si>
  <si>
    <t>Savage Trike</t>
  </si>
  <si>
    <t>SavageTrike_Character_BP_S_C</t>
  </si>
  <si>
    <t>/ArkSupreme/Content/SupremeDinos/2Savage/Trike/SavageTrike_Character_BP_S_C</t>
  </si>
  <si>
    <t>Savage Troodon</t>
  </si>
  <si>
    <t>SavageTroodon_Character_BP_S_C</t>
  </si>
  <si>
    <t>/ArkSupreme/Content/SupremeDinos/2Savage/Troodon/SavageTroodon_Character_BP_S_C</t>
  </si>
  <si>
    <t>Savage Turkey</t>
  </si>
  <si>
    <t>SavageTurkey_Character_BP_S_C</t>
  </si>
  <si>
    <t>/ArkSupreme/Content/SupremeDinos/2Savage/Turkey/SavageTurkey_Character_BP_S_C</t>
  </si>
  <si>
    <t>Savage Turtle</t>
  </si>
  <si>
    <t>SavageTurtle_Character_BP_S_C</t>
  </si>
  <si>
    <t>/ArkSupreme/Content/SupremeDinos/2Savage/Turtle/SavageTurtle_Character_BP_S_C</t>
  </si>
  <si>
    <t>Savage Velonasaur</t>
  </si>
  <si>
    <t>Spindles_Character_BP_Savage_S_C</t>
  </si>
  <si>
    <t>/ArkSupreme/Content/SupremeDinos/2Savage/Velonasaur/Spindles_Character_BP_Savage_S_C</t>
  </si>
  <si>
    <t>Savage Vulture</t>
  </si>
  <si>
    <t>Vulture_Character_BP_Savage_S_C</t>
  </si>
  <si>
    <t>/ArkSupreme/Content/SupremeDinos/2Savage/Vulture/Vulture_Character_BP_Savage_S_C</t>
  </si>
  <si>
    <t>Savage WoollyRhino</t>
  </si>
  <si>
    <t>SavageRhino_Character_BP_S_C</t>
  </si>
  <si>
    <t>/ArkSupreme/Content/SupremeDinos/2Savage/WoollyRhino/SavageRhino_Character_BP_S_C</t>
  </si>
  <si>
    <t>Savage Wyvern_Fire</t>
  </si>
  <si>
    <t>Wyvern_Character_BP_Fire_Savage_S_C</t>
  </si>
  <si>
    <t>/ArkSupreme/Content/SupremeDinos/2Savage/Wyvern_Fire/Wyvern_Character_BP_Fire_Savage_S_C</t>
  </si>
  <si>
    <t>Savage Wyvern_Lightning</t>
  </si>
  <si>
    <t>Wyvern_Character_BP_Lightning_Savage_S_C</t>
  </si>
  <si>
    <t>/ArkSupreme/Content/SupremeDinos/2Savage/Wyvern_Lightning/Wyvern_Character_BP_Lightning_Savage_S_C</t>
  </si>
  <si>
    <t>Savage Wyvern_Poison</t>
  </si>
  <si>
    <t>Wyvern_Character_BP_Poison_Savage_S_C</t>
  </si>
  <si>
    <t>/ArkSupreme/Content/SupremeDinos/2Savage/Wyvern_Poison/Wyvern_Character_BP_Poison_Savage_S_C</t>
  </si>
  <si>
    <t>Savage YiLing</t>
  </si>
  <si>
    <t>YiLing_Character_BP_Savage_S_C</t>
  </si>
  <si>
    <t>/ArkSupreme/Content/SupremeDinos/2Savage/YiLing/YiLing_Character_BP_Savage_S_C</t>
  </si>
  <si>
    <t>Savage Yuty</t>
  </si>
  <si>
    <t>SavageYutyrannus_Character_BP_S_C</t>
  </si>
  <si>
    <t>/ArkSupreme/Content/SupremeDinos/2Savage/Yuty/SavageYutyrannus_Character_BP_S_C</t>
  </si>
  <si>
    <t>Savage parrot</t>
  </si>
  <si>
    <t>Savage_Parrot_Character_BP_S_C</t>
  </si>
  <si>
    <t>/ArkSupreme/Content/SupremeDinos/2Savage/parrot/Savage_Parrot_Character_BP_S_C</t>
  </si>
  <si>
    <t>Toxic</t>
  </si>
  <si>
    <t>Toxic Achitina</t>
  </si>
  <si>
    <t>ToxicAchatina_Character_BP_S_C</t>
  </si>
  <si>
    <t>/ArkSupreme/Content/SupremeDinos/3Toxic/Achitina/ToxicAchatina_Character_BP_S_C</t>
  </si>
  <si>
    <t>Toxic Allo</t>
  </si>
  <si>
    <t>ToxicAllo_Character_BP_S_C</t>
  </si>
  <si>
    <t>/ArkSupreme/Content/SupremeDinos/3Toxic/Allo/ToxicAllo_Character_BP_S_C</t>
  </si>
  <si>
    <t>Toxic Ankylosaurus</t>
  </si>
  <si>
    <t>ToxicAnkylo_Character_BP_S_C</t>
  </si>
  <si>
    <t>/ArkSupreme/Content/SupremeDinos/3Toxic/Ankylosaurus/ToxicAnkylo_Character_BP_S_C</t>
  </si>
  <si>
    <t>Toxic Ant</t>
  </si>
  <si>
    <t>ToxicAnt_Character_BP_S_C</t>
  </si>
  <si>
    <t>/ArkSupreme/Content/SupremeDinos/3Toxic/Ant/ToxicAnt_Character_BP_S_C</t>
  </si>
  <si>
    <t>Toxic Araneo</t>
  </si>
  <si>
    <t>ToxicSpider_Character_BP_S_C</t>
  </si>
  <si>
    <t>/ArkSupreme/Content/SupremeDinos/3Toxic/Araneo/ToxicSpider_Character_BP_S_C</t>
  </si>
  <si>
    <t>Toxic Archaeopteryx</t>
  </si>
  <si>
    <t>ToxicArcha_Character_BP_S_C</t>
  </si>
  <si>
    <t>/ArkSupreme/Content/SupremeDinos/3Toxic/Archaeopteryx/ToxicArcha_Character_BP_S_C</t>
  </si>
  <si>
    <t>Toxic Argentavis</t>
  </si>
  <si>
    <t>ToxicArgent_Character_BP_S_C</t>
  </si>
  <si>
    <t>/ArkSupreme/Content/SupremeDinos/3Toxic/Argentavis/ToxicArgent_Character_BP_S_C</t>
  </si>
  <si>
    <t>Toxic Arthropluera</t>
  </si>
  <si>
    <t>ToxicArthro_Character_BP_S_C</t>
  </si>
  <si>
    <t>/ArkSupreme/Content/SupremeDinos/3Toxic/Arthropluera/ToxicArthro_Character_BP_S_C</t>
  </si>
  <si>
    <t>Toxic Baryonyx</t>
  </si>
  <si>
    <t>ToxicBaryonyx_Character_BP_S_C</t>
  </si>
  <si>
    <t>/ArkSupreme/Content/SupremeDinos/3Toxic/Baryonyx/ToxicBaryonyx_Character_BP_S_C</t>
  </si>
  <si>
    <t>Toxic Basilisk</t>
  </si>
  <si>
    <t>Basilisk_Character_BP_Toxic_S_C</t>
  </si>
  <si>
    <t>/ArkSupreme/Content/SupremeDinos/3Toxic/Basilisk/Basilisk_Character_BP_Toxic_S_C</t>
  </si>
  <si>
    <t>Toxic Brontosaurus</t>
  </si>
  <si>
    <t>ToxicSauropod_Character_BP_S_C</t>
  </si>
  <si>
    <t>/ArkSupreme/Content/SupremeDinos/3Toxic/Brontosaurus/ToxicSauropod_Character_BP_S_C</t>
  </si>
  <si>
    <t>Toxic Broodmother</t>
  </si>
  <si>
    <t>SpiderL_Character_BP_Toxic_S_C</t>
  </si>
  <si>
    <t>/ArkSupreme/Content/SupremeDinos/3Toxic/Broodmother/SpiderL_Character_BP_Toxic_S_C</t>
  </si>
  <si>
    <t>Toxic Bulbdog</t>
  </si>
  <si>
    <t>Toxic_LanternPug_Character_BP_S_C</t>
  </si>
  <si>
    <t>/ArkSupreme/Content/SupremeDinos/3Toxic/Bulbdog/Toxic_LanternPug_Character_BP_S_C</t>
  </si>
  <si>
    <t>Toxic Carcha</t>
  </si>
  <si>
    <t>ToxicCarcha_Character_BP_S_C</t>
  </si>
  <si>
    <t>/ArkSupreme/Content/SupremeDinos/3Toxic/Carcha/ToxicCarcha_Character_BP_S_C</t>
  </si>
  <si>
    <t>Toxic Carno</t>
  </si>
  <si>
    <t>ToxicCarno_Character_BP_S_C</t>
  </si>
  <si>
    <t>/ArkSupreme/Content/SupremeDinos/3Toxic/Carno/ToxicCarno_Character_BP_S_C</t>
  </si>
  <si>
    <t>Toxic Castoroides</t>
  </si>
  <si>
    <t>ToxicBeaver_Character_BP_S_C</t>
  </si>
  <si>
    <t>/ArkSupreme/Content/SupremeDinos/3Toxic/Castoroides/ToxicBeaver_Character_BP_S_C</t>
  </si>
  <si>
    <t>Toxic Chalicotherium</t>
  </si>
  <si>
    <t>ToxicChalico_Character_BP_S_C</t>
  </si>
  <si>
    <t>/ArkSupreme/Content/SupremeDinos/3Toxic/Chalicotherium/ToxicChalico_Character_BP_S_C</t>
  </si>
  <si>
    <t>Toxic Compy</t>
  </si>
  <si>
    <t>ToxicCompy_Character_BP_S_C</t>
  </si>
  <si>
    <t>/ArkSupreme/Content/SupremeDinos/3Toxic/Compy/ToxicCompy_Character_BP_S_C</t>
  </si>
  <si>
    <t>Toxic Daeodon</t>
  </si>
  <si>
    <t>ToxicDaeodon_Character_BP_S_C</t>
  </si>
  <si>
    <t>/ArkSupreme/Content/SupremeDinos/3Toxic/Daeodon/ToxicDaeodon_Character_BP_S_C</t>
  </si>
  <si>
    <t>Toxic DefenseUnit</t>
  </si>
  <si>
    <t>Defender_Character_BP_Toxic_S_C</t>
  </si>
  <si>
    <t>/ArkSupreme/Content/SupremeDinos/3Toxic/DefenseUnit/Defender_Character_BP_Toxic_S_C</t>
  </si>
  <si>
    <t>Toxic Dilo</t>
  </si>
  <si>
    <t>ToxicDilo_Character_BP_S_C</t>
  </si>
  <si>
    <t>/ArkSupreme/Content/SupremeDinos/3Toxic/Dilo/ToxicDilo_Character_BP_S_C</t>
  </si>
  <si>
    <t>Toxic Dimetrodon</t>
  </si>
  <si>
    <t>ToxicDimetro_Character_BP_S_C</t>
  </si>
  <si>
    <t>/ArkSupreme/Content/SupremeDinos/3Toxic/Dimetrodon/ToxicDimetro_Character_BP_S_C</t>
  </si>
  <si>
    <t>Toxic Dimorphodon</t>
  </si>
  <si>
    <t>ToxicDimorph_Character_BP_S_C</t>
  </si>
  <si>
    <t>/ArkSupreme/Content/SupremeDinos/3Toxic/Dimorphodon/ToxicDimorph_Character_BP_S_C</t>
  </si>
  <si>
    <t>Toxic Diplodocus</t>
  </si>
  <si>
    <t>ToxicDiplodocus_Character_BP_S_C</t>
  </si>
  <si>
    <t>/ArkSupreme/Content/SupremeDinos/3Toxic/Diplodocus/ToxicDiplodocus_Character_BP_S_C</t>
  </si>
  <si>
    <t>Toxic Direbear</t>
  </si>
  <si>
    <t>ToxicDirebear_Character_BP_S_C</t>
  </si>
  <si>
    <t>/ArkSupreme/Content/SupremeDinos/3Toxic/Direbear/ToxicDirebear_Character_BP_S_C</t>
  </si>
  <si>
    <t>Toxic Direwolf</t>
  </si>
  <si>
    <t>ToxicDirewolf_Character_BP_S_C</t>
  </si>
  <si>
    <t>/ArkSupreme/Content/SupremeDinos/3Toxic/Direwolf/ToxicDirewolf_Character_BP_S_C</t>
  </si>
  <si>
    <t>Toxic Dodo</t>
  </si>
  <si>
    <t>ToxicDodo_Character_BP_S_C</t>
  </si>
  <si>
    <t>/ArkSupreme/Content/SupremeDinos/3Toxic/Dodo/ToxicDodo_Character_BP_S_C</t>
  </si>
  <si>
    <t>Toxic Dodorex</t>
  </si>
  <si>
    <t>DodoRex_Character_BP_Toxic_S_C</t>
  </si>
  <si>
    <t>/ArkSupreme/Content/SupremeDinos/3Toxic/Dodorex/DodoRex_Character_BP_Toxic_S_C</t>
  </si>
  <si>
    <t>Toxic Dodowvyern</t>
  </si>
  <si>
    <t>DodoWyvern_Character_BP_Toxic_S_C</t>
  </si>
  <si>
    <t>/ArkSupreme/Content/SupremeDinos/3Toxic/Dodowvyern/DodoWyvern_Character_BP_Toxic_S_C</t>
  </si>
  <si>
    <t>Toxic Doedicurus</t>
  </si>
  <si>
    <t>ToxicDoed_Character_BP_S_C</t>
  </si>
  <si>
    <t>/ArkSupreme/Content/SupremeDinos/3Toxic/Doedicurus/ToxicDoed_Character_BP_S_C</t>
  </si>
  <si>
    <t>Toxic Dragonfly</t>
  </si>
  <si>
    <t>ToxicDragonfly_Character_BP_S_C</t>
  </si>
  <si>
    <t>/ArkSupreme/Content/SupremeDinos/3Toxic/Dragonfly/ToxicDragonfly_Character_BP_S_C</t>
  </si>
  <si>
    <t>Toxic Dungbeetle</t>
  </si>
  <si>
    <t>ToxicDungBeetle_Character_BP_S_C</t>
  </si>
  <si>
    <t>/ArkSupreme/Content/SupremeDinos/3Toxic/Dungbeetle/ToxicDungBeetle_Character_BP_S_C</t>
  </si>
  <si>
    <t>Toxic Enforcer</t>
  </si>
  <si>
    <t>Enforcer_Character_BP_Toxic_S_C</t>
  </si>
  <si>
    <t>/ArkSupreme/Content/SupremeDinos/3Toxic/Enforcer/Enforcer_Character_BP_Toxic_S_C</t>
  </si>
  <si>
    <t>Toxic Equus</t>
  </si>
  <si>
    <t>ToxicEquus_Character_BP_S_C</t>
  </si>
  <si>
    <t>/ArkSupreme/Content/SupremeDinos/3Toxic/Equus/ToxicEquus_Character_BP_S_C</t>
  </si>
  <si>
    <t>Toxic Featherlight</t>
  </si>
  <si>
    <t>LanternBird_Character_BP_Toxic_S_C</t>
  </si>
  <si>
    <t>/ArkSupreme/Content/SupremeDinos/3Toxic/Featherlight/LanternBird_Character_BP_Toxic_S_C</t>
  </si>
  <si>
    <t>Toxic Frog</t>
  </si>
  <si>
    <t>ToxicToad_Character_BP_S_C</t>
  </si>
  <si>
    <t>/ArkSupreme/Content/SupremeDinos/3Toxic/Frog/ToxicToad_Character_BP_S_C</t>
  </si>
  <si>
    <t>Toxic Gallimimus</t>
  </si>
  <si>
    <t>ToxicGalli_Character_BP_S_C</t>
  </si>
  <si>
    <t>/ArkSupreme/Content/SupremeDinos/3Toxic/Gallimimus/ToxicGalli_Character_BP_S_C</t>
  </si>
  <si>
    <t>Toxic Gasbag</t>
  </si>
  <si>
    <t>GasBags_Character_BP_Toxic_S_C</t>
  </si>
  <si>
    <t>/ArkSupreme/Content/SupremeDinos/3Toxic/Gasbag/GasBags_Character_BP_Toxic_S_C</t>
  </si>
  <si>
    <t>Toxic Giga</t>
  </si>
  <si>
    <t>ToxicGigant_Character_BP_S_C</t>
  </si>
  <si>
    <t>/ArkSupreme/Content/SupremeDinos/3Toxic/Giga/ToxicGigant_Character_BP_S_C</t>
  </si>
  <si>
    <t>Toxic Gigantopithecus</t>
  </si>
  <si>
    <t>ToxicBigfoot_Character_BP_S_C</t>
  </si>
  <si>
    <t>/ArkSupreme/Content/SupremeDinos/3Toxic/Gigantopithecus/ToxicBigfoot_Character_BP_S_C</t>
  </si>
  <si>
    <t>Toxic Glowtail</t>
  </si>
  <si>
    <t>LanternLizard_Character_BP_Toxic_S_C</t>
  </si>
  <si>
    <t>/ArkSupreme/Content/SupremeDinos/3Toxic/Glowtail/LanternLizard_Character_BP_Toxic_S_C</t>
  </si>
  <si>
    <t>Toxic Gorilla</t>
  </si>
  <si>
    <t>Gorilla_Character_BP_Toxic_S_C</t>
  </si>
  <si>
    <t>/ArkSupreme/Content/SupremeDinos/3Toxic/Gorilla/Gorilla_Character_BP_Toxic_S_C</t>
  </si>
  <si>
    <t>Toxic Hesperornis</t>
  </si>
  <si>
    <t>ToxicHesperornis_Character_BP_S_C</t>
  </si>
  <si>
    <t>/ArkSupreme/Content/SupremeDinos/3Toxic/Hesperornis/ToxicHesperornis_Character_BP_S_C</t>
  </si>
  <si>
    <t>Toxic Hyena</t>
  </si>
  <si>
    <t>ToxicHyaenodon_Character_BP_S_C</t>
  </si>
  <si>
    <t>/ArkSupreme/Content/SupremeDinos/3Toxic/Hyena/ToxicHyaenodon_Character_BP_S_C</t>
  </si>
  <si>
    <t>Toxic Iguanodon</t>
  </si>
  <si>
    <t>ToxicIguanodon_Character_BP_S_C</t>
  </si>
  <si>
    <t>/ArkSupreme/Content/SupremeDinos/3Toxic/Iguanodon/ToxicIguanodon_Character_BP_S_C</t>
  </si>
  <si>
    <t>Toxic Jerboa</t>
  </si>
  <si>
    <t>Jerboa_Character_BP_Toxic_S_C</t>
  </si>
  <si>
    <t>/ArkSupreme/Content/SupremeDinos/3Toxic/Jerboa/Jerboa_Character_BP_Toxic_S_C</t>
  </si>
  <si>
    <t>Toxic Kairuku</t>
  </si>
  <si>
    <t>ToxicKairuku_Character_BP_S_C</t>
  </si>
  <si>
    <t>/ArkSupreme/Content/SupremeDinos/3Toxic/Kairuku/ToxicKairuku_Character_BP_S_C</t>
  </si>
  <si>
    <t>Toxic Kaprosuchus</t>
  </si>
  <si>
    <t>ToxicKaprosuchus_Character_BP_S_C</t>
  </si>
  <si>
    <t>/ArkSupreme/Content/SupremeDinos/3Toxic/Kaprosuchus/ToxicKaprosuchus_Character_BP_S_C</t>
  </si>
  <si>
    <t>Toxic Karkinos</t>
  </si>
  <si>
    <t>Crab_Character_BP_Toxic_S_C</t>
  </si>
  <si>
    <t>/ArkSupreme/Content/SupremeDinos/3Toxic/Karkinos/Crab_Character_BP_Toxic_S_C</t>
  </si>
  <si>
    <t>Toxic Kentro</t>
  </si>
  <si>
    <t>ToxicKentro_Character_BP_S_C</t>
  </si>
  <si>
    <t>/ArkSupreme/Content/SupremeDinos/3Toxic/Kentro/ToxicKentro_Character_BP_S_C</t>
  </si>
  <si>
    <t>Toxic Lystro</t>
  </si>
  <si>
    <t>ToxicLystro_Character_BP_S_C</t>
  </si>
  <si>
    <t>/ArkSupreme/Content/SupremeDinos/3Toxic/Lystro/ToxicLystro_Character_BP_S_C</t>
  </si>
  <si>
    <t>Toxic Mammoth</t>
  </si>
  <si>
    <t>ToxicMammoth_Character_BP_S_C</t>
  </si>
  <si>
    <t>/ArkSupreme/Content/SupremeDinos/3Toxic/Mammoth/ToxicMammoth_Character_BP_S_C</t>
  </si>
  <si>
    <t>Toxic Managarm</t>
  </si>
  <si>
    <t>IceJumper_Character_BP_Toxic_S_C</t>
  </si>
  <si>
    <t>/ArkSupreme/Content/SupremeDinos/3Toxic/Managarm/IceJumper_Character_BP_Toxic_S_C</t>
  </si>
  <si>
    <t>Toxic Manticore</t>
  </si>
  <si>
    <t>Manticore_Character_BP_Toxic_S_C</t>
  </si>
  <si>
    <t>/ArkSupreme/Content/SupremeDinos/3Toxic/Manticore/Manticore_Character_BP_Toxic_S_C</t>
  </si>
  <si>
    <t>Toxic Mantis</t>
  </si>
  <si>
    <t>Mantis_Character_BP_Toxic_S_C</t>
  </si>
  <si>
    <t>/ArkSupreme/Content/SupremeDinos/3Toxic/Mantis/Mantis_Character_BP_Toxic_S_C</t>
  </si>
  <si>
    <t>Toxic Megalania</t>
  </si>
  <si>
    <t>ToxicMegalania_Character_BP_S_C</t>
  </si>
  <si>
    <t>/ArkSupreme/Content/SupremeDinos/3Toxic/Megalania/ToxicMegalania_Character_BP_S_C</t>
  </si>
  <si>
    <t>Toxic Megalo</t>
  </si>
  <si>
    <t>ToxicMegalosaurus_Character_BP_S_C</t>
  </si>
  <si>
    <t>/ArkSupreme/Content/SupremeDinos/3Toxic/Megalo/ToxicMegalosaurus_Character_BP_S_C</t>
  </si>
  <si>
    <t>Toxic Megaloceros</t>
  </si>
  <si>
    <t>ToxicStag_Character_BP_S_C</t>
  </si>
  <si>
    <t>/ArkSupreme/Content/SupremeDinos/3Toxic/Megaloceros/ToxicStag_Character_BP_S_C</t>
  </si>
  <si>
    <t>Toxic Megatherium</t>
  </si>
  <si>
    <t>ToxicMegatherium_Character_BP_S_C</t>
  </si>
  <si>
    <t>/ArkSupreme/Content/SupremeDinos/3Toxic/Megatherium/ToxicMegatherium_Character_BP_S_C</t>
  </si>
  <si>
    <t>Toxic Molerat</t>
  </si>
  <si>
    <t>MoleRat_Character_BP_Toxic_S_C</t>
  </si>
  <si>
    <t>/ArkSupreme/Content/SupremeDinos/3Toxic/Molerat/MoleRat_Character_BP_Toxic_S_C</t>
  </si>
  <si>
    <t>Toxic Monkey</t>
  </si>
  <si>
    <t>ToxicMonkey_Character_BP_S_C</t>
  </si>
  <si>
    <t>/ArkSupreme/Content/SupremeDinos/3Toxic/Monkey/ToxicMonkey_Character_BP_S_C</t>
  </si>
  <si>
    <t>Toxic Morellatops</t>
  </si>
  <si>
    <t>camelsaurus_Character_BP_Toxic_S_C</t>
  </si>
  <si>
    <t>/ArkSupreme/Content/SupremeDinos/3Toxic/Morellatops/camelsaurus_Character_BP_Toxic_S_C</t>
  </si>
  <si>
    <t>Toxic Moschops</t>
  </si>
  <si>
    <t>ToxicMoschops_Character_BP_S_C</t>
  </si>
  <si>
    <t>/ArkSupreme/Content/SupremeDinos/3Toxic/Moschops/ToxicMoschops_Character_BP_S_C</t>
  </si>
  <si>
    <t>Toxic Moth</t>
  </si>
  <si>
    <t>Moth_Character_BP_Toxic_S_C</t>
  </si>
  <si>
    <t>/ArkSupreme/Content/SupremeDinos/3Toxic/Moth/Moth_Character_BP_Toxic_S_C</t>
  </si>
  <si>
    <t>Toxic Nameless</t>
  </si>
  <si>
    <t>ChupaCabra_Character_BP_Toxic_S_C</t>
  </si>
  <si>
    <t>/ArkSupreme/Content/SupremeDinos/3Toxic/Nameless/ChupaCabra_Character_BP_Toxic_S_C</t>
  </si>
  <si>
    <t>Toxic Onyc</t>
  </si>
  <si>
    <t>ToxicOnyc_Character_BP_S_C</t>
  </si>
  <si>
    <t>/ArkSupreme/Content/SupremeDinos/3Toxic/Onyc/ToxicOnyc_Character_BP_S_C</t>
  </si>
  <si>
    <t>Toxic Otter</t>
  </si>
  <si>
    <t>ToxicOtter_Character_BP_S_C</t>
  </si>
  <si>
    <t>/ArkSupreme/Content/SupremeDinos/3Toxic/Otter/ToxicOtter_Character_BP_S_C</t>
  </si>
  <si>
    <t>Toxic Oviraptor</t>
  </si>
  <si>
    <t>ToxicOviraptor_Character_BP_S_C</t>
  </si>
  <si>
    <t>/ArkSupreme/Content/SupremeDinos/3Toxic/Oviraptor/ToxicOviraptor_Character_BP_S_C</t>
  </si>
  <si>
    <t>Toxic Ovis</t>
  </si>
  <si>
    <t>ToxicOvis_Character_BP_S_C</t>
  </si>
  <si>
    <t>/ArkSupreme/Content/SupremeDinos/3Toxic/Ovis/ToxicOvis_Character_BP_S_C</t>
  </si>
  <si>
    <t>Toxic Owl</t>
  </si>
  <si>
    <t>Owl_Character_BP_Toxic_S_C</t>
  </si>
  <si>
    <t>/ArkSupreme/Content/SupremeDinos/3Toxic/Owl/Owl_Character_BP_Toxic_S_C</t>
  </si>
  <si>
    <t>Toxic Pachy</t>
  </si>
  <si>
    <t>ToxicPachy_Character_BP_S_C</t>
  </si>
  <si>
    <t>/ArkSupreme/Content/SupremeDinos/3Toxic/Pachy/ToxicPachy_Character_BP_S_C</t>
  </si>
  <si>
    <t>Toxic Pachyrhino</t>
  </si>
  <si>
    <t>ToxicPachyrhino_Character_BP_S_C</t>
  </si>
  <si>
    <t>/ArkSupreme/Content/SupremeDinos/3Toxic/Pachyrhino/ToxicPachyrhino_Character_BP_S_C</t>
  </si>
  <si>
    <t>Toxic Paraceratherium</t>
  </si>
  <si>
    <t>ToxicParacer_Character_BP_S_C</t>
  </si>
  <si>
    <t>/ArkSupreme/Content/SupremeDinos/3Toxic/Paraceratherium/ToxicParacer_Character_BP_S_C</t>
  </si>
  <si>
    <t>Toxic Parasaur</t>
  </si>
  <si>
    <t>ToxicPara_Character_BP_S_C</t>
  </si>
  <si>
    <t>/ArkSupreme/Content/SupremeDinos/3Toxic/Parasaur/ToxicPara_Character_BP_S_C</t>
  </si>
  <si>
    <t>Toxic Pegomastax</t>
  </si>
  <si>
    <t>ToxicPegomastax_Character_BP_S_C</t>
  </si>
  <si>
    <t>/ArkSupreme/Content/SupremeDinos/3Toxic/Pegomastax/ToxicPegomastax_Character_BP_S_C</t>
  </si>
  <si>
    <t>Toxic Pelagornis</t>
  </si>
  <si>
    <t>ToxicPela_Character_BP_S_C</t>
  </si>
  <si>
    <t>/ArkSupreme/Content/SupremeDinos/3Toxic/Pelagornis/ToxicPela_Character_BP_S_C</t>
  </si>
  <si>
    <t>Toxic Phiomia</t>
  </si>
  <si>
    <t>ToxicPhiomia_Character_BP_S_C</t>
  </si>
  <si>
    <t>/ArkSupreme/Content/SupremeDinos/3Toxic/Phiomia/ToxicPhiomia_Character_BP_S_C</t>
  </si>
  <si>
    <t>Toxic Phoenix</t>
  </si>
  <si>
    <t>Phoenix_Character_BP_Toxic_S_C</t>
  </si>
  <si>
    <t>/ArkSupreme/Content/SupremeDinos/3Toxic/Phoenix/Phoenix_Character_BP_Toxic_S_C</t>
  </si>
  <si>
    <t>Toxic Procoptodon</t>
  </si>
  <si>
    <t>ToxicProcoptodon_Character_BP_S_C</t>
  </si>
  <si>
    <t>/ArkSupreme/Content/SupremeDinos/3Toxic/Procoptodon/ToxicProcoptodon_Character_BP_S_C</t>
  </si>
  <si>
    <t>Toxic Ptera</t>
  </si>
  <si>
    <t>ToxicPtero_Character_BP_S_C</t>
  </si>
  <si>
    <t>/ArkSupreme/Content/SupremeDinos/3Toxic/Ptera/ToxicPtero_Character_BP_S_C</t>
  </si>
  <si>
    <t>Toxic PteroTeuthis</t>
  </si>
  <si>
    <t>Pteroteuthis_Character_BP_Toxic_S_C</t>
  </si>
  <si>
    <t>/ArkSupreme/Content/SupremeDinos/3Toxic/PteroTeuthis/Pteroteuthis_Character_BP_Toxic_S_C</t>
  </si>
  <si>
    <t>Toxic Pulmonoscorpius</t>
  </si>
  <si>
    <t>Apex</t>
  </si>
  <si>
    <t>ToxicScorpion_Character_BP_S_C</t>
  </si>
  <si>
    <t>/ArkSupreme/Content/SupremeDinos/3Toxic/Pulmonoscorpius/ToxicScorpion_Character_BP_S_C</t>
  </si>
  <si>
    <t>Toxic Purlovia</t>
  </si>
  <si>
    <t>ToxicPurlovia_Character_BP_S_C</t>
  </si>
  <si>
    <t>/ArkSupreme/Content/SupremeDinos/3Toxic/Purlovia/ToxicPurlovia_Character_BP_S_C</t>
  </si>
  <si>
    <t>Toxic Quetzal</t>
  </si>
  <si>
    <t>ToxicQuetz_Character_BP_S_C</t>
  </si>
  <si>
    <t>/ArkSupreme/Content/SupremeDinos/3Toxic/Quetzal/ToxicQuetz_Character_BP_S_C</t>
  </si>
  <si>
    <t>Toxic Raptor</t>
  </si>
  <si>
    <t>ToxicRaptor_Character_BP_S_C</t>
  </si>
  <si>
    <t>/ArkSupreme/Content/SupremeDinos/3Toxic/Raptor/ToxicRaptor_Character_BP_S_C</t>
  </si>
  <si>
    <t>Toxic Ravager</t>
  </si>
  <si>
    <t>CaveWolf_Character_BP_Toxic_S_C</t>
  </si>
  <si>
    <t>/ArkSupreme/Content/SupremeDinos/3Toxic/Ravager/CaveWolf_Character_BP_Toxic_S_C</t>
  </si>
  <si>
    <t>Toxic Rex</t>
  </si>
  <si>
    <t>ToxicRex_Character_BP_S_C</t>
  </si>
  <si>
    <t>/ArkSupreme/Content/SupremeDinos/3Toxic/Rex/ToxicRex_Character_BP_S_C</t>
  </si>
  <si>
    <t>Toxic Rhynio</t>
  </si>
  <si>
    <t>ToxicRhynio_Character_BP_S_C</t>
  </si>
  <si>
    <t>/ArkSupreme/Content/SupremeDinos/3Toxic/Rhynio/ToxicRhynio_Character_BP_S_C</t>
  </si>
  <si>
    <t>Toxic Rockdrake</t>
  </si>
  <si>
    <t>RockDrake_Character_BP_Toxic_S_C</t>
  </si>
  <si>
    <t>/ArkSupreme/Content/SupremeDinos/3Toxic/Rockdrake/RockDrake_Character_BP_Toxic_S_C</t>
  </si>
  <si>
    <t>Toxic Rockgolem</t>
  </si>
  <si>
    <t>RockGolem_Character_BP_Toxic_S_C</t>
  </si>
  <si>
    <t>/ArkSupreme/Content/SupremeDinos/3Toxic/Rockgolem/RockGolem_Character_BP_Toxic_S_C</t>
  </si>
  <si>
    <t>Toxic Sabertooth</t>
  </si>
  <si>
    <t>ToxicSaber_Character_BP_S_C</t>
  </si>
  <si>
    <t>/ArkSupreme/Content/SupremeDinos/3Toxic/Sabertooth/ToxicSaber_Character_BP_S_C</t>
  </si>
  <si>
    <t>Toxic Sarco</t>
  </si>
  <si>
    <t>ToxicSarco_Character_BP_S_C</t>
  </si>
  <si>
    <t>/ArkSupreme/Content/SupremeDinos/3Toxic/Sarco/ToxicSarco_Character_BP_S_C</t>
  </si>
  <si>
    <t>Toxic Scout</t>
  </si>
  <si>
    <t>Scout_Character_BP_Toxic_S_C</t>
  </si>
  <si>
    <t>/ArkSupreme/Content/SupremeDinos/3Toxic/Scout/Scout_Character_BP_Toxic_S_C</t>
  </si>
  <si>
    <t>Toxic Shinehorn</t>
  </si>
  <si>
    <t>LanternGoat_Character_BP_Toxic_S_C</t>
  </si>
  <si>
    <t>/ArkSupreme/Content/SupremeDinos/3Toxic/Shinehorn/LanternGoat_Character_BP_Toxic_S_C</t>
  </si>
  <si>
    <t>Toxic Snake</t>
  </si>
  <si>
    <t>ToxicBoaFrill_Character_BP_S_C</t>
  </si>
  <si>
    <t>/ArkSupreme/Content/SupremeDinos/3Toxic/Snake/ToxicBoaFrill_Character_BP_S_C</t>
  </si>
  <si>
    <t>Toxic Spinosaurus</t>
  </si>
  <si>
    <t>ToxicSpino_Character_BP_S_C</t>
  </si>
  <si>
    <t>/ArkSupreme/Content/SupremeDinos/3Toxic/Spinosaurus/ToxicSpino_Character_BP_S_C</t>
  </si>
  <si>
    <t>Toxic Stego</t>
  </si>
  <si>
    <t>ToxicStego_Character_BP_C</t>
  </si>
  <si>
    <t>/ArkSupreme/Content/SupremeDinos/3Toxic/Stego/ToxicStego_Character_BP_C</t>
  </si>
  <si>
    <t>Toxic Tapejara</t>
  </si>
  <si>
    <t>ToxicTapejara_Character_BP_S_C</t>
  </si>
  <si>
    <t>/ArkSupreme/Content/SupremeDinos/3Toxic/Tapejara/ToxicTapejara_Character_BP_S_C</t>
  </si>
  <si>
    <t>Toxic TerrorBird</t>
  </si>
  <si>
    <t>ToxicTerrorBird_Character_BP_S_C</t>
  </si>
  <si>
    <t>/ArkSupreme/Content/SupremeDinos/3Toxic/TerrorBird/ToxicTerrorBird_Character_BP_S_C</t>
  </si>
  <si>
    <t>Toxic Therizinosaurus</t>
  </si>
  <si>
    <t>ToxicTherizino_Character_BP_S_C</t>
  </si>
  <si>
    <t>/ArkSupreme/Content/SupremeDinos/3Toxic/Therizinosaurus/ToxicTherizino_Character_BP_S_C</t>
  </si>
  <si>
    <t>Toxic Thornydragon</t>
  </si>
  <si>
    <t>SpineyLizard_Character_BP_Toxic_S_C</t>
  </si>
  <si>
    <t>/ArkSupreme/Content/SupremeDinos/3Toxic/Thornydragon/SpineyLizard_Character_BP_Toxic_S_C</t>
  </si>
  <si>
    <t>Toxic Thyla</t>
  </si>
  <si>
    <t>ToxicThylacoleo_Character_BP_S_C</t>
  </si>
  <si>
    <t>/ArkSupreme/Content/SupremeDinos/3Toxic/Thyla/ToxicThylacoleo_Character_BP_S_C</t>
  </si>
  <si>
    <t>Toxic Titanosaur</t>
  </si>
  <si>
    <t>ToxicTitanosaur_Character_BP_S_C</t>
  </si>
  <si>
    <t>/ArkSupreme/Content/SupremeDinos/3Toxic/Titanosaur/ToxicTitanosaur_Character_BP_S_C</t>
  </si>
  <si>
    <t>Toxic Trike</t>
  </si>
  <si>
    <t>ToxicTrike_Character_BP_S_C</t>
  </si>
  <si>
    <t>/ArkSupreme/Content/SupremeDinos/3Toxic/Trike/ToxicTrike_Character_BP_S_C</t>
  </si>
  <si>
    <t>Toxic Troodon</t>
  </si>
  <si>
    <t>ToxicTroodon_Character_BP_S_C</t>
  </si>
  <si>
    <t>/ArkSupreme/Content/SupremeDinos/3Toxic/Troodon/ToxicTroodon_Character_BP_S_C</t>
  </si>
  <si>
    <t>Toxic Turkey</t>
  </si>
  <si>
    <t>ToxicTurkey_Character_BP_S_C</t>
  </si>
  <si>
    <t>/ArkSupreme/Content/SupremeDinos/3Toxic/Turkey/ToxicTurkey_Character_BP_S_C</t>
  </si>
  <si>
    <t>Toxic Turtle</t>
  </si>
  <si>
    <t>ToxicTurtle_Character_BP_S_C</t>
  </si>
  <si>
    <t>/ArkSupreme/Content/SupremeDinos/3Toxic/Turtle/ToxicTurtle_Character_BP_S_C</t>
  </si>
  <si>
    <t>Toxic Velonasaur</t>
  </si>
  <si>
    <t>Spindles_Character_BP_Toxic_S_C</t>
  </si>
  <si>
    <t>/ArkSupreme/Content/SupremeDinos/3Toxic/Velonasaur/Spindles_Character_BP_Toxic_S_C</t>
  </si>
  <si>
    <t>Toxic Vulture</t>
  </si>
  <si>
    <t>Vulture_Character_BP_Toxic_S_C</t>
  </si>
  <si>
    <t>/ArkSupreme/Content/SupremeDinos/3Toxic/Vulture/Vulture_Character_BP_Toxic_S_C</t>
  </si>
  <si>
    <t>Toxic WoollyRhino</t>
  </si>
  <si>
    <t>ToxicRhino_Character_BP_S_C</t>
  </si>
  <si>
    <t>/ArkSupreme/Content/SupremeDinos/3Toxic/WoollyRhino/ToxicRhino_Character_BP_S_C</t>
  </si>
  <si>
    <t>Toxic Wyvern_Fire</t>
  </si>
  <si>
    <t>Wyvern_Character_BP_Fire_Toxic_S_C</t>
  </si>
  <si>
    <t>/ArkSupreme/Content/SupremeDinos/3Toxic/Wyvern_Fire/Wyvern_Character_BP_Fire_Toxic_S_C</t>
  </si>
  <si>
    <t>Toxic Wyvern_Lightning</t>
  </si>
  <si>
    <t>Wyvern_Character_BP_Lightning_Toxic_S_C</t>
  </si>
  <si>
    <t>/ArkSupreme/Content/SupremeDinos/3Toxic/Wyvern_Lightning/Wyvern_Character_BP_Lightning_Toxic_S_C</t>
  </si>
  <si>
    <t>Toxic Wyvern_Poison</t>
  </si>
  <si>
    <t>Wyvern_Character_BP_Poison_Toxic_S_C</t>
  </si>
  <si>
    <t>/ArkSupreme/Content/SupremeDinos/3Toxic/Wyvern_Poison/Wyvern_Character_BP_Poison_Toxic_S_C</t>
  </si>
  <si>
    <t>Toxic YiLing</t>
  </si>
  <si>
    <t>YiLing_Character_BP_Toxic_S_C</t>
  </si>
  <si>
    <t>/ArkSupreme/Content/SupremeDinos/3Toxic/YiLing/YiLing_Character_BP_Toxic_S_C</t>
  </si>
  <si>
    <t>Toxic Yuty</t>
  </si>
  <si>
    <t>ToxicYutyrannus_Character_BP_S_C</t>
  </si>
  <si>
    <t>/ArkSupreme/Content/SupremeDinos/3Toxic/Yuty/ToxicYutyrannus_Character_BP_S_C</t>
  </si>
  <si>
    <t>Toxic parrot</t>
  </si>
  <si>
    <t>Toxic_Parrot_Character_BP_S_C</t>
  </si>
  <si>
    <t>/ArkSupreme/Content/SupremeDinos/3Toxic/parrot/Toxic_Parrot_Character_BP_S_C</t>
  </si>
  <si>
    <t>Berserk</t>
  </si>
  <si>
    <t>Berserk Achitina</t>
  </si>
  <si>
    <t>BerserkAchatina_Character_BP_S_C</t>
  </si>
  <si>
    <t>/ArkSupreme/Content/SupremeDinos/4Berserk/Achitina/BerserkAchatina_Character_BP_S_C</t>
  </si>
  <si>
    <t>Berserk Allo</t>
  </si>
  <si>
    <t>BerserkAllo_Character_BP_S_C</t>
  </si>
  <si>
    <t>/ArkSupreme/Content/SupremeDinos/4Berserk/Allo/BerserkAllo_Character_BP_S_C</t>
  </si>
  <si>
    <t>Berserk Ankylosaurus</t>
  </si>
  <si>
    <t>BerserkAnkylo_Character_BP_S_C</t>
  </si>
  <si>
    <t>/ArkSupreme/Content/SupremeDinos/4Berserk/Ankylosaurus/BerserkAnkylo_Character_BP_S_C</t>
  </si>
  <si>
    <t>Berserk Ant</t>
  </si>
  <si>
    <t>BerserkAnt_Character_BP_S_C</t>
  </si>
  <si>
    <t>/ArkSupreme/Content/SupremeDinos/4Berserk/Ant/BerserkAnt_Character_BP_S_C</t>
  </si>
  <si>
    <t>Berserk Araneo</t>
  </si>
  <si>
    <t>BerserkSpider_Character_BP_S_C</t>
  </si>
  <si>
    <t>/ArkSupreme/Content/SupremeDinos/4Berserk/Araneo/BerserkSpider_Character_BP_S_C</t>
  </si>
  <si>
    <t>Berserk Archaeopteryx</t>
  </si>
  <si>
    <t>BerserkArcha_Character_BP_S_C</t>
  </si>
  <si>
    <t>/ArkSupreme/Content/SupremeDinos/4Berserk/Archaeopteryx/BerserkArcha_Character_BP_S_C</t>
  </si>
  <si>
    <t>Berserk Argentavis</t>
  </si>
  <si>
    <t>BerserkArgent_Character_BP_S_C</t>
  </si>
  <si>
    <t>/ArkSupreme/Content/SupremeDinos/4Berserk/Argentavis/BerserkArgent_Character_BP_S_C</t>
  </si>
  <si>
    <t>Berserk Arthropluera</t>
  </si>
  <si>
    <t>BerserkArthro_Character_BP_S_C</t>
  </si>
  <si>
    <t>/ArkSupreme/Content/SupremeDinos/4Berserk/Arthropluera/BerserkArthro_Character_BP_S_C</t>
  </si>
  <si>
    <t>Berserk Baryonyx</t>
  </si>
  <si>
    <t>BerserkBaryonyx_Character_BP_S_C</t>
  </si>
  <si>
    <t>/ArkSupreme/Content/SupremeDinos/4Berserk/Baryonyx/BerserkBaryonyx_Character_BP_S_C</t>
  </si>
  <si>
    <t>Berserk Basilisk</t>
  </si>
  <si>
    <t>Basilisk_Character_BP_Berserk_S_C</t>
  </si>
  <si>
    <t>/ArkSupreme/Content/SupremeDinos/4Berserk/Basilisk/Basilisk_Character_BP_Berserk_S_C</t>
  </si>
  <si>
    <t>Berserk Brontosaurus</t>
  </si>
  <si>
    <t>BerserkSauropod_Character_BP_S_C</t>
  </si>
  <si>
    <t>/ArkSupreme/Content/SupremeDinos/4Berserk/Brontosaurus/BerserkSauropod_Character_BP_S_C</t>
  </si>
  <si>
    <t>Berserk Broodmother</t>
  </si>
  <si>
    <t>SpiderL_Character_BP_Berserk_S_C</t>
  </si>
  <si>
    <t>/ArkSupreme/Content/SupremeDinos/4Berserk/Broodmother/SpiderL_Character_BP_Berserk_S_C</t>
  </si>
  <si>
    <t>Berserk Bulbdog</t>
  </si>
  <si>
    <t>Berserk_LanternPug_Character_BP_S_C</t>
  </si>
  <si>
    <t>/ArkSupreme/Content/SupremeDinos/4Berserk/Bulbdog/Berserk_LanternPug_Character_BP_S_C</t>
  </si>
  <si>
    <t>Berserk Carcha</t>
  </si>
  <si>
    <t>BerserkCarcha_Character_BP_S_C</t>
  </si>
  <si>
    <t>/ArkSupreme/Content/SupremeDinos/4Berserk/Carcha/BerserkCarcha_Character_BP_S_C</t>
  </si>
  <si>
    <t>Berserk Carno</t>
  </si>
  <si>
    <t>BerserkCarno_Character_BP_S_C</t>
  </si>
  <si>
    <t>/ArkSupreme/Content/SupremeDinos/4Berserk/Carno/BerserkCarno_Character_BP_S_C</t>
  </si>
  <si>
    <t>Berserk Castoroides</t>
  </si>
  <si>
    <t>BerserkBeaver_Character_BP_S_C</t>
  </si>
  <si>
    <t>/ArkSupreme/Content/SupremeDinos/4Berserk/Castoroides/BerserkBeaver_Character_BP_S_C</t>
  </si>
  <si>
    <t>Berserk Chalicotherium</t>
  </si>
  <si>
    <t>BerserkChalico_Character_BP_S_C</t>
  </si>
  <si>
    <t>/ArkSupreme/Content/SupremeDinos/4Berserk/Chalicotherium/BerserkChalico_Character_BP_S_C</t>
  </si>
  <si>
    <t>Berserk Compy</t>
  </si>
  <si>
    <t>BerserkCompy_Character_BP_S_C</t>
  </si>
  <si>
    <t>/ArkSupreme/Content/SupremeDinos/4Berserk/Compy/BerserkCompy_Character_BP_S_C</t>
  </si>
  <si>
    <t>Berserk Daeodon</t>
  </si>
  <si>
    <t>BerserkDaeodon_Character_BP_S_C</t>
  </si>
  <si>
    <t>/ArkSupreme/Content/SupremeDinos/4Berserk/Daeodon/BerserkDaeodon_Character_BP_S_C</t>
  </si>
  <si>
    <t>Berserk DefenseUnit</t>
  </si>
  <si>
    <t>Defender_Character_BP_Berserk_S_C</t>
  </si>
  <si>
    <t>/ArkSupreme/Content/SupremeDinos/4Berserk/DefenseUnit/Defender_Character_BP_Berserk_S_C</t>
  </si>
  <si>
    <t>Berserk Dilo</t>
  </si>
  <si>
    <t>BerserkDilo_Character_BP_S_C</t>
  </si>
  <si>
    <t>/ArkSupreme/Content/SupremeDinos/4Berserk/Dilo/BerserkDilo_Character_BP_S_C</t>
  </si>
  <si>
    <t>Berserk Dimetrodon</t>
  </si>
  <si>
    <t>BerserkDimetro_Character_BP_S_C</t>
  </si>
  <si>
    <t>/ArkSupreme/Content/SupremeDinos/4Berserk/Dimetrodon/BerserkDimetro_Character_BP_S_C</t>
  </si>
  <si>
    <t>Berserk Dimorphodon</t>
  </si>
  <si>
    <t>BerserkDimorph_Character_BP_S_C</t>
  </si>
  <si>
    <t>/ArkSupreme/Content/SupremeDinos/4Berserk/Dimorphodon/BerserkDimorph_Character_BP_S_C</t>
  </si>
  <si>
    <t>Berserk Diplodocus</t>
  </si>
  <si>
    <t>BerserkDiplodocus_Character_BP_S_C</t>
  </si>
  <si>
    <t>/ArkSupreme/Content/SupremeDinos/4Berserk/Diplodocus/BerserkDiplodocus_Character_BP_S_C</t>
  </si>
  <si>
    <t>Berserk Direbear</t>
  </si>
  <si>
    <t>BerserkDirebear_Character_BP_S_C</t>
  </si>
  <si>
    <t>/ArkSupreme/Content/SupremeDinos/4Berserk/Direbear/BerserkDirebear_Character_BP_S_C</t>
  </si>
  <si>
    <t>Berserk Direwolf</t>
  </si>
  <si>
    <t>BerserkDirewolf_Character_BP_S_C</t>
  </si>
  <si>
    <t>/ArkSupreme/Content/SupremeDinos/4Berserk/Direwolf/BerserkDirewolf_Character_BP_S_C</t>
  </si>
  <si>
    <t>Berserk Dodo</t>
  </si>
  <si>
    <t>BerserkDodo_Character_BP_S_C</t>
  </si>
  <si>
    <t>/ArkSupreme/Content/SupremeDinos/4Berserk/Dodo/BerserkDodo_Character_BP_S_C</t>
  </si>
  <si>
    <t>Berserk Dodorex</t>
  </si>
  <si>
    <t>DodoRex_Character_BP_Berserk_S_C</t>
  </si>
  <si>
    <t>/ArkSupreme/Content/SupremeDinos/4Berserk/Dodorex/DodoRex_Character_BP_Berserk_S_C</t>
  </si>
  <si>
    <t>Berserk Dodowvyern</t>
  </si>
  <si>
    <t>DodoWyvern_Character_BP_Berserk_S_C</t>
  </si>
  <si>
    <t>/ArkSupreme/Content/SupremeDinos/4Berserk/Dodowvyern/DodoWyvern_Character_BP_Berserk_S_C</t>
  </si>
  <si>
    <t>Berserk Doedicurus</t>
  </si>
  <si>
    <t>BerserkDoed_Character_BP_S_C</t>
  </si>
  <si>
    <t>/ArkSupreme/Content/SupremeDinos/4Berserk/Doedicurus/BerserkDoed_Character_BP_S_C</t>
  </si>
  <si>
    <t>Berserk Dragonfly</t>
  </si>
  <si>
    <t>BerserkDragonfly_Character_BP_S_C</t>
  </si>
  <si>
    <t>/ArkSupreme/Content/SupremeDinos/4Berserk/Dragonfly/BerserkDragonfly_Character_BP_S_C</t>
  </si>
  <si>
    <t>Berserk Dungbeetle</t>
  </si>
  <si>
    <t>BerserkDungBeetle_Character_BP_S_C</t>
  </si>
  <si>
    <t>/ArkSupreme/Content/SupremeDinos/4Berserk/Dungbeetle/BerserkDungBeetle_Character_BP_S_C</t>
  </si>
  <si>
    <t>Berserk Enforcer</t>
  </si>
  <si>
    <t>Enforcer_Character_BP_Berserk_S_C</t>
  </si>
  <si>
    <t>/ArkSupreme/Content/SupremeDinos/4Berserk/Enforcer/Enforcer_Character_BP_Berserk_S_C</t>
  </si>
  <si>
    <t>Berserk Equus</t>
  </si>
  <si>
    <t>BerserkEquus_Character_BP_S_C</t>
  </si>
  <si>
    <t>/ArkSupreme/Content/SupremeDinos/4Berserk/Equus/BerserkEquus_Character_BP_S_C</t>
  </si>
  <si>
    <t>Berserk Featherlight</t>
  </si>
  <si>
    <t>LanternBird_Character_BP_Berserk_S_C</t>
  </si>
  <si>
    <t>/ArkSupreme/Content/SupremeDinos/4Berserk/Featherlight/LanternBird_Character_BP_Berserk_S_C</t>
  </si>
  <si>
    <t>Berserk Frog</t>
  </si>
  <si>
    <t>BerserkToad_Character_BP_S_C</t>
  </si>
  <si>
    <t>/ArkSupreme/Content/SupremeDinos/4Berserk/Frog/BerserkToad_Character_BP_S_C</t>
  </si>
  <si>
    <t>Berserk Gacha</t>
  </si>
  <si>
    <t>Gacha_Character_BP_Berserk_S_C</t>
  </si>
  <si>
    <t>/ArkSupreme/Content/SupremeDinos/4Berserk/Gacha/Gacha_Character_BP_Berserk_S_C</t>
  </si>
  <si>
    <t>Berserk Gallimimus</t>
  </si>
  <si>
    <t>BerserkGalli_Character_BP_S_C</t>
  </si>
  <si>
    <t>/ArkSupreme/Content/SupremeDinos/4Berserk/Gallimimus/BerserkGalli_Character_BP_S_C</t>
  </si>
  <si>
    <t>Berserk Gasbag</t>
  </si>
  <si>
    <t>GasBags_Character_BP_Berserk_S_C</t>
  </si>
  <si>
    <t>/ArkSupreme/Content/SupremeDinos/4Berserk/Gasbag/GasBags_Character_BP_Berserk_S_C</t>
  </si>
  <si>
    <t>Berserk Giga</t>
  </si>
  <si>
    <t>BerserkGigant_Character_BP_S_C</t>
  </si>
  <si>
    <t>/ArkSupreme/Content/SupremeDinos/4Berserk/Giga/BerserkGigant_Character_BP_S_C</t>
  </si>
  <si>
    <t>Berserk Gigantopithecus</t>
  </si>
  <si>
    <t>BerserkBigfoot_Character_BP_S_C</t>
  </si>
  <si>
    <t>/ArkSupreme/Content/SupremeDinos/4Berserk/Gigantopithecus/BerserkBigfoot_Character_BP_S_C</t>
  </si>
  <si>
    <t>Berserk Glowtail</t>
  </si>
  <si>
    <t>LanternLizard_Character_BP_Berserk_S_C</t>
  </si>
  <si>
    <t>/ArkSupreme/Content/SupremeDinos/4Berserk/Glowtail/LanternLizard_Character_BP_Berserk_S_C</t>
  </si>
  <si>
    <t>Berserk Gorilla</t>
  </si>
  <si>
    <t>Gorilla_Character_BP_Berserk_S_C</t>
  </si>
  <si>
    <t>/ArkSupreme/Content/SupremeDinos/4Berserk/Gorilla/Gorilla_Character_BP_Berserk_S_C</t>
  </si>
  <si>
    <t>Berserk Hesperornis</t>
  </si>
  <si>
    <t>BerserkHesperornis_Character_BP_S_C</t>
  </si>
  <si>
    <t>/ArkSupreme/Content/SupremeDinos/4Berserk/Hesperornis/BerserkHesperornis_Character_BP_S_C</t>
  </si>
  <si>
    <t>Berserk Hyena</t>
  </si>
  <si>
    <t>BerserkHyaenodon_Character_BP_S_C</t>
  </si>
  <si>
    <t>/ArkSupreme/Content/SupremeDinos/4Berserk/Hyena/BerserkHyaenodon_Character_BP_S_C</t>
  </si>
  <si>
    <t>Berserk Iguanodon</t>
  </si>
  <si>
    <t>BerserkIguanodon_Character_BP_S_C</t>
  </si>
  <si>
    <t>/ArkSupreme/Content/SupremeDinos/4Berserk/Iguanodon/BerserkIguanodon_Character_BP_S_C</t>
  </si>
  <si>
    <t>Berserk Jerboa</t>
  </si>
  <si>
    <t>Jerboa_Character_BP_Berserk_S_C</t>
  </si>
  <si>
    <t>/ArkSupreme/Content/SupremeDinos/4Berserk/Jerboa/Jerboa_Character_BP_Berserk_S_C</t>
  </si>
  <si>
    <t>Berserk Kairuku</t>
  </si>
  <si>
    <t>BerserkKairuku_Character_BP_S_C</t>
  </si>
  <si>
    <t>/ArkSupreme/Content/SupremeDinos/4Berserk/Kairuku/BerserkKairuku_Character_BP_S_C</t>
  </si>
  <si>
    <t>Berserk Kaprosuchus</t>
  </si>
  <si>
    <t>BerserkKaprosuchus_Character_BP_S_C</t>
  </si>
  <si>
    <t>/ArkSupreme/Content/SupremeDinos/4Berserk/Kaprosuchus/BerserkKaprosuchus_Character_BP_S_C</t>
  </si>
  <si>
    <t>Berserk Karkinos</t>
  </si>
  <si>
    <t>Crab_Character_BP_Berserk_S_C</t>
  </si>
  <si>
    <t>/ArkSupreme/Content/SupremeDinos/4Berserk/Karkinos/Crab_Character_BP_Berserk_S_C</t>
  </si>
  <si>
    <t>Berserk Kentro</t>
  </si>
  <si>
    <t>BerserkKentro_Character_BP_S_C</t>
  </si>
  <si>
    <t>/ArkSupreme/Content/SupremeDinos/4Berserk/Kentro/BerserkKentro_Character_BP_S_C</t>
  </si>
  <si>
    <t>Berserk Lystro</t>
  </si>
  <si>
    <t>BerserkLystro_Character_BP_S_C</t>
  </si>
  <si>
    <t>/ArkSupreme/Content/SupremeDinos/4Berserk/Lystro/BerserkLystro_Character_BP_S_C</t>
  </si>
  <si>
    <t>Berserk Mammoth</t>
  </si>
  <si>
    <t>BerserkMammoth_Character_BP_S_C</t>
  </si>
  <si>
    <t>/ArkSupreme/Content/SupremeDinos/4Berserk/Mammoth/BerserkMammoth_Character_BP_S_C</t>
  </si>
  <si>
    <t>Berserk Managarm</t>
  </si>
  <si>
    <t>IceJumper_Character_BP_Berserk_S_C</t>
  </si>
  <si>
    <t>/ArkSupreme/Content/SupremeDinos/4Berserk/Managarm/IceJumper_Character_BP_Berserk_S_C</t>
  </si>
  <si>
    <t>Berserk Manticore</t>
  </si>
  <si>
    <t>Manticore_Character_BP_Berserk_S_C</t>
  </si>
  <si>
    <t>/ArkSupreme/Content/SupremeDinos/4Berserk/Manticore/Manticore_Character_BP_Berserk_S_C</t>
  </si>
  <si>
    <t>Berserk Mantis</t>
  </si>
  <si>
    <t>Mantis_Character_BP_Berserk_S_C</t>
  </si>
  <si>
    <t>/ArkSupreme/Content/SupremeDinos/4Berserk/Mantis/Mantis_Character_BP_Berserk_S_C</t>
  </si>
  <si>
    <t>Berserk Megalania</t>
  </si>
  <si>
    <t>BerserkMegalania_Character_BP_S_C</t>
  </si>
  <si>
    <t>/ArkSupreme/Content/SupremeDinos/4Berserk/Megalania/BerserkMegalania_Character_BP_S_C</t>
  </si>
  <si>
    <t>Berserk Megalo</t>
  </si>
  <si>
    <t>BerserkMegalosaurus_Character_BP_S_C</t>
  </si>
  <si>
    <t>/ArkSupreme/Content/SupremeDinos/4Berserk/Megalo/BerserkMegalosaurus_Character_BP_S_C</t>
  </si>
  <si>
    <t>Berserk Megaloceros</t>
  </si>
  <si>
    <t>BerserkStag_Character_BP_S_C</t>
  </si>
  <si>
    <t>/ArkSupreme/Content/SupremeDinos/4Berserk/Megaloceros/BerserkStag_Character_BP_S_C</t>
  </si>
  <si>
    <t>Berserk Megatherium</t>
  </si>
  <si>
    <t>BerserkMegatherium_Character_BP_S_C</t>
  </si>
  <si>
    <t>/ArkSupreme/Content/SupremeDinos/4Berserk/Megatherium/BerserkMegatherium_Character_BP_S_C</t>
  </si>
  <si>
    <t>Berserk Molerat</t>
  </si>
  <si>
    <t>MoleRat_Character_BP_Berserk_S_C</t>
  </si>
  <si>
    <t>/ArkSupreme/Content/SupremeDinos/4Berserk/Molerat/MoleRat_Character_BP_Berserk_S_C</t>
  </si>
  <si>
    <t>Berserk Monkey</t>
  </si>
  <si>
    <t>BerserkMonkey_Character_BP_S_C</t>
  </si>
  <si>
    <t>/ArkSupreme/Content/SupremeDinos/4Berserk/Monkey/BerserkMonkey_Character_BP_S_C</t>
  </si>
  <si>
    <t>Berserk Morellatops</t>
  </si>
  <si>
    <t>Berserkcamelsaurus_Character_BP_S_C</t>
  </si>
  <si>
    <t>/ArkSupreme/Content/SupremeDinos/4Berserk/Morellatops/Berserkcamelsaurus_Character_BP_S_C</t>
  </si>
  <si>
    <t>Berserk Moschops</t>
  </si>
  <si>
    <t>BerserkMoschops_Character_BP_S_C</t>
  </si>
  <si>
    <t>/ArkSupreme/Content/SupremeDinos/4Berserk/Moschops/BerserkMoschops_Character_BP_S_C</t>
  </si>
  <si>
    <t>Berserk Moth</t>
  </si>
  <si>
    <t>BerserkMoth_Character_BP_S_C</t>
  </si>
  <si>
    <t>/ArkSupreme/Content/SupremeDinos/4Berserk/Moth/BerserkMoth_Character_BP_S_C</t>
  </si>
  <si>
    <t>Berserk Nameless</t>
  </si>
  <si>
    <t>ChupaCabra_Character_BP_Berserk_S_C</t>
  </si>
  <si>
    <t>/ArkSupreme/Content/SupremeDinos/4Berserk/Nameless/ChupaCabra_Character_BP_Berserk_S_C</t>
  </si>
  <si>
    <t>Berserk Onyc</t>
  </si>
  <si>
    <t>BerserkOnyc_Character_BP_S_C</t>
  </si>
  <si>
    <t>/ArkSupreme/Content/SupremeDinos/4Berserk/Onyc/BerserkOnyc_Character_BP_S_C</t>
  </si>
  <si>
    <t>Berserk Otter</t>
  </si>
  <si>
    <t>BerserkOtter_Character_BP_S_C</t>
  </si>
  <si>
    <t>/ArkSupreme/Content/SupremeDinos/4Berserk/Otter/BerserkOtter_Character_BP_S_C</t>
  </si>
  <si>
    <t>Berserk Oviraptor</t>
  </si>
  <si>
    <t>BerserkOviraptor_Character_BP_S_C</t>
  </si>
  <si>
    <t>/ArkSupreme/Content/SupremeDinos/4Berserk/Oviraptor/BerserkOviraptor_Character_BP_S_C</t>
  </si>
  <si>
    <t>Berserk Ovis</t>
  </si>
  <si>
    <t>BerserkOvis_Character_BP_S_C</t>
  </si>
  <si>
    <t>/ArkSupreme/Content/SupremeDinos/4Berserk/Ovis/BerserkOvis_Character_BP_S_C</t>
  </si>
  <si>
    <t>Berserk Owl</t>
  </si>
  <si>
    <t>Owl_Character_BP_Berserk_S_C</t>
  </si>
  <si>
    <t>/ArkSupreme/Content/SupremeDinos/4Berserk/Owl/Owl_Character_BP_Berserk_S_C</t>
  </si>
  <si>
    <t>Berserk Pachy</t>
  </si>
  <si>
    <t>BerserkPachy_Character_BP_S_C</t>
  </si>
  <si>
    <t>/ArkSupreme/Content/SupremeDinos/4Berserk/Pachy/BerserkPachy_Character_BP_S_C</t>
  </si>
  <si>
    <t>Berserk Pachyrhino</t>
  </si>
  <si>
    <t>BerserkPachyrhino_Character_BP_S_C</t>
  </si>
  <si>
    <t>/ArkSupreme/Content/SupremeDinos/4Berserk/Pachyrhino/BerserkPachyrhino_Character_BP_S_C</t>
  </si>
  <si>
    <t>Berserk Paraceratherium</t>
  </si>
  <si>
    <t>BerserkParacer_Character_BP_S_C</t>
  </si>
  <si>
    <t>/ArkSupreme/Content/SupremeDinos/4Berserk/Paraceratherium/BerserkParacer_Character_BP_S_C</t>
  </si>
  <si>
    <t>Berserk Parasaur</t>
  </si>
  <si>
    <t>BerserkPara_Character_BP_S_C</t>
  </si>
  <si>
    <t>/ArkSupreme/Content/SupremeDinos/4Berserk/Parasaur/BerserkPara_Character_BP_S_C</t>
  </si>
  <si>
    <t>Berserk Pegomastax</t>
  </si>
  <si>
    <t>BerserkPegomastax_Character_BP_S_C</t>
  </si>
  <si>
    <t>/ArkSupreme/Content/SupremeDinos/4Berserk/Pegomastax/BerserkPegomastax_Character_BP_S_C</t>
  </si>
  <si>
    <t>Berserk Pelagornis</t>
  </si>
  <si>
    <t>BerserkPela_Character_BP_S_C</t>
  </si>
  <si>
    <t>/ArkSupreme/Content/SupremeDinos/4Berserk/Pelagornis/BerserkPela_Character_BP_S_C</t>
  </si>
  <si>
    <t>Berserk Phiomia</t>
  </si>
  <si>
    <t>BerserkPhiomia_Character_BP_S_C</t>
  </si>
  <si>
    <t>/ArkSupreme/Content/SupremeDinos/4Berserk/Phiomia/BerserkPhiomia_Character_BP_S_C</t>
  </si>
  <si>
    <t>Berserk Phoenix</t>
  </si>
  <si>
    <t>Phoenix_Character_BP_Berserk_S_C</t>
  </si>
  <si>
    <t>/ArkSupreme/Content/SupremeDinos/4Berserk/Phoenix/Phoenix_Character_BP_Berserk_S_C</t>
  </si>
  <si>
    <t>Berserk Procoptodon</t>
  </si>
  <si>
    <t>BerserkProcoptodon_Character_BP_S_C</t>
  </si>
  <si>
    <t>/ArkSupreme/Content/SupremeDinos/4Berserk/Procoptodon/BerserkProcoptodon_Character_BP_S_C</t>
  </si>
  <si>
    <t>Berserk Ptera</t>
  </si>
  <si>
    <t>BerserkPtero_Character_BP_S_C</t>
  </si>
  <si>
    <t>/ArkSupreme/Content/SupremeDinos/4Berserk/Ptera/BerserkPtero_Character_BP_S_C</t>
  </si>
  <si>
    <t>Berserk PteroTeuthis</t>
  </si>
  <si>
    <t>Pteroteuthis_Character_BP_Berserk_S_C</t>
  </si>
  <si>
    <t>/ArkSupreme/Content/SupremeDinos/4Berserk/PteroTeuthis/Pteroteuthis_Character_BP_Berserk_S_C</t>
  </si>
  <si>
    <t>Berserk Pulmonoscorpius</t>
  </si>
  <si>
    <t>BerserkScorpion_Character_BP_S_C</t>
  </si>
  <si>
    <t>/ArkSupreme/Content/SupremeDinos/4Berserk/Pulmonoscorpius/BerserkScorpion_Character_BP_S_C</t>
  </si>
  <si>
    <t>Berserk Purlovia</t>
  </si>
  <si>
    <t>BerserkPurlovia_Character_BP_S_C</t>
  </si>
  <si>
    <t>/ArkSupreme/Content/SupremeDinos/4Berserk/Purlovia/BerserkPurlovia_Character_BP_S_C</t>
  </si>
  <si>
    <t>Berserk Quetzal</t>
  </si>
  <si>
    <t>BerserkQuetz_Character_BP_S_C</t>
  </si>
  <si>
    <t>/ArkSupreme/Content/SupremeDinos/4Berserk/Quetzal/BerserkQuetz_Character_BP_S_C</t>
  </si>
  <si>
    <t>Berserk Raptor</t>
  </si>
  <si>
    <t>BerserkRaptor_Character_BP_S_C</t>
  </si>
  <si>
    <t>/ArkSupreme/Content/SupremeDinos/4Berserk/Raptor/BerserkRaptor_Character_BP_S_C</t>
  </si>
  <si>
    <t>Berserk Ravager</t>
  </si>
  <si>
    <t>CaveWolf_Character_BP_Berserk_S_C</t>
  </si>
  <si>
    <t>/ArkSupreme/Content/SupremeDinos/4Berserk/Ravager/CaveWolf_Character_BP_Berserk_S_C</t>
  </si>
  <si>
    <t>Berserk Rex</t>
  </si>
  <si>
    <t>BerserkRex_Character_BP_S_C</t>
  </si>
  <si>
    <t>/ArkSupreme/Content/SupremeDinos/4Berserk/Rex/BerserkRex_Character_BP_S_C</t>
  </si>
  <si>
    <t>Berserk Rhynio</t>
  </si>
  <si>
    <t>BerserkRhynio_Character_BP_S_C</t>
  </si>
  <si>
    <t>/ArkSupreme/Content/SupremeDinos/4Berserk/Rhynio/BerserkRhynio_Character_BP_S_C</t>
  </si>
  <si>
    <t>Berserk Rockdrake</t>
  </si>
  <si>
    <t>RockDrake_Character_BP_Berserk_S_C</t>
  </si>
  <si>
    <t>/ArkSupreme/Content/SupremeDinos/4Berserk/Rockdrake/RockDrake_Character_BP_Berserk_S_C</t>
  </si>
  <si>
    <t>Berserk Rockgolem</t>
  </si>
  <si>
    <t>RockGolem_Character_BP_Berserk_S_C</t>
  </si>
  <si>
    <t>/ArkSupreme/Content/SupremeDinos/4Berserk/Rockgolem/RockGolem_Character_BP_Berserk_S_C</t>
  </si>
  <si>
    <t>Berserk Sabertooth</t>
  </si>
  <si>
    <t>BerserkSaber_Character_BP_S_C</t>
  </si>
  <si>
    <t>/ArkSupreme/Content/SupremeDinos/4Berserk/Sabertooth/BerserkSaber_Character_BP_S_C</t>
  </si>
  <si>
    <t>Berserk Sarco</t>
  </si>
  <si>
    <t>BerserkSarco_Character_BP_S_C</t>
  </si>
  <si>
    <t>/ArkSupreme/Content/SupremeDinos/4Berserk/Sarco/BerserkSarco_Character_BP_S_C</t>
  </si>
  <si>
    <t>Berserk Scout</t>
  </si>
  <si>
    <t>Scout_Character_BP_Berserk_S_C</t>
  </si>
  <si>
    <t>/ArkSupreme/Content/SupremeDinos/4Berserk/Scout/Scout_Character_BP_Berserk_S_C</t>
  </si>
  <si>
    <t>Berserk Shinehorn</t>
  </si>
  <si>
    <t>LanternGoat_Character_BP_Berserk_S_C</t>
  </si>
  <si>
    <t>/ArkSupreme/Content/SupremeDinos/4Berserk/Shinehorn/LanternGoat_Character_BP_Berserk_S_C</t>
  </si>
  <si>
    <t>Berserk Snake</t>
  </si>
  <si>
    <t>BerserkBoaFrill_Character_BP_S_C</t>
  </si>
  <si>
    <t>/ArkSupreme/Content/SupremeDinos/4Berserk/Snake/BerserkBoaFrill_Character_BP_S_C</t>
  </si>
  <si>
    <t>Berserk Spinosaurus</t>
  </si>
  <si>
    <t>BerserkSpino_Character_BP_S_C</t>
  </si>
  <si>
    <t>/ArkSupreme/Content/SupremeDinos/4Berserk/Spinosaurus/BerserkSpino_Character_BP_S_C</t>
  </si>
  <si>
    <t>Berserk Stego</t>
  </si>
  <si>
    <t>BerserkStego_Character_BP_C</t>
  </si>
  <si>
    <t>/ArkSupreme/Content/SupremeDinos/4Berserk/Stego/BerserkStego_Character_BP_C</t>
  </si>
  <si>
    <t>Berserk Tapejara</t>
  </si>
  <si>
    <t>BerserkTapejara_Character_BP_S_C</t>
  </si>
  <si>
    <t>/ArkSupreme/Content/SupremeDinos/4Berserk/Tapejara/BerserkTapejara_Character_BP_S_C</t>
  </si>
  <si>
    <t>Berserk TerrorBird</t>
  </si>
  <si>
    <t>BerserkTerrorBird_Character_BP_S_C</t>
  </si>
  <si>
    <t>/ArkSupreme/Content/SupremeDinos/4Berserk/TerrorBird/BerserkTerrorBird_Character_BP_S_C</t>
  </si>
  <si>
    <t>Berserk Therizinosaurus</t>
  </si>
  <si>
    <t>BerserkTherizino_Character_BP_S_C</t>
  </si>
  <si>
    <t>/ArkSupreme/Content/SupremeDinos/4Berserk/Therizinosaurus/BerserkTherizino_Character_BP_S_C</t>
  </si>
  <si>
    <t>Berserk Thornydragon</t>
  </si>
  <si>
    <t>SpineyLizard_Character_BP_Berserk_S_C</t>
  </si>
  <si>
    <t>/ArkSupreme/Content/SupremeDinos/4Berserk/Thornydragon/SpineyLizard_Character_BP_Berserk_S_C</t>
  </si>
  <si>
    <t>Berserk Thyla</t>
  </si>
  <si>
    <t>BerserkThylacoleo_Character_BP_S_C</t>
  </si>
  <si>
    <t>/ArkSupreme/Content/SupremeDinos/4Berserk/Thyla/BerserkThylacoleo_Character_BP_S_C</t>
  </si>
  <si>
    <t>Berserk Titanosaur</t>
  </si>
  <si>
    <t>Atlantic</t>
  </si>
  <si>
    <t>BerserkTitanosaur_Character_BP_S_C</t>
  </si>
  <si>
    <t>/ArkSupreme/Content/SupremeDinos/4Berserk/Titanosaur/BerserkTitanosaur_Character_BP_S_C</t>
  </si>
  <si>
    <t>Berserk Trike</t>
  </si>
  <si>
    <t>BerserkTrike_Character_BP_S_C</t>
  </si>
  <si>
    <t>/ArkSupreme/Content/SupremeDinos/4Berserk/Trike/BerserkTrike_Character_BP_S_C</t>
  </si>
  <si>
    <t>Berserk Troodon</t>
  </si>
  <si>
    <t>BerserkTroodon_Character_BP_S_C</t>
  </si>
  <si>
    <t>/ArkSupreme/Content/SupremeDinos/4Berserk/Troodon/BerserkTroodon_Character_BP_S_C</t>
  </si>
  <si>
    <t>Berserk Turkey</t>
  </si>
  <si>
    <t>BerserkTurkey_Character_BP_S_C</t>
  </si>
  <si>
    <t>/ArkSupreme/Content/SupremeDinos/4Berserk/Turkey/BerserkTurkey_Character_BP_S_C</t>
  </si>
  <si>
    <t>Berserk Turtle</t>
  </si>
  <si>
    <t>BerserkTurtle_Character_BP_S_C</t>
  </si>
  <si>
    <t>/ArkSupreme/Content/SupremeDinos/4Berserk/Turtle/BerserkTurtle_Character_BP_S_C</t>
  </si>
  <si>
    <t>Berserk Velonasaur</t>
  </si>
  <si>
    <t>Spindles_Character_BP_Berserk_S_C</t>
  </si>
  <si>
    <t>/ArkSupreme/Content/SupremeDinos/4Berserk/Velonasaur/Spindles_Character_BP_Berserk_S_C</t>
  </si>
  <si>
    <t>Berserk Vulture</t>
  </si>
  <si>
    <t>Vulture_Character_BP_Berserk_S_C</t>
  </si>
  <si>
    <t>/ArkSupreme/Content/SupremeDinos/4Berserk/Vulture/Vulture_Character_BP_Berserk_S_C</t>
  </si>
  <si>
    <t>Berserk WoollyRhino</t>
  </si>
  <si>
    <t>BerserkRhino_Character_BP_S_C</t>
  </si>
  <si>
    <t>/ArkSupreme/Content/SupremeDinos/4Berserk/WoollyRhino/BerserkRhino_Character_BP_S_C</t>
  </si>
  <si>
    <t>Berserk Wyvern_Fire</t>
  </si>
  <si>
    <t>Wyvern_Character_BP_Fire_Berserk_S_C</t>
  </si>
  <si>
    <t>/ArkSupreme/Content/SupremeDinos/4Berserk/Wyvern_Fire/Wyvern_Character_BP_Fire_Berserk_S_C</t>
  </si>
  <si>
    <t>Berserk Wyvern_Lightning</t>
  </si>
  <si>
    <t>Wyvern_Character_BP_Lightning_Berserk_S_C</t>
  </si>
  <si>
    <t>/ArkSupreme/Content/SupremeDinos/4Berserk/Wyvern_Lightning/Wyvern_Character_BP_Lightning_Berserk_S_C</t>
  </si>
  <si>
    <t>Berserk Wyvern_Poison</t>
  </si>
  <si>
    <t>Wyvern_Character_BP_Poison_Berserk_S_C</t>
  </si>
  <si>
    <t>/ArkSupreme/Content/SupremeDinos/4Berserk/Wyvern_Poison/Wyvern_Character_BP_Poison_Berserk_S_C</t>
  </si>
  <si>
    <t>Berserk YiLing</t>
  </si>
  <si>
    <t>YiLing_Character_BP_Berserk_S_C</t>
  </si>
  <si>
    <t>/ArkSupreme/Content/SupremeDinos/4Berserk/YiLing/YiLing_Character_BP_Berserk_S_C</t>
  </si>
  <si>
    <t>Berserk Yuty</t>
  </si>
  <si>
    <t>BerserkYutyrannus_Character_BP_S_C</t>
  </si>
  <si>
    <t>/ArkSupreme/Content/SupremeDinos/4Berserk/Yuty/BerserkYutyrannus_Character_BP_S_C</t>
  </si>
  <si>
    <t>Berserk parrot</t>
  </si>
  <si>
    <t>Berserk_Parrot_Character_BP_S_C</t>
  </si>
  <si>
    <t>/ArkSupreme/Content/SupremeDinos/4Berserk/parrot/Berserk_Parrot_Character_BP_S_C</t>
  </si>
  <si>
    <t>Necrotic</t>
  </si>
  <si>
    <t>Necrotic Allo</t>
  </si>
  <si>
    <t>Pacific</t>
  </si>
  <si>
    <t>NecroticAllo_Character_BP_S_C</t>
  </si>
  <si>
    <t>/ArkSupreme/Content/SupremeDinos/Necrotic/Allo/NecroticAllo_Character_BP_S_C</t>
  </si>
  <si>
    <t>Necrotic Archaeopteryx</t>
  </si>
  <si>
    <t>NecroticArcha_Character_BP_S_C</t>
  </si>
  <si>
    <t>/ArkSupreme/Content/SupremeDinos/Necrotic/Archaeopteryx/NecroticArcha_Character_BP_S_C</t>
  </si>
  <si>
    <t>Necrotic Argentavis</t>
  </si>
  <si>
    <t>NecroticArgent_Character_BP_S_C</t>
  </si>
  <si>
    <t>/ArkSupreme/Content/SupremeDinos/Necrotic/Argentavis/NecroticArgent_Character_BP_S_C</t>
  </si>
  <si>
    <t>Necrotic Baryonyx</t>
  </si>
  <si>
    <t>NecroticBaryonyx_Character_BP_S_C</t>
  </si>
  <si>
    <t>/ArkSupreme/Content/SupremeDinos/Necrotic/Baryonyx/NecroticBaryonyx_Character_BP_S_C</t>
  </si>
  <si>
    <t>Necrotic Bulbdog</t>
  </si>
  <si>
    <t>NecroticLanternPug_Character_BP_S_C</t>
  </si>
  <si>
    <t>/ArkSupreme/Content/SupremeDinos/Necrotic/Bulbdog/NecroticLanternPug_Character_BP_S_C</t>
  </si>
  <si>
    <t>Necrotic Direbear</t>
  </si>
  <si>
    <t>NecroticDirebear_Character_BP_S_C</t>
  </si>
  <si>
    <t>/ArkSupreme/Content/SupremeDinos/Necrotic/Direbear/NecroticDirebear_Character_BP_S_C</t>
  </si>
  <si>
    <t>Necrotic Direwolf</t>
  </si>
  <si>
    <t>NecroticDirewolf_Character_BP_S_C</t>
  </si>
  <si>
    <t>/ArkSupreme/Content/SupremeDinos/Necrotic/Direwolf/NecroticDirewolf_Character_BP_S_C</t>
  </si>
  <si>
    <t>Necrotic Dodo</t>
  </si>
  <si>
    <t>NecroticDodo_Character_BP_S_C</t>
  </si>
  <si>
    <t>/ArkSupreme/Content/SupremeDinos/Necrotic/Dodo/NecroticDodo_Character_BP_S_C</t>
  </si>
  <si>
    <t>Necrotic Equus</t>
  </si>
  <si>
    <t>NecroticEquus_Character_BP_S_C</t>
  </si>
  <si>
    <t>/ArkSupreme/Content/SupremeDinos/Necrotic/Equus/NecroticEquus_Character_BP_S_C</t>
  </si>
  <si>
    <t>Necrotic Gigantopithecus</t>
  </si>
  <si>
    <t>NecroticBigfoot_Character_BP_S_C</t>
  </si>
  <si>
    <t>/ArkSupreme/Content/SupremeDinos/Necrotic/Gigantopithecus/NecroticBigfoot_Character_BP_S_C</t>
  </si>
  <si>
    <t>Necrotic Queen Bee</t>
  </si>
  <si>
    <t>Necrotic_Bee_Character_BP_C</t>
  </si>
  <si>
    <t>/ArkSupreme/Content/SupremeDinos/0BeeProgression/1Necrotic/Necrotic_Bee_Character_BP_C</t>
  </si>
  <si>
    <t>Necrotic Queen Bee Parent</t>
  </si>
  <si>
    <t>Bee_Queen_Character_BPNecroticParent_C</t>
  </si>
  <si>
    <t>/ArkSupreme/Content/SupremeDinos/0BeeProgression/1Necrotic/Parent/Bee_Queen_Character_BPNecroticParent_C</t>
  </si>
  <si>
    <t>Grenadier</t>
  </si>
  <si>
    <t>Grenadier Bigfoot</t>
  </si>
  <si>
    <t>Earth</t>
  </si>
  <si>
    <t>GrenadierBigfoot_Character_BP_C</t>
  </si>
  <si>
    <t>/ArkSupreme/Content/SupremeDinos/6Grenadier/Bigfoot/GrenadierBigfoot_Character_BP_C</t>
  </si>
  <si>
    <t>Grenadier Dodo</t>
  </si>
  <si>
    <t xml:space="preserve">Earth </t>
  </si>
  <si>
    <t>GrenadierDodo_Character_BP_C</t>
  </si>
  <si>
    <t>/ArkSupreme/Content/SupremeDinos/6Grenadier/Dodo/GrenadierDodo_Character_BP_C</t>
  </si>
  <si>
    <t>Grenadier Doedic</t>
  </si>
  <si>
    <t>GrenadierDoed_Character_BP_C</t>
  </si>
  <si>
    <t>/ArkSupreme/Content/SupremeDinos/6Grenadier/Doedic/GrenadierDoed_Character_BP_C</t>
  </si>
  <si>
    <t>Grenadier Monkey</t>
  </si>
  <si>
    <t>GrenadierMonkey_Character_BP_C</t>
  </si>
  <si>
    <t>/ArkSupreme/Content/SupremeDinos/6Grenadier/Monkey/GrenadierMonkey_Character_BP_C</t>
  </si>
  <si>
    <t>Grenadier Spino</t>
  </si>
  <si>
    <t>GrenadierSpino_Character_BP_C</t>
  </si>
  <si>
    <t>/ArkSupreme/Content/SupremeDinos/6Grenadier/Spino/GrenadierSpino_Character_BP_C</t>
  </si>
  <si>
    <t>Prime</t>
  </si>
  <si>
    <t>Prime Mammoth</t>
  </si>
  <si>
    <t>Frost</t>
  </si>
  <si>
    <t>Prime_Mammoth_Character_BP_C</t>
  </si>
  <si>
    <t>/ArkSupreme/Content/SupremeDinos/7Prime/Mammoth/Prime_Mammoth_Character_BP_C</t>
  </si>
  <si>
    <t>Prime Saber</t>
  </si>
  <si>
    <t>Prime_Saber_Character_BP_S_C</t>
  </si>
  <si>
    <t>/ArkSupreme/Content/SupremeDinos/7Prime/Saber/Prime_Saber_Character_BP_S_C</t>
  </si>
  <si>
    <t>Prime Queen Bee</t>
  </si>
  <si>
    <t>Prime_Bee_Character_BP_C</t>
  </si>
  <si>
    <t>/ArkSupreme/Content/SupremeDinos/0BeeProgression/2Prime/Parent/Bee_Queen_Character_BPPrimeParent_C</t>
  </si>
  <si>
    <t>Prime Queen Bee Parent</t>
  </si>
  <si>
    <t>Bee_Queen_Character_BPPrimeParent_C</t>
  </si>
  <si>
    <t>/ArkSupreme/Content/SupremeDinos/0BeeProgression/2Prime/Prime_Bee_Character_BP_C</t>
  </si>
  <si>
    <t>Prime Wyvern</t>
  </si>
  <si>
    <t>Prime_Wyvern_Character_BP_S_C</t>
  </si>
  <si>
    <t>/ArkSupreme/Content/SupremeDinos/7Prime/Wyvern/Prime_Wyvern_Character_BP_S_C</t>
  </si>
  <si>
    <t>Prime defenseunit</t>
  </si>
  <si>
    <t>Prime_Defender_Character_BP_C</t>
  </si>
  <si>
    <t>/ArkSupreme/Content/SupremeDinos/7Prime/defenseunit/Prime_Defender_Character_BP_C</t>
  </si>
  <si>
    <t>Nuclear</t>
  </si>
  <si>
    <t>Nuclear Allo</t>
  </si>
  <si>
    <t>Nuclear_Allo_Character_BP_C</t>
  </si>
  <si>
    <t>/ArkSupreme/Content/SupremeDinos/8Nuclear_Vampiric/Nuclear/Allo/Nuclear_Allo_Character_BP_C</t>
  </si>
  <si>
    <t>Nuclear Basilisk</t>
  </si>
  <si>
    <t>Nuclear_Basilisk_Character_BP_C</t>
  </si>
  <si>
    <t>/ArkSupreme/Content/SupremeDinos/8Nuclear_Vampiric/Nuclear/Basilisk/Nuclear_Basilisk_Character_BP_C</t>
  </si>
  <si>
    <t>Nuclear Broodmother</t>
  </si>
  <si>
    <t>NuclearBroodmother_Character_BP_S_C</t>
  </si>
  <si>
    <t>/ArkSupreme/Content/SupremeDinos/8Nuclear_Vampiric/Nuclear/Broodmother/NuclearBroodmother_Character_BP_S_C</t>
  </si>
  <si>
    <t>Nuclear Deathworm</t>
  </si>
  <si>
    <t>Nuclear_Deathworm_Character_BP_C</t>
  </si>
  <si>
    <t>/ArkSupreme/Content/SupremeDinos/8Nuclear_Vampiric/Nuclear/Deathworm/Nuclear_Deathworm_Character_BP_C</t>
  </si>
  <si>
    <t>Nuclear Giga</t>
  </si>
  <si>
    <t>Nuclear_Gigant_Character_BP_C</t>
  </si>
  <si>
    <t>/ArkSupreme/Content/SupremeDinos/8Nuclear_Vampiric/Nuclear/Giga/Nuclear_Gigant_Character_BP_C</t>
  </si>
  <si>
    <t>Nuclear Gorilla</t>
  </si>
  <si>
    <t>Nuclear_Gorilla_Character_BP_C</t>
  </si>
  <si>
    <t>/ArkSupreme/Content/SupremeDinos/8Nuclear_Vampiric/Nuclear/Gorilla/Nuclear_Gorilla_Character_BP_C</t>
  </si>
  <si>
    <t>Nuclear Hydra</t>
  </si>
  <si>
    <t>Nuclear_Hydra_Character_BP_C</t>
  </si>
  <si>
    <t>/ArkSupreme/Content/SupremeDinos/8Nuclear_Vampiric/Nuclear/Hydra/Nuclear_Hydra_Character_BP_C</t>
  </si>
  <si>
    <t>Nuclear maeguana</t>
  </si>
  <si>
    <t>Nuclear_Maelizard_Character_BP_C</t>
  </si>
  <si>
    <t>/ArkSupreme/Content/SupremeDinos/8Nuclear_Vampiric/Nuclear/maeguana/Nuclear_Maelizard_Character_BP_C</t>
  </si>
  <si>
    <t>Nuclear Raptor</t>
  </si>
  <si>
    <t>NuclearRaptor_Character_BP_S_C</t>
  </si>
  <si>
    <t>/ArkSupreme/Content/SupremeDinos/8Nuclear_Vampiric/Nuclear/Raptor/NuclearRaptor_Character_BP_S_C</t>
  </si>
  <si>
    <t>Nuclear Rex</t>
  </si>
  <si>
    <t>Nuclear_Rex_Character_BP_C</t>
  </si>
  <si>
    <t>/ArkSupreme/Content/SupremeDinos/8Nuclear_Vampiric/Nuclear/Rex/Nuclear_Rex_Character_BP_C</t>
  </si>
  <si>
    <t>Nuclear Rockdrake</t>
  </si>
  <si>
    <t>NuclearRockDrake_Character_BP_C</t>
  </si>
  <si>
    <t>/ArkSupreme/Content/SupremeDinos/8Nuclear_Vampiric/Nuclear/Rockdrake/NuclearRockDrake_Character_BP_C</t>
  </si>
  <si>
    <t>Nuclear Saber</t>
  </si>
  <si>
    <t>NuclearSaber_Character_BP_C</t>
  </si>
  <si>
    <t>/ArkSupreme/Content/SupremeDinos/8Nuclear_Vampiric/Nuclear/Saber/NuclearSaber_Character_BP_C</t>
  </si>
  <si>
    <t>Nuclear Sarco</t>
  </si>
  <si>
    <t>NuclearSarco_Character_BP_C</t>
  </si>
  <si>
    <t>/ArkSupreme/Content/SupremeDinos/8Nuclear_Vampiric/Nuclear/Sarco/NuclearSarco_Character_BP_C</t>
  </si>
  <si>
    <t>Nuclear Scorpion</t>
  </si>
  <si>
    <t>NuclearScorpion_Character_BP_S_C</t>
  </si>
  <si>
    <t>/ArkSupreme/Content/SupremeDinos/8Nuclear_Vampiric/Nuclear/Scorpion/NuclearScorpion_Character_BP_S_C</t>
  </si>
  <si>
    <t>Nuclear Spino</t>
  </si>
  <si>
    <t>Hydro</t>
  </si>
  <si>
    <t>NuclearSpino_Character_BP_S_C</t>
  </si>
  <si>
    <t>/ArkSupreme/Content/SupremeDinos/8Nuclear_Vampiric/Nuclear/Spino/NuclearSpino_Character_BP_S_C</t>
  </si>
  <si>
    <t>Nuclear Queen Bee</t>
  </si>
  <si>
    <t>Nuclear_Bee_Character_BP_C</t>
  </si>
  <si>
    <t>/ArkSupreme/Content/SupremeDinos/0BeeProgression/3Nuclear_Vampiric/Nuclear/Nuclear_Bee_Character_BP_C</t>
  </si>
  <si>
    <t>Nuclear Queen Bee Parent</t>
  </si>
  <si>
    <t>Bee_Queen_Character_BPNuclearParent_C</t>
  </si>
  <si>
    <t>/ArkSupreme/Content/SupremeDinos/0BeeProgression/3Nuclear_Vampiric/Nuclear/Parent/Bee_Queen_Character_BPNuclearParent_C</t>
  </si>
  <si>
    <t>Nuclear Wyvern</t>
  </si>
  <si>
    <t>NuclearWyvern_Character_BP_C</t>
  </si>
  <si>
    <t>/ArkSupreme/Content/SupremeDinos/8Nuclear_Vampiric/Nuclear/Wyvern/NuclearWyvern_Character_BP_C</t>
  </si>
  <si>
    <t>Vampiric</t>
  </si>
  <si>
    <t>Vampiric Allo</t>
  </si>
  <si>
    <t>Vampiric_Allo_Character_BP_C</t>
  </si>
  <si>
    <t>/ArkSupreme/Content/SupremeDinos/8Nuclear_Vampiric/Vampiric/Allo/Vampiric_Allo_Character_BP_C</t>
  </si>
  <si>
    <t>Vampiric Basilisk</t>
  </si>
  <si>
    <t>Vampiric_Basilisk_Character_BP_C</t>
  </si>
  <si>
    <t>/ArkSupreme/Content/SupremeDinos/8Nuclear_Vampiric/Vampiric/Basilisk/Vampiric_Basilisk_Character_BP_C</t>
  </si>
  <si>
    <t>Vampiric Broodmother</t>
  </si>
  <si>
    <t>VampiricBroodmother_Character_BP_S_C</t>
  </si>
  <si>
    <t>/ArkSupreme/Content/SupremeDinos/8Nuclear_Vampiric/Vampiric/Broodmother/VampiricBroodmother_Character_BP_S_C</t>
  </si>
  <si>
    <t>Vampiric Deathworm</t>
  </si>
  <si>
    <t>Vampiric_Deathworm_Character_BP_C</t>
  </si>
  <si>
    <t>/ArkSupreme/Content/SupremeDinos/8Nuclear_Vampiric/Vampiric/Deathworm/Vampiric_Deathworm_Character_BP_C</t>
  </si>
  <si>
    <t>Vampiric Giga</t>
  </si>
  <si>
    <t>Vampiric_Gigant_Character_BP_C</t>
  </si>
  <si>
    <t>/ArkSupreme/Content/SupremeDinos/8Nuclear_Vampiric/Vampiric/Giga/Vampiric_Gigant_Character_BP_C</t>
  </si>
  <si>
    <t>Vampiric Gorilla</t>
  </si>
  <si>
    <t>Vampiric_Gorilla_Character_BP_C</t>
  </si>
  <si>
    <t>/ArkSupreme/Content/SupremeDinos/8Nuclear_Vampiric/Vampiric/Gorilla/Vampiric_Gorilla_Character_BP_C</t>
  </si>
  <si>
    <t>Vampiric Hydra</t>
  </si>
  <si>
    <t>Vampiric_Hydra_Character_BP_C</t>
  </si>
  <si>
    <t>/ArkSupreme/Content/SupremeDinos/8Nuclear_Vampiric/Vampiric/Hydra/Vampiric_Hydra_Character_BP_C</t>
  </si>
  <si>
    <t>Vampiric maeguana</t>
  </si>
  <si>
    <t>Vampiric_Maelizard_Character_BP_C</t>
  </si>
  <si>
    <t>/ArkSupreme/Content/SupremeDinos/8Nuclear_Vampiric/Vampiric/maeguana/Vampiric_Maelizard_Character_BP_C</t>
  </si>
  <si>
    <t>Vampiric Raptor</t>
  </si>
  <si>
    <t>VampiricRaptor_Character_BP_S_C</t>
  </si>
  <si>
    <t>/ArkSupreme/Content/SupremeDinos/8Nuclear_Vampiric/Vampiric/Raptor/VampiricRaptor_Character_BP_S_C</t>
  </si>
  <si>
    <t>Vampiric Rex</t>
  </si>
  <si>
    <t>Vampiric_Rex_Character_BP_C</t>
  </si>
  <si>
    <t>/ArkSupreme/Content/SupremeDinos/8Nuclear_Vampiric/Vampiric/Rex/Vampiric_Rex_Character_BP_C</t>
  </si>
  <si>
    <t>Vampiric Rockdrake</t>
  </si>
  <si>
    <t>Vampiric_RockDrake_Character_BP_C</t>
  </si>
  <si>
    <t>/ArkSupreme/Content/SupremeDinos/8Nuclear_Vampiric/Vampiric/Rockdrake/Vampiric_RockDrake_Character_BP_C</t>
  </si>
  <si>
    <t>Vampiric Saber</t>
  </si>
  <si>
    <t>Vampiric_Saber_Character_BP_C</t>
  </si>
  <si>
    <t>/ArkSupreme/Content/SupremeDinos/8Nuclear_Vampiric/Vampiric/Saber/Vampiric_Saber_Character_BP_C</t>
  </si>
  <si>
    <t>Vampiric Sarco</t>
  </si>
  <si>
    <t>Vampiric_Sarco_Character_BP_C</t>
  </si>
  <si>
    <t>/ArkSupreme/Content/SupremeDinos/8Nuclear_Vampiric/Vampiric/Sarco/Vampiric_Sarco_Character_BP_C</t>
  </si>
  <si>
    <t>Vampiric Scorpion</t>
  </si>
  <si>
    <t>VampiricScorpion_Character_BP_S_C</t>
  </si>
  <si>
    <t>/ArkSupreme/Content/SupremeDinos/8Nuclear_Vampiric/Vampiric/Scorpion/VampiricScorpion_Character_BP_S_C</t>
  </si>
  <si>
    <t>Vampiric Spino</t>
  </si>
  <si>
    <t>VampiricSpino_Character_BP_S_C</t>
  </si>
  <si>
    <t>/ArkSupreme/Content/SupremeDinos/8Nuclear_Vampiric/Vampiric/Spino/VampiricSpino_Character_BP_S_C</t>
  </si>
  <si>
    <t>Vampiric Queen Bee</t>
  </si>
  <si>
    <t>Vampiric_Bee_Character_BP_C</t>
  </si>
  <si>
    <t>/ArkSupreme/Content/SupremeDinos/0BeeProgression/3Nuclear_Vampiric/Vampiric/Parent/Bee_Queen_Character_BPVampiricParent_C</t>
  </si>
  <si>
    <t>Vampiric Queen Bee Parent</t>
  </si>
  <si>
    <t>Bee_Queen_Character_BPVampiricParent_C</t>
  </si>
  <si>
    <t>/ArkSupreme/Content/SupremeDinos/0BeeProgression/3Nuclear_Vampiric/Vampiric/Vampiric_Bee_Character_BP_C</t>
  </si>
  <si>
    <t>Vampiric Wyvern</t>
  </si>
  <si>
    <t>VampiricWyvern_Character_BP_C</t>
  </si>
  <si>
    <t>/ArkSupreme/Content/SupremeDinos/8Nuclear_Vampiric/Vampiric/Wyvern/VampiricWyvern_Character_BP_C</t>
  </si>
  <si>
    <t>Wardens</t>
  </si>
  <si>
    <t>Wardens Gorilla</t>
  </si>
  <si>
    <t>Nature</t>
  </si>
  <si>
    <t>WardenGorilla_Character_BP_C</t>
  </si>
  <si>
    <t>/ArkSupreme/Content/SupremeDinos/Wardens/Gorilla/WardenGorilla_Character_BP_C</t>
  </si>
  <si>
    <t>Wardens Manticore</t>
  </si>
  <si>
    <t>WardenManticore_Character_BP_C</t>
  </si>
  <si>
    <t>/ArkSupreme/Content/SupremeDinos/Wardens/Manticore/WardenManticore_Character_BP_C</t>
  </si>
  <si>
    <t>Wardens Rex</t>
  </si>
  <si>
    <t>Warden_Rex_Character_BP_C</t>
  </si>
  <si>
    <t>/ArkSupreme/Content/SupremeDinos/Wardens/Rex/Warden_Rex_Character_BP_C</t>
  </si>
  <si>
    <t>Wardens Trike</t>
  </si>
  <si>
    <t>Warden_Trike_Character_BP_C</t>
  </si>
  <si>
    <t>/ArkSupreme/Content/SupremeDinos/Wardens/Trike/Warden_Trike_Character_BP_C</t>
  </si>
  <si>
    <t>Wardens Wyvern</t>
  </si>
  <si>
    <t>Warden_Wyvern_Character_BP_Fire_C</t>
  </si>
  <si>
    <t>/ArkSupreme/Content/SupremeDinos/Wardens/Wyvern/Warden_Wyvern_Character_BP_Fire_C</t>
  </si>
  <si>
    <t>Corrupted</t>
  </si>
  <si>
    <t>Corrupted Golem</t>
  </si>
  <si>
    <t>Storm</t>
  </si>
  <si>
    <t>CorruptedDarkGodRockGolem_Character_BP_C</t>
  </si>
  <si>
    <t>/ArkSupreme/Content/SupremeDinos/X12Corrupted/Golem/CorruptedDarkGodRockGolem_Character_BP_C</t>
  </si>
  <si>
    <t>Corrupted Rex</t>
  </si>
  <si>
    <t>CorruptedDarkGodRex_Character_BP_C</t>
  </si>
  <si>
    <t>/ArkSupreme/Content/SupremeDinos/X12Corrupted/Rex/CorruptedDarkGodRex_Character_BP_C</t>
  </si>
  <si>
    <t>Corrupted Spider</t>
  </si>
  <si>
    <t>CorruptedDarkGodBroodmother_Character_BP_C</t>
  </si>
  <si>
    <t>/ArkSupreme/Content/SupremeDinos/X12Corrupted/Spider/CorruptedDarkGodBroodmother_Character_BP_C</t>
  </si>
  <si>
    <t>Hellfire</t>
  </si>
  <si>
    <t>Hellfire Argent</t>
  </si>
  <si>
    <t>Volcanic</t>
  </si>
  <si>
    <t>HellfireArgent_Character_BP_S_C</t>
  </si>
  <si>
    <t>/ArkSupreme/Content/SupremeDinos/Hellfire/Argent/HellfireArgent_Character_BP_S_C</t>
  </si>
  <si>
    <t>Hellfire Deathworm</t>
  </si>
  <si>
    <t>Hellfire_Deathworm_Character_BP_C</t>
  </si>
  <si>
    <t>/ArkSupreme/Content/SupremeDinos/Hellfire/Deathworm/Hellfire_Deathworm_Character_BP_C</t>
  </si>
  <si>
    <t>Hellfire Dragon</t>
  </si>
  <si>
    <t>Hellfire_Dragon_Character_BP_C</t>
  </si>
  <si>
    <t>/ArkSupreme/Content/SupremeDinos/Hellfire/Dragon/Hellfire_Dragon_Character_BP_C</t>
  </si>
  <si>
    <t>Hellfire Gorilla</t>
  </si>
  <si>
    <t xml:space="preserve">Volcanic </t>
  </si>
  <si>
    <t>Gorilla_Character_BP_Hellfire_C</t>
  </si>
  <si>
    <t>/ArkSupreme/Content/SupremeDinos/Hellfire/Gorilla/Gorilla_Character_BP_Hellfire_C</t>
  </si>
  <si>
    <t>Hellfire Kingkaiju</t>
  </si>
  <si>
    <t>Hellfire_KingTitan_Character_BP_C</t>
  </si>
  <si>
    <t>/ArkSupreme/Content/SupremeDinos/Hellfire/Kingkaiju/Hellfire_KingTitan_Character_BP_C</t>
  </si>
  <si>
    <t>Hellfire Ravager</t>
  </si>
  <si>
    <t>Hellfire_CaveWolf_Character_BP_C</t>
  </si>
  <si>
    <t>/ArkSupreme/Content/SupremeDinos/Hellfire/Ravager/Hellfire_CaveWolf_Character_BP_C</t>
  </si>
  <si>
    <t>Hellfire Rex</t>
  </si>
  <si>
    <t>Hellfire_Rex_Character_BP_C</t>
  </si>
  <si>
    <t>/ArkSupreme/Content/SupremeDinos/Hellfire/Rex/Hellfire_Rex_Character_BP_C</t>
  </si>
  <si>
    <t>Hellfire Queen Bee</t>
  </si>
  <si>
    <t>Hellfire_Bee_Character_BP_C</t>
  </si>
  <si>
    <t>/ArkSupreme/Content/SupremeDinos/0BeeProgression/4Hellfire/Hellfire_Bee_Character_BP_C</t>
  </si>
  <si>
    <t>Hellfire Queen Bee Parent</t>
  </si>
  <si>
    <t>Bee_Queen_Character_BPHellfireParent_C</t>
  </si>
  <si>
    <t>/ArkSupreme/Content/SupremeDinos/0BeeProgression/4Hellfire/Parent/Bee_Queen_Character_BPHellfireParent_C</t>
  </si>
  <si>
    <t>Hellfire Wyvern</t>
  </si>
  <si>
    <t>Hellfire_Wyvern_Character_BP_C</t>
  </si>
  <si>
    <t>/ArkSupreme/Content/SupremeDinos/Hellfire/Wyvern/Hellfire_Wyvern_Character_BP_C</t>
  </si>
  <si>
    <t>Darkgod</t>
  </si>
  <si>
    <t>Darkgod Crab</t>
  </si>
  <si>
    <t>Plasma</t>
  </si>
  <si>
    <t>DarkGodCrab_Character_BP_S_C</t>
  </si>
  <si>
    <t>/ArkSupreme/Content/SupremeDinos/Darkgod/Crab/DarkGodCrab_Character_BP_S_C</t>
  </si>
  <si>
    <t>Darkgod Golem</t>
  </si>
  <si>
    <t>DarkGodRockGolem_Character_BP_C</t>
  </si>
  <si>
    <t>/ArkSupreme/Content/SupremeDinos/Darkgod/Golem/DarkGodRockGolem_Character_BP_C</t>
  </si>
  <si>
    <t>Darkgod Rex</t>
  </si>
  <si>
    <t>DarkGodRex_Character_BP_C</t>
  </si>
  <si>
    <t>/ArkSupreme/Content/SupremeDinos/Darkgod/Rex/DarkGodRex_Character_BP_C</t>
  </si>
  <si>
    <t>Darkgod Queen Bee</t>
  </si>
  <si>
    <t>Darkgod_Bee_Character_BP_C</t>
  </si>
  <si>
    <t>/ArkSupreme/Content/SupremeDinos/0BeeProgression/DarkGod/Darkgod_Bee_Character_BP_C</t>
  </si>
  <si>
    <t>Darkgod Queen Bee Parent</t>
  </si>
  <si>
    <t>Bee_Queen_Character_BPDarkgodParent_C</t>
  </si>
  <si>
    <t>/ArkSupreme/Content/SupremeDinos/0BeeProgression/DarkGod/Parent/Bee_Queen_Character_BPDarkgodParent_C</t>
  </si>
  <si>
    <t>Darkgod Spider</t>
  </si>
  <si>
    <t>DarkGodBroodmother_Character_BP_C</t>
  </si>
  <si>
    <t>/ArkSupreme/Content/SupremeDinos/Darkgod/Spider/DarkGodBroodmother_Character_BP_C</t>
  </si>
  <si>
    <t>Spectral</t>
  </si>
  <si>
    <t>Spectral Gorilla</t>
  </si>
  <si>
    <t>Ghost</t>
  </si>
  <si>
    <t>SpectralWarden_Gorilla_Character_BP_C</t>
  </si>
  <si>
    <t>/ArkSupreme/Content/SupremeDinos/Spectral/Gorilla/SpectralWarden_Gorilla_Character_BP_C</t>
  </si>
  <si>
    <t>Spectral Kaiju</t>
  </si>
  <si>
    <t>SpectralWarden_KingTitan_Character_BP_C</t>
  </si>
  <si>
    <t>/ArkSupreme/Content/SupremeDinos/Spectral/Kaiju/SpectralWarden_KingTitan_Character_BP_C</t>
  </si>
  <si>
    <t>Spectral Manticore</t>
  </si>
  <si>
    <t>SpectralWarden_Manticore_Character_BP_C</t>
  </si>
  <si>
    <t>/ArkSupreme/Content/SupremeDinos/Spectral/Manticore/SpectralWarden_Manticore_Character_BP_C</t>
  </si>
  <si>
    <t>Spectral Rex</t>
  </si>
  <si>
    <t>SpectralWarden_Rex_Character_BP_C</t>
  </si>
  <si>
    <t>/ArkSupreme/Content/SupremeDinos/Spectral/Rex/SpectralWarden_Rex_Character_BP_C</t>
  </si>
  <si>
    <t>Spectral Trike</t>
  </si>
  <si>
    <t>SpectralWarden_Trike_Character_BP_C</t>
  </si>
  <si>
    <t>/ArkSupreme/Content/SupremeDinos/Spectral/Trike/SpectralWarden_Trike_Character_BP_C</t>
  </si>
  <si>
    <t>Spectral Wyvern</t>
  </si>
  <si>
    <t>SpectralWarden_Wyvern_Character_BP_Fire_C</t>
  </si>
  <si>
    <t>/ArkSupreme/Content/SupremeDinos/Spectral/Wyvern/SpectralWarden_Wyvern_Character_BP_Fire_C</t>
  </si>
  <si>
    <t>Berserk King Desert</t>
  </si>
  <si>
    <t>BerserkKingOfTheDesert_Character_BP_C</t>
  </si>
  <si>
    <t>/ArkSupreme/Content/SupremeBosses/TieredBosses/4BerserkKings/KingOfDesert/BerserkKingOfTheDesert_Character_BP_C</t>
  </si>
  <si>
    <t>Berserk King Grasslands</t>
  </si>
  <si>
    <t>BerserkKingOfTheGrasslands_Character_BP_C</t>
  </si>
  <si>
    <t>/ArkSupreme/Content/SupremeBosses/TieredBosses/4BerserkKings/KingOfGrasslands/BerserkKingOfTheGrasslands_Character_BP_C</t>
  </si>
  <si>
    <t>Berserk King Swamps</t>
  </si>
  <si>
    <t>BerserkKingOfTheSwamp_Character_BP_C</t>
  </si>
  <si>
    <t>/ArkSupreme/Content/SupremeBosses/TieredBosses/4BerserkKings/KingOfSwamps/BerserkKingOfTheSwamp_Character_BP_C</t>
  </si>
  <si>
    <t>Necrotic Golem BOSS</t>
  </si>
  <si>
    <t>NecroticGolem_Character_BP_BOSS_C</t>
  </si>
  <si>
    <t>/ArkSupreme/Content/SupremeBosses/TieredBosses/NecBoss/NecroticGolem_Character_BP_BOSS_C</t>
  </si>
  <si>
    <t>Necrotic Golem Tameable</t>
  </si>
  <si>
    <t>NecroticGolem_Character_BP_BOSS_Tameable_C</t>
  </si>
  <si>
    <t>/ArkSupreme/Content/SupremeBosses/TameableTieredBosses/NecBoss/NecroticGolem_Character_BP_BOSS_Tameable_C</t>
  </si>
  <si>
    <t>Grenadier Bigfoot BOSS</t>
  </si>
  <si>
    <t>GrenadierBigfoot_Character_BP_BOSS_C</t>
  </si>
  <si>
    <t>/ArkSupreme/Content/SupremeBosses/BossTier/Grenadier/Bigfoot/GrenadierBigfoot_Character_BP_BOSS_C</t>
  </si>
  <si>
    <t>Grenadier Dodo BOSS</t>
  </si>
  <si>
    <t>GrenadierDodo_Character_BP_BOSS_C</t>
  </si>
  <si>
    <t>/ArkSupreme/Content/SupremeBosses/BossTier/Grenadier/Dodo/GrenadierDodo_Character_BP_BOSS_C</t>
  </si>
  <si>
    <t>Grenadier Doedic BOSS</t>
  </si>
  <si>
    <t>GrenadierDoed_Character_BP_BOSS_C</t>
  </si>
  <si>
    <t>/ArkSupreme/Content/SupremeBosses/BossTier/Grenadier/Doedic/GrenadierDoed_Character_BP_BOSS_C</t>
  </si>
  <si>
    <t>Grenadier Monkey BOSS</t>
  </si>
  <si>
    <t>GrenadierMonkey_Character_BP_BOSS_C</t>
  </si>
  <si>
    <t>/ArkSupreme/Content/SupremeBosses/BossTier/Grenadier/Monkey/GrenadierMonkey_Character_BP_BOSS_C</t>
  </si>
  <si>
    <t>Grenadier Spino BOSS</t>
  </si>
  <si>
    <t>GrenadierSpino_Character_BP_BOSS_C</t>
  </si>
  <si>
    <t>/ArkSupreme/Content/SupremeBosses/BossTier/Grenadier/Spino/GrenadierSpino_Character_BP_BOSS_C</t>
  </si>
  <si>
    <t>Prime Ferox BOSS</t>
  </si>
  <si>
    <t>Bionic_Ferox_Character_BP_C</t>
  </si>
  <si>
    <t>/ArkSupreme/Content/SupremeBosses/TieredBosses/7PrimeGuardians/Ferox/Bionic_Ferox_Character_BP_C</t>
  </si>
  <si>
    <t>Prime Broodmother BOSS</t>
  </si>
  <si>
    <t>Prime_SpiderL_Character_BP_C</t>
  </si>
  <si>
    <t>/ArkSupreme/Content/SupremeBosses/TieredBosses/7PrimeGuardians/Spider/Prime_SpiderL_Character_BP_C</t>
  </si>
  <si>
    <t>Prime Spino BOSS</t>
  </si>
  <si>
    <t>/ArkSupreme/Content/SupremeBosses/TieredBosses/7PrimeGuardians/Spino/BerserkSpino_Character_BP_S_C</t>
  </si>
  <si>
    <t>Wardens Gorilla BOSS</t>
  </si>
  <si>
    <t>WardenGorilla_Character_BP_BOSS_C</t>
  </si>
  <si>
    <t>/ArkSupreme/Content/SupremeBosses/BossTier/Wardens/Gorilla/WardenGorilla_Character_BP_BOSS_C</t>
  </si>
  <si>
    <t>Wardens Manticore BOSS</t>
  </si>
  <si>
    <t>WardenManticore_Character_BP_BOSS_C</t>
  </si>
  <si>
    <t>/ArkSupreme/Content/SupremeBosses/BossTier/Wardens/Manticore/WardenManticore_Character_BP_BOSS_C</t>
  </si>
  <si>
    <t>Wardens Rex BOSS</t>
  </si>
  <si>
    <t>Warden_Rex_Character_BP_BOSS_C</t>
  </si>
  <si>
    <t>/ArkSupreme/Content/SupremeBosses/BossTier/Wardens/Rex/Warden_Rex_Character_BP_BOSS_C</t>
  </si>
  <si>
    <t>Wardens Trike BOSS</t>
  </si>
  <si>
    <t>Warden_Trike_Character_BP_BOSS_C</t>
  </si>
  <si>
    <t>/ArkSupreme/Content/SupremeBosses/BossTier/Wardens/Trike/Warden_Trike_Character_BP_BOSS_C</t>
  </si>
  <si>
    <t>Wardens Wyvern BOSS</t>
  </si>
  <si>
    <t>Warden_Wyvern_Character_BP_Fire_BOSS_C</t>
  </si>
  <si>
    <t>/ArkSupreme/Content/SupremeBosses/BossTier/Wardens/Wyvern/Warden_Wyvern_Character_BP_Fire_BOSS_C</t>
  </si>
  <si>
    <t>Warden Kaiju BOSS</t>
  </si>
  <si>
    <t>Warden_KingTitan_Character_BP_C</t>
  </si>
  <si>
    <t>/ArkSupreme/Content/SupremeBosses/TieredBosses/SupremeWarden/Warden_KingTitan_Character_BP_C</t>
  </si>
  <si>
    <t>Hellfire BOSS</t>
  </si>
  <si>
    <t>HellfireBOSS_Character_BP_C</t>
  </si>
  <si>
    <t>/ArkSupreme/Content/SupremeBosses/TieredBosses/Hellfire/HellfireBOSS_Character_BP_C</t>
  </si>
  <si>
    <t>Darkgod King BOSS</t>
  </si>
  <si>
    <t>DarkgodKing_Character_BP_C</t>
  </si>
  <si>
    <t>/ArkSupreme/Content/SupremeBosses/TieredBosses/godboss/DarkgodKing_Character_BP_C</t>
  </si>
  <si>
    <t>Lootbosses Toxic Tribesman Minion</t>
  </si>
  <si>
    <t>ToxicTribesman_Character_BP_Minion_C</t>
  </si>
  <si>
    <t>/ArkSupreme/Content/SupremeBosses/Lootbosses/1Toxic/ToxicTribesman_Character_BP_Minion_C</t>
  </si>
  <si>
    <t>Lootbosses Toxic Tribesman Chief</t>
  </si>
  <si>
    <t>ToxicTribesmanChief_Character_BP_C</t>
  </si>
  <si>
    <t>/ArkSupreme/Content/SupremeBosses/Lootbosses/1Toxic/ToxicTribesmanChief_Character_BP_C</t>
  </si>
  <si>
    <t>Lootbosses Berserk Tribesman Minion</t>
  </si>
  <si>
    <t>BerserkTribesman_Character_BP_Pistol_Minion_C</t>
  </si>
  <si>
    <t>/ArkSupreme/Content/SupremeBosses/Lootbosses/2Berserk/BerserkTribesman_Character_BP_Pistol_C</t>
  </si>
  <si>
    <t>Lootbosses Berserk Tribesman Chief</t>
  </si>
  <si>
    <t>BerserkTribesman_Character_BP_Pistol_C</t>
  </si>
  <si>
    <t>/ArkSupreme/Content/SupremeBosses/Lootbosses/2Berserk/BerserkTribesman_Character_BP_Pistol_Minion_C</t>
  </si>
  <si>
    <t>Lootbosses Necrotic Tribesman Minion</t>
  </si>
  <si>
    <t>NecroticTribesman_Character_BP_Minion_C</t>
  </si>
  <si>
    <t>/ArkSupreme/Content/SupremeBosses/Lootbosses/4Necrotic/ChiefNecroticTribesman_Character_BP_C</t>
  </si>
  <si>
    <t>ChiefNecroticTribesman_Character_BP_C</t>
  </si>
  <si>
    <t>/ArkSupreme/Content/SupremeBosses/Lootbosses/4Necrotic/NecroticTribesman_Character_BP_Minion_C</t>
  </si>
  <si>
    <t>Lootbosses Prime Thrall with Shotgun</t>
  </si>
  <si>
    <t>Thrall_Character_BP_WithShotgun_C</t>
  </si>
  <si>
    <t>/ArkSupreme/Content/SupremeBosses/Lootbosses/Prime/Thrall_Character_BP_WithShotgun_C</t>
  </si>
  <si>
    <t>Lootbosses Nuclear Thrall with Rocket Launcher</t>
  </si>
  <si>
    <t>Thrall_Character_BP_WithRocketLauncher_C</t>
  </si>
  <si>
    <t>/ArkSupreme/Content/SupremeBosses/Lootbosses/6Nuclear/Thrall_Character_BP_WithRocketLauncher_C</t>
  </si>
  <si>
    <t>Lootbosses Hellfire Thrall with Flamethrower</t>
  </si>
  <si>
    <t>Thrall_Character_BP_WithFlamethrower_C</t>
  </si>
  <si>
    <t>/ArkSupreme/Content/SupremeBosses/Lootbosses/7Hellfire/Thrall_Character_BP_WithFlamethrower_C</t>
  </si>
  <si>
    <t>Blood/Narcotics</t>
  </si>
  <si>
    <t>Item Order</t>
  </si>
  <si>
    <t>Item Type</t>
  </si>
  <si>
    <t>Engram Name</t>
  </si>
  <si>
    <t>Class</t>
  </si>
  <si>
    <t>Spawn (Amount, Quality, Force Blueprint)</t>
  </si>
  <si>
    <t>Unlock String</t>
  </si>
  <si>
    <t>Disable Item - Add to Game.ini - If you remove items you could ruin mod progression</t>
  </si>
  <si>
    <t>Blood Alpha</t>
  </si>
  <si>
    <t>PrimalItemConsumable_Blood_Alpha_C</t>
  </si>
  <si>
    <t>/PrimalNemesis/3Items/Bloods/1Alpha/PrimalItemConsumable_Blood_Alpha.PrimalItemConsumable_Blood_Alpha</t>
  </si>
  <si>
    <t>Blood Apex</t>
  </si>
  <si>
    <t>PrimalItemConsumable_Blood_Apex_C</t>
  </si>
  <si>
    <t>/PrimalNemesis/3Items/Bloods/2Apex/PrimalItemConsumable_Blood_Apex.PrimalItemConsumable_Blood_Apex</t>
  </si>
  <si>
    <t>Blood Bionic</t>
  </si>
  <si>
    <t>PrimalItemConsumable_Blood_Bionic_C</t>
  </si>
  <si>
    <t>/PrimalNemesis/3Items/Bloods/4ADVElement/Bionic/PrimalItemConsumable_Blood_Bionic.PrimalItemConsumable_Blood_Bionic</t>
  </si>
  <si>
    <t>Blood Celestial</t>
  </si>
  <si>
    <t>PrimalItemConsumable_Blood_Celestial_C</t>
  </si>
  <si>
    <t>/PrimalNemesis/3Items/Bloods/6DemonicAndCelestial/Celestial/PrimalItemConsumable_Blood_Celestial.PrimalItemConsumable_Blood_Celestial</t>
  </si>
  <si>
    <t>Blood Demonic</t>
  </si>
  <si>
    <t>PrimalItemConsumable_Blood_Demonic_C</t>
  </si>
  <si>
    <t>/PrimalNemesis/3Items/Bloods/6DemonicAndCelestial/Demonic/PrimalItemConsumable_Blood_Demonic.PrimalItemConsumable_Blood_Demonic</t>
  </si>
  <si>
    <t>Blood Earth</t>
  </si>
  <si>
    <t>PrimalItemConsumable_Blood_Earth_C</t>
  </si>
  <si>
    <t>/PrimalNemesis/3Items/Bloods/3Elemental/Earth/PrimalItemConsumable_Blood_Earth.PrimalItemConsumable_Blood_Earth</t>
  </si>
  <si>
    <t>Blood Frost</t>
  </si>
  <si>
    <t>PrimalItemConsumable_Blood_Frost_C</t>
  </si>
  <si>
    <t>/PrimalNemesis/3Items/Bloods/3Elemental/Frost/PrimalItemConsumable_Blood_Frost.PrimalItemConsumable_Blood_Frost</t>
  </si>
  <si>
    <t>Blood Hydro</t>
  </si>
  <si>
    <t>PrimalItemConsumable_Blood_Hydro_C</t>
  </si>
  <si>
    <t>/PrimalNemesis/3Items/Bloods/3Elemental/Hydro/PrimalItemConsumable_Blood_Hydro.PrimalItemConsumable_Blood_Hydro</t>
  </si>
  <si>
    <t>Blood Nature</t>
  </si>
  <si>
    <t>PrimalItemConsumable_Blood_Nature_C</t>
  </si>
  <si>
    <t>/PrimalNemesis/3Items/Bloods/3Elemental/Nature/PrimalItemConsumable_Blood_Nature.PrimalItemConsumable_Blood_Nature</t>
  </si>
  <si>
    <t>Blood Parent</t>
  </si>
  <si>
    <t>PrimalItemConsumable_Blood_Parent_ADV</t>
  </si>
  <si>
    <t>/PrimalNemesis/3Items/Bloods/3Elemental/PrimalItemConsumable_Blood_Parent.PrimalItemConsumable_Blood_Parent</t>
  </si>
  <si>
    <t>Blood Parent ADV</t>
  </si>
  <si>
    <t>PrimalItemConsumable_Blood_Parent_C</t>
  </si>
  <si>
    <t>/PrimalNemesis/3Items/Bloods/4ADVElement/PrimalItemConsumable_Blood_Parent_ADV.PrimalItemConsumable_Blood_Parent_ADV</t>
  </si>
  <si>
    <t>Blood Storm</t>
  </si>
  <si>
    <t>PrimalItemConsumable_Blood_Storm_C</t>
  </si>
  <si>
    <t>/PrimalNemesis/3Items/Bloods/3Elemental/Storm/PrimalItemConsumable_Blood_Storm.PrimalItemConsumable_Blood_Storm</t>
  </si>
  <si>
    <t>Blood Volcanic</t>
  </si>
  <si>
    <t>PrimalItemConsumable_Blood_Volcanic_C</t>
  </si>
  <si>
    <t>/PrimalNemesis/3Items/Bloods/3Elemental/Volcanic/PrimalItemConsumable_Blood_Volcanic.PrimalItemConsumable_Blood_Volcanic</t>
  </si>
  <si>
    <t>Narcotic Alpha</t>
  </si>
  <si>
    <t>PrimalItemConsumable_Narcotic_Alpha_C</t>
  </si>
  <si>
    <t>/PrimalNemesis/3Items/Narcotics/1Alpha/PrimalItemConsumable_Narcotic_Alpha.PrimalItemConsumable_Narcotic_Alpha</t>
  </si>
  <si>
    <t>Narcotic Apex</t>
  </si>
  <si>
    <t>PrimalItemConsumable_Narcotic_Apex_C</t>
  </si>
  <si>
    <t>/PrimalNemesis/3Items/Narcotics/2Apex/PrimalItemConsumable_Narcotic_Apex.PrimalItemConsumable_Narcotic_Apex</t>
  </si>
  <si>
    <t>Narcotic Bionic</t>
  </si>
  <si>
    <t>PrimalItemConsumable_Narcotic_Bionic_C</t>
  </si>
  <si>
    <t>/PrimalNemesis/3Items/Narcotics/5Bionic/PrimalItemConsumable_Narcotic_Bionic.PrimalItemConsumable_Narcotic_Bionic</t>
  </si>
  <si>
    <t>Narcotic Celestial</t>
  </si>
  <si>
    <t>PrimalItemConsumable_Narcotic_Celestial_C</t>
  </si>
  <si>
    <t>/PrimalNemesis/3Items/Narcotics/6DemonicAndCelestial/Celestial/PrimalItemConsumable_Narcotic_Celestial.PrimalItemConsumable_Narcotic_Celestial</t>
  </si>
  <si>
    <t>Narcotic Child</t>
  </si>
  <si>
    <t>PrimalItemConsumable_Narcotic_Child_C</t>
  </si>
  <si>
    <t>/PrimalNemesis/2Structures/Cauldron/Other/PrimalItemConsumable_Narcotic_Child.PrimalItemConsumable_Narcotic_Child</t>
  </si>
  <si>
    <t>Narcotic Demonic</t>
  </si>
  <si>
    <t>PrimalItemConsumable_Narcotic_Demonic_C</t>
  </si>
  <si>
    <t>/PrimalNemesis/3Items/Narcotics/6DemonicAndCelestial/Demonic/PrimalItemConsumable_Narcotic_Demonic.PrimalItemConsumable_Narcotic_Demonic</t>
  </si>
  <si>
    <t>Narcotic Element</t>
  </si>
  <si>
    <t>PrimalItemConsumable_Narcotic_Element_C</t>
  </si>
  <si>
    <t>/PrimalNemesis/3Items/Narcotics/3Element/PrimalItemConsumable_Narcotic_Element.PrimalItemConsumable_Narcotic_Element</t>
  </si>
  <si>
    <t>Fruit Earth</t>
  </si>
  <si>
    <t>PrimalItemConsumable_Fruit_Earth_C</t>
  </si>
  <si>
    <t>/PrimalNemesis/3Items/Seeds/ElementalSeeds/Earth/PrimalItemConsumable_Fruit_Earth.PrimalItemConsumable_Fruit_Earth</t>
  </si>
  <si>
    <t>Fruit Electric</t>
  </si>
  <si>
    <t>PrimalItemConsumable_Fruit_Electric_C</t>
  </si>
  <si>
    <t>/PrimalNemesis/3Items/Seeds/ElementalSeeds/Electric/PrimalItemConsumable_Fruit_Electric.PrimalItemConsumable_Fruit_Electric</t>
  </si>
  <si>
    <t>Fruit Frost</t>
  </si>
  <si>
    <t>PrimalItemConsumable_Fruit_Frost_C</t>
  </si>
  <si>
    <t>/PrimalNemesis/3Items/Seeds/ElementalSeeds/Frost/PrimalItemConsumable_Fruit_Frost.PrimalItemConsumable_Fruit_Frost</t>
  </si>
  <si>
    <t>Fruit Hydro</t>
  </si>
  <si>
    <t>PrimalItemConsumable_Fruit_Hydro_C</t>
  </si>
  <si>
    <t>/PrimalNemesis/3Items/Seeds/ElementalSeeds/Hydro/PrimalItemConsumable_Fruit_Hydro.PrimalItemConsumable_Fruit_Hydro</t>
  </si>
  <si>
    <t>Fruit Nature</t>
  </si>
  <si>
    <t>PrimalItemConsumable_Fruit_Nature_C</t>
  </si>
  <si>
    <t>/PrimalNemesis/3Items/Seeds/ElementalSeeds/Nature/PrimalItemConsumable_Fruit_Nature.PrimalItemConsumable_Fruit_Nature</t>
  </si>
  <si>
    <t>Fruit Volcanic</t>
  </si>
  <si>
    <t>PrimalItemConsumable_Fruit_Volcanic_C</t>
  </si>
  <si>
    <t>/PrimalNemesis/3Items/Seeds/ElementalSeeds/Volcanic/PrimalItemConsumable_Fruit_Volcanic.PrimalItemConsumable_Fruit_Volcanic</t>
  </si>
  <si>
    <t>Seed Defense Plant</t>
  </si>
  <si>
    <t>PrimalItemConsumable_Seed_DefensePlant_Nemesis_C</t>
  </si>
  <si>
    <t>/PrimalNemesis/Content/2Structures/DefensePlant/PrimalItemConsumable_Seed_DefensePlant_Nemesis</t>
  </si>
  <si>
    <t>Seed Earth</t>
  </si>
  <si>
    <t>PrimalItemConsumable_Seed_Earth_C</t>
  </si>
  <si>
    <t>/PrimalNemesis/3Items/Seeds/ElementalSeeds/Earth/PrimalItemConsumable_Seed_Earth.PrimalItemConsumable_Seed_Earth</t>
  </si>
  <si>
    <t>Seed Electric</t>
  </si>
  <si>
    <t>PrimalItemConsumable_Seed_Electric_C</t>
  </si>
  <si>
    <t>/PrimalNemesis/3Items/Seeds/ElementalSeeds/Electric/PrimalItemConsumable_Seed_Electric.PrimalItemConsumable_Seed_Electric</t>
  </si>
  <si>
    <t>Seed Frost</t>
  </si>
  <si>
    <t>PrimalItemConsumable_Seed_Frost_C</t>
  </si>
  <si>
    <t>/PrimalNemesis/3Items/Seeds/ElementalSeeds/Frost/PrimalItemConsumable_Seed_Frost.PrimalItemConsumable_Seed_Frost</t>
  </si>
  <si>
    <t>Seed Hydro</t>
  </si>
  <si>
    <t>PrimalItemConsumable_Seed_Hydro_C</t>
  </si>
  <si>
    <t>/PrimalNemesis/3Items/Seeds/ElementalSeeds/Hydro/PrimalItemConsumable_Seed_Hydro.PrimalItemConsumable_Seed_Hydro</t>
  </si>
  <si>
    <t>Seed Nature</t>
  </si>
  <si>
    <t>PrimalItemConsumable_Seed_Nature_C</t>
  </si>
  <si>
    <t>/PrimalNemesis/3Items/Seeds/ElementalSeeds/Nature/PrimalItemConsumable_Seed_Nature.PrimalItemConsumable_Seed_Nature</t>
  </si>
  <si>
    <t>Seed Rice</t>
  </si>
  <si>
    <t>PrimalItemConsumable_Seed_Rice_C</t>
  </si>
  <si>
    <t>/PrimalNemesis/3Items/Seeds/RiceSeed/PrimalItemConsumable_Seed_Rice.PrimalItemConsumable_Seed_Rice</t>
  </si>
  <si>
    <t>Seed Seaweed</t>
  </si>
  <si>
    <t>PrimalItemConsumable_Seed_Seaweed_C</t>
  </si>
  <si>
    <t>/PrimalNemesis/3Items/Seeds/SeaWeed/PrimalItemConsumable_Seed_Seaweed.PrimalItemConsumable_Seed_Seaweed</t>
  </si>
  <si>
    <t>Seed Volcanic</t>
  </si>
  <si>
    <t>PrimalItemConsumable_Seed_Volcanic_C</t>
  </si>
  <si>
    <t>/PrimalNemesis/3Items/Seeds/ElementalSeeds/Volcanic/PrimalItemConsumable_Seed_Volcanic.PrimalItemConsumable_Seed_Volcanic</t>
  </si>
  <si>
    <t>Kelp</t>
  </si>
  <si>
    <t>PrimalItemResource_Kelp_C</t>
  </si>
  <si>
    <t>/PrimalNemesis/3Items/Kelp/PrimalItemResource_Kelp.PrimalItemResource_Kelp</t>
  </si>
  <si>
    <t>Rice</t>
  </si>
  <si>
    <t>PrimalItemResource_Rice_C</t>
  </si>
  <si>
    <t>/PrimalNemesis/3Items/Rice/PrimalItemResource_Rice.PrimalItemResource_Rice</t>
  </si>
  <si>
    <t>Unfert Eggs</t>
  </si>
  <si>
    <t>PrimalItemConsumable_Egg_Unfertilized</t>
  </si>
  <si>
    <t>Egg Alpha</t>
  </si>
  <si>
    <t>PrimalItemConsumable_Egg_Alpha_C</t>
  </si>
  <si>
    <t>/PrimalNemesis/3Items/eggs/1Alpha/PrimalItemConsumable_Egg_Alpha.PrimalItemConsumable_Egg_Alpha</t>
  </si>
  <si>
    <t>Egg Apex</t>
  </si>
  <si>
    <t>PrimalItemConsumable_Egg_Apex_C</t>
  </si>
  <si>
    <t>/PrimalNemesis/3Items/eggs/2Apex/PrimalItemConsumable_Egg_Apex.PrimalItemConsumable_Egg_Apex</t>
  </si>
  <si>
    <t>Egg Bionic</t>
  </si>
  <si>
    <t>PrimalItemConsumable_Egg_Bionic_C</t>
  </si>
  <si>
    <t>/PrimalNemesis/3Items/eggs/5Bionic/PrimalItemConsumable_Egg_Bionic.PrimalItemConsumable_Egg_Bionic</t>
  </si>
  <si>
    <t>Egg Celestial</t>
  </si>
  <si>
    <t>PrimalItemConsumable_Egg_Celestial_C</t>
  </si>
  <si>
    <t>/PrimalNemesis/3Items/eggs/6DemonicAndCelestial/Celestial/PrimalItemConsumable_Egg_Celestial.PrimalItemConsumable_Egg_Celestial</t>
  </si>
  <si>
    <t>Egg Demonic</t>
  </si>
  <si>
    <t>PrimalItemConsumable_Egg_Demonic_C</t>
  </si>
  <si>
    <t>/PrimalNemesis/3Items/eggs/6DemonicAndCelestial/Demonic/PrimalItemConsumable_Egg_Demonic.PrimalItemConsumable_Egg_Demonic</t>
  </si>
  <si>
    <t>Egg Earth</t>
  </si>
  <si>
    <t>PrimalItemConsumable_Egg_Earth_C</t>
  </si>
  <si>
    <t>/PrimalNemesis/3Items/eggs/3Element/Earth/PrimalItemConsumable_Egg_Earth.PrimalItemConsumable_Egg_Earth</t>
  </si>
  <si>
    <t>Egg Electric</t>
  </si>
  <si>
    <t>PrimalItemConsumable_Egg_Electric_C</t>
  </si>
  <si>
    <t>/PrimalNemesis/3Items/eggs/3Element/Electric/PrimalItemConsumable_Egg_Electric.PrimalItemConsumable_Egg_Electric</t>
  </si>
  <si>
    <t>Egg Frost</t>
  </si>
  <si>
    <t>PrimalItemConsumable_Egg_frost_C</t>
  </si>
  <si>
    <t>/PrimalNemesis/3Items/eggs/3Element/Frost/PrimalItemConsumable_Egg_frost.PrimalItemConsumable_Egg_frost</t>
  </si>
  <si>
    <t>Egg Hydro</t>
  </si>
  <si>
    <t>PrimalItemConsumable_Egg_Hydro_C</t>
  </si>
  <si>
    <t>/PrimalNemesis/3Items/eggs/3Element/Hydro/PrimalItemConsumable_Egg_Hydro.PrimalItemConsumable_Egg_Hydro</t>
  </si>
  <si>
    <t>Egg Nature</t>
  </si>
  <si>
    <t>PrimalItemConsumable_Egg_Nature_C</t>
  </si>
  <si>
    <t>/PrimalNemesis/3Items/eggs/3Element/Nature/PrimalItemConsumable_Egg_Nature.PrimalItemConsumable_Egg_Nature</t>
  </si>
  <si>
    <t>Egg Volcanic</t>
  </si>
  <si>
    <t>PrimalItemConsumable_Egg_Volcanic_C</t>
  </si>
  <si>
    <t>/PrimalNemesis/3Items/eggs/3Element/Volcanic/PrimalItemConsumable_Egg_Volcanic.PrimalItemConsumable_Egg_Volcanic</t>
  </si>
  <si>
    <t>Egg Titan Earth</t>
  </si>
  <si>
    <t>PrimalItemConsumable_Egg_Titan_Earth_C</t>
  </si>
  <si>
    <t>/PrimalNemesis/3Items/YounglingEGG/Earth/PrimalItemConsumable_Egg_Titan_Earth.PrimalItemConsumable_Egg_Titan_Earth</t>
  </si>
  <si>
    <t>Egg Titan Frost</t>
  </si>
  <si>
    <t>PrimalItemConsumable_Egg_Titan_Frost_C</t>
  </si>
  <si>
    <t>/PrimalNemesis/3Items/YounglingEGG/Frost/PrimalItemConsumable_Egg_Titan_Frost.PrimalItemConsumable_Egg_Titan_Frost</t>
  </si>
  <si>
    <t>Egg Titan Hydro</t>
  </si>
  <si>
    <t>PrimalItemConsumable_Egg_Titan_Hydro_C</t>
  </si>
  <si>
    <t>/PrimalNemesis/3Items/YounglingEGG/Hydro/PrimalItemConsumable_Egg_Titan_Hydro.PrimalItemConsumable_Egg_Titan_Hydro</t>
  </si>
  <si>
    <t>Egg Titan Nature</t>
  </si>
  <si>
    <t>PrimalItemConsumable_Egg_Titan_Nature_C</t>
  </si>
  <si>
    <t>/PrimalNemesis/3Items/YounglingEGG/Nature/PrimalItemConsumable_Egg_Titan_Nature.PrimalItemConsumable_Egg_Titan_Nature</t>
  </si>
  <si>
    <t>Egg Titan Storm</t>
  </si>
  <si>
    <t>PrimalItemConsumable_Egg_Titan_Storm_C</t>
  </si>
  <si>
    <t>/PrimalNemesis/3Items/YounglingEGG/Storm/PrimalItemConsumable_Egg_Titan_Storm.PrimalItemConsumable_Egg_Titan_Storm</t>
  </si>
  <si>
    <t>Egg Titan Volcanic</t>
  </si>
  <si>
    <t>PrimalItemConsumable_Egg_Titan_Volcanic_C</t>
  </si>
  <si>
    <t>/PrimalNemesis/3Items/YounglingEGG/Volcanic/PrimalItemConsumable_Egg_Titan_Volcanic.PrimalItemConsumable_Egg_Titan_Volcanic</t>
  </si>
  <si>
    <t>Kibble</t>
  </si>
  <si>
    <t>Kibble Alpha</t>
  </si>
  <si>
    <t>PrimalItemConsumable_Kibble_Alpha_C</t>
  </si>
  <si>
    <t>/PrimalNemesis/3Items/Kibbles/1Alpha/PrimalItemConsumable_Kibble_Alpha.PrimalItemConsumable_Kibble_Alpha</t>
  </si>
  <si>
    <t>Kibble Apex</t>
  </si>
  <si>
    <t>PrimalItemConsumable_Kibble_Apex_C</t>
  </si>
  <si>
    <t>/PrimalNemesis/3Items/Kibbles/2Apex/PrimalItemConsumable_Kibble_Apex.PrimalItemConsumable_Kibble_Apex</t>
  </si>
  <si>
    <t>Kibble Apex Boss</t>
  </si>
  <si>
    <t>PrimalItemConsumable_Kibble_Apex_Bosses_C</t>
  </si>
  <si>
    <t>/PrimalNemesis/Content/3Items/Kibbles/2Apex/Bosses/PrimalItemConsumable_Kibble_Apex_Bosses</t>
  </si>
  <si>
    <t>Kibble Apex Colossus</t>
  </si>
  <si>
    <t>PrimalItemConsumable_Kibble_Apex_Colossus_C</t>
  </si>
  <si>
    <t>/PrimalNemesis/Content/3Items/Kibbles/2Apex/Colossus/PrimalItemConsumable_Kibble_Apex_Colossus</t>
  </si>
  <si>
    <t>Kibble Apex Pygmy</t>
  </si>
  <si>
    <t>PrimalItemConsumable_Kibble_Apex_Pygmy_C</t>
  </si>
  <si>
    <t>/PrimalNemesis/Content/3Items/Kibbles/2Apex/Pygmy/PrimalItemConsumable_Kibble_Apex_Pygmy</t>
  </si>
  <si>
    <t>Kibble Bionic</t>
  </si>
  <si>
    <t>PrimalItemConsumable_Kibble_Bionic_C</t>
  </si>
  <si>
    <t>/PrimalNemesis/3Items/Kibbles/5Bionic/Bionic/PrimalItemConsumable_Kibble_Bionic.PrimalItemConsumable_Kibble_Bionic</t>
  </si>
  <si>
    <t>Kibble Celestial</t>
  </si>
  <si>
    <t>PrimalItemConsumable_Kibble_Celestial_C</t>
  </si>
  <si>
    <t>/PrimalNemesis/3Items/Kibbles/6DemonicAndCelestial/Celestial/PrimalItemConsumable_Kibble_Celestial.PrimalItemConsumable_Kibble_Celestial</t>
  </si>
  <si>
    <t>Kibble Demonic Boss</t>
  </si>
  <si>
    <t>PrimalItemConsumable_Kibble_Demonic_Bosses_C</t>
  </si>
  <si>
    <t>/PrimalNemesis/Content/3Items/Kibbles/6DemonicAndCelestial/Demonic/Bosses/PrimalItemConsumable_Kibble_Demonic_Bosses</t>
  </si>
  <si>
    <t>Kibble Demonic</t>
  </si>
  <si>
    <t>PrimalItemConsumable_Kibble_Demonic_C</t>
  </si>
  <si>
    <t>/PrimalNemesis/3Items/Kibbles/6DemonicAndCelestial/Demonic/PrimalItemConsumable_Kibble_Demonic.PrimalItemConsumable_Kibble_Demonic</t>
  </si>
  <si>
    <t>Kibble Earth</t>
  </si>
  <si>
    <t>PrimalItemConsumable_Kibble_Earth_C</t>
  </si>
  <si>
    <t>/PrimalNemesis/3Items/Kibbles/3Element/Earth/PrimalItemConsumable_Kibble_Earth.PrimalItemConsumable_Kibble_Earth</t>
  </si>
  <si>
    <t>Kibble Frost</t>
  </si>
  <si>
    <t>PrimalItemConsumable_Kibble_Frost_C</t>
  </si>
  <si>
    <t>/PrimalNemesis/3Items/Kibbles/3Element/Frost/PrimalItemConsumable_Kibble_Frost.PrimalItemConsumable_Kibble_Frost</t>
  </si>
  <si>
    <t>Kibble Ghost</t>
  </si>
  <si>
    <t>PrimalItemConsumable_Kibble_Ghost_C</t>
  </si>
  <si>
    <t>/PrimalNemesis/Content/3Items/Kibbles/4Ghost_Plague_Plasma/Ghost/PrimalItemConsumable_Kibble_Ghost</t>
  </si>
  <si>
    <t>Kibble Godly</t>
  </si>
  <si>
    <t>PrimalItemConsumable_Kibble_Godly_C</t>
  </si>
  <si>
    <t>/PrimalNemesis/3Items/Kibbles/7Godly/PrimalItemConsumable_Kibble_Godly.PrimalItemConsumable_Kibble_Godly</t>
  </si>
  <si>
    <t>Kibble Hydro</t>
  </si>
  <si>
    <t>PrimalItemConsumable_Kibble_Hydro_C</t>
  </si>
  <si>
    <t>/PrimalNemesis/3Items/Kibbles/3Element/Hydro/PrimalItemConsumable_Kibble_Hydro.PrimalItemConsumable_Kibble_Hydro</t>
  </si>
  <si>
    <t>Kibble Nature</t>
  </si>
  <si>
    <t>PrimalItemConsumable_Kibble_Nature_C</t>
  </si>
  <si>
    <t>/PrimalNemesis/3Items/Kibbles/3Element/Nature/PrimalItemConsumable_Kibble_Nature.PrimalItemConsumable_Kibble_Nature</t>
  </si>
  <si>
    <t>Kibble Plague</t>
  </si>
  <si>
    <t>PrimalItemConsumable_Kibble_Plague_C</t>
  </si>
  <si>
    <t>/PrimalNemesis/Content/3Items/Kibbles/4Ghost_Plague_Plasma/Plague/PrimalItemConsumable_Kibble_Plague</t>
  </si>
  <si>
    <t>Kibble Plasma</t>
  </si>
  <si>
    <t>PrimalItemConsumable_Kibble_Plasma_C</t>
  </si>
  <si>
    <t>/PrimalNemesis/Content/3Items/Kibbles/4Ghost_Plague_Plasma/Plasma/PrimalItemConsumable_Kibble_Plasma</t>
  </si>
  <si>
    <t>Kibble Storm</t>
  </si>
  <si>
    <t>PrimalItemConsumable_Kibble_Storm_C</t>
  </si>
  <si>
    <t>/PrimalNemesis/3Items/Kibbles/3Element/Storm/PrimalItemConsumable_Kibble_Storm.PrimalItemConsumable_Kibble_Storm</t>
  </si>
  <si>
    <t>Kibble Volcanic</t>
  </si>
  <si>
    <t>PrimalItemConsumable_Kibble_Volcanic_C</t>
  </si>
  <si>
    <t>/PrimalNemesis/3Items/Kibbles/3Element/Volcanic/PrimalItemConsumable_Kibble_Volcanic.PrimalItemConsumable_Kibble_Volcanic</t>
  </si>
  <si>
    <t>Sushi Kibble Atlantic</t>
  </si>
  <si>
    <t>PrimalItemConsumable_SushiKibble_Atlantic_C</t>
  </si>
  <si>
    <t>/PrimalNemesis/3Items/Sushi/2Atlantic/PrimalItemConsumable_SushiKibble_Atlantic.PrimalItemConsumable_SushiKibble_Atlantic</t>
  </si>
  <si>
    <t>Sushi Kibble Pacific</t>
  </si>
  <si>
    <t>PrimalItemConsumable_SushiKibble_Pacific_C</t>
  </si>
  <si>
    <t>/PrimalNemesis/3Items/Sushi/1Pacific/PrimalItemConsumable_SushiKibble_Pacific.PrimalItemConsumable_SushiKibble_Pacific</t>
  </si>
  <si>
    <t>PrimalItemConsumable_Potion</t>
  </si>
  <si>
    <t>Health Potion Alpha</t>
  </si>
  <si>
    <t>PrimalItemConsumable_AlphaHealthPotion_C</t>
  </si>
  <si>
    <t>/PrimalNemesis/3Items/Healing/1Alpha/PrimalItemConsumable_AlphaHealthPotion.PrimalItemConsumable_AlphaHealthPotion</t>
  </si>
  <si>
    <t>Health Potion Celestial</t>
  </si>
  <si>
    <t>PrimalItemConsumable_CelestialHealthPotion_C</t>
  </si>
  <si>
    <t>/PrimalNemesis/3Items/Healing/3Celestial/PrimalItemConsumable_CelestialHealthPotion.PrimalItemConsumable_CelestialHealthPotion</t>
  </si>
  <si>
    <t>Health Potion Godly</t>
  </si>
  <si>
    <t>PrimalItemConsumable_GodlyHealthPotion_C</t>
  </si>
  <si>
    <t>/PrimalNemesis/3Items/Healing/Godly/PrimalItemConsumable_GodlyHealthPotion.PrimalItemConsumable_GodlyHealthPotion</t>
  </si>
  <si>
    <t>Health Potion Nature</t>
  </si>
  <si>
    <t>PrimalItemConsumable_NatureHealthPotion_C</t>
  </si>
  <si>
    <t>/PrimalNemesis/3Items/Healing/2Nature/PrimalItemConsumable_NatureHealthPotion.PrimalItemConsumable_NatureHealthPotion</t>
  </si>
  <si>
    <t>Tame Helper x10</t>
  </si>
  <si>
    <t>PrimalItemConsumable_Food_X10_C</t>
  </si>
  <si>
    <t>/PrimalNemesis/Content/3Items/TamingHelpers/1TamingHelper_x10/PrimalItemConsumable_Food_X10</t>
  </si>
  <si>
    <t>Tame Helper x50</t>
  </si>
  <si>
    <t>PrimalItemConsumable_Food_X50_C</t>
  </si>
  <si>
    <t>/PrimalNemesis/Content/3Items/TamingHelpers/2TamingHelper_x50/PrimalItemConsumable_Food_X50</t>
  </si>
  <si>
    <t>Tame Helper x100</t>
  </si>
  <si>
    <t>PrimalItemConsumable_Food_X100_C</t>
  </si>
  <si>
    <t>/PrimalNemesis/Content/3Items/TamingHelpers/3TaminHelper_x100/PrimalItemConsumable_Food_X100</t>
  </si>
  <si>
    <t>XP Extra Large</t>
  </si>
  <si>
    <t>PrimalItemConsumable_XP_ExtraLarge_C</t>
  </si>
  <si>
    <t>/PrimalNemesis/3Items/XpPotions/PrimalItemConsumable_XP_ExtraLarge.PrimalItemConsumable_XP_ExtraLarge</t>
  </si>
  <si>
    <t>XP Huge</t>
  </si>
  <si>
    <t>PrimalItemConsumable_XP_Huge_C</t>
  </si>
  <si>
    <t>/PrimalNemesis/3Items/XpPotions/PrimalItemConsumable_XP_Huge.PrimalItemConsumable_XP_Huge</t>
  </si>
  <si>
    <t>XP Large</t>
  </si>
  <si>
    <t>PrimalItemConsumable_XP_Large_C</t>
  </si>
  <si>
    <t>/PrimalNemesis/3Items/XpPotions/PrimalItemConsumable_XP_Large.PrimalItemConsumable_XP_Large</t>
  </si>
  <si>
    <t>XP Max</t>
  </si>
  <si>
    <t>PrimalItemConsumable_XP_Max_C</t>
  </si>
  <si>
    <t>/PrimalNemesis/3Items/XpPotions/PrimalItemConsumable_XP_Max.PrimalItemConsumable_XP_Max</t>
  </si>
  <si>
    <t>XP Medium</t>
  </si>
  <si>
    <t>PrimalItemConsumable_XP_Medium_C</t>
  </si>
  <si>
    <t>/PrimalNemesis/3Items/XpPotions/PrimalItemConsumable_XP_Medium.PrimalItemConsumable_XP_Medium</t>
  </si>
  <si>
    <t>XP Small</t>
  </si>
  <si>
    <t>PrimalItemConsumable_XP_Small_C</t>
  </si>
  <si>
    <t>/PrimalNemesis/3Items/XpPotions/PrimalItemConsumable_XP_Small.PrimalItemConsumable_XP_Small</t>
  </si>
  <si>
    <t>XP Tiny</t>
  </si>
  <si>
    <t>PrimalItemConsumable_XP_Tiny_C</t>
  </si>
  <si>
    <t>/PrimalNemesis/3Items/XpPotions/PrimalItemConsumable_XP_Tiny.PrimalItemConsumable_XP_Tiny</t>
  </si>
  <si>
    <t>Resources</t>
  </si>
  <si>
    <t>Boss Skull Apex</t>
  </si>
  <si>
    <t>PrimalItemResource_ApexBossSkull_C</t>
  </si>
  <si>
    <t>/PrimalNemesis/3Items/BossSkulls/1Apex/PrimalItemResource_ApexBossSkull.PrimalItemResource_ApexBossSkull</t>
  </si>
  <si>
    <t>Boss Skull Bionic</t>
  </si>
  <si>
    <t>PrimalItemResource_BionicBossSkull_C</t>
  </si>
  <si>
    <t>/PrimalNemesis/3Items/BossSkulls/3Bionic/PrimalItemResource_BionicBossSkull.PrimalItemResource_BionicBossSkull</t>
  </si>
  <si>
    <t>Boss Skull Demonic</t>
  </si>
  <si>
    <t>PrimalItemResource_DemonicBossSkull_C</t>
  </si>
  <si>
    <t>/PrimalNemesis/3Items/BossSkulls/4DemonicAndCelestial/Demonic/PrimalItemResource_DemonicBossSkull.PrimalItemResource_DemonicBossSkull</t>
  </si>
  <si>
    <t>Boss Skull Earth</t>
  </si>
  <si>
    <t>PrimalItemResource_BossSkull_Earth_C</t>
  </si>
  <si>
    <t>/PrimalNemesis/3Items/BossSkulls/2Elementals/Earth/PrimalItemResource_BossSkull_Earth.PrimalItemResource_BossSkull_Earth</t>
  </si>
  <si>
    <t>Boss Skull Frost</t>
  </si>
  <si>
    <t>PrimalItemResource_BossSkull_Frost_C</t>
  </si>
  <si>
    <t>/PrimalNemesis/3Items/BossSkulls/2Elementals/Frost/PrimalItemResource_BossSkull_Frost.PrimalItemResource_BossSkull_Frost</t>
  </si>
  <si>
    <t>Boss Skull Godly</t>
  </si>
  <si>
    <t>PrimalItemResource_BossSkull_Godly_C</t>
  </si>
  <si>
    <t>/PrimalNemesis/3Items/BossSkulls/5Godly/PrimalItemResource_BossSkull_Godly.PrimalItemResource_BossSkull_Godly</t>
  </si>
  <si>
    <t>Boss Skull Hydro</t>
  </si>
  <si>
    <t>PrimalItemResource_BossSkull_Hydro_C</t>
  </si>
  <si>
    <t>/PrimalNemesis/3Items/BossSkulls/2Elementals/Hydro/PrimalItemResource_BossSkull_Hydro.PrimalItemResource_BossSkull_Hydro</t>
  </si>
  <si>
    <t>Boss Skull Scion Of Darkness</t>
  </si>
  <si>
    <t>PrimalItemResource_BossSkull_ScionOfDarkness_C</t>
  </si>
  <si>
    <t>/PrimalNemesis/3Items/BossSkulls/3Bionic/Minibosses/ScionOfDarkness/PrimalItemResource_BossSkull_ScionOfDarkness.PrimalItemResource_BossSkull_ScionOfDarkness</t>
  </si>
  <si>
    <t>Boss Skull Sword Master</t>
  </si>
  <si>
    <t>PrimalItemResource_BossSkull_SwordMaster_C</t>
  </si>
  <si>
    <t>/PrimalNemesis/3Items/BossSkulls/3Bionic/Minibosses/SwordMaster/PrimalItemResource_BossSkull_SwordMaster.PrimalItemResource_BossSkull_SwordMaster</t>
  </si>
  <si>
    <t>Brass Metal Ingot</t>
  </si>
  <si>
    <t>PrimalItemResource_BrassMetalIngot_C</t>
  </si>
  <si>
    <t>/PrimalNemesis/3Items/Metalsystem/Ingots/Brass/PrimalItemResource_BrassMetalIngot.PrimalItemResource_BrassMetalIngot</t>
  </si>
  <si>
    <t>Bronze Metal Ingot</t>
  </si>
  <si>
    <t>PrimalItemResource_BronzeMetalIngot_C</t>
  </si>
  <si>
    <t>/PrimalNemesis/3Items/Metalsystem/Ingots/Bronze/PrimalItemResource_BronzeMetalIngot.PrimalItemResource_BronzeMetalIngot</t>
  </si>
  <si>
    <t>Celestial Boss Skull</t>
  </si>
  <si>
    <t>PrimalItemResource_CelestialBossSkull_C</t>
  </si>
  <si>
    <t>/PrimalNemesis/3Items/BossSkulls/4DemonicAndCelestial/Celestial/PrimalItemResource_CelestialBossSkull.PrimalItemResource_CelestialBossSkull</t>
  </si>
  <si>
    <t>Chitin Paste Child</t>
  </si>
  <si>
    <t>PrimalItemResource_ChitinPaste_Child_C</t>
  </si>
  <si>
    <t>/PrimalNemesis/2Structures/Cauldron/Other/PrimalItemResource_ChitinPaste_Child.PrimalItemResource_ChitinPaste_Child</t>
  </si>
  <si>
    <t>Copper Ore</t>
  </si>
  <si>
    <t>PrimalItemResource_CopperOre_C</t>
  </si>
  <si>
    <t>/PrimalNemesis/3Items/Metalsystem/Minerals/Copper/PrimalItemResource_CopperOre.PrimalItemResource_CopperOre</t>
  </si>
  <si>
    <t>Core Earth</t>
  </si>
  <si>
    <t>PrimalItemResource_Core_Earth_C</t>
  </si>
  <si>
    <t>/PrimalNemesis/3Items/Cores/Earth/PrimalItemResource_Core_Earth.PrimalItemResource_Core_Earth</t>
  </si>
  <si>
    <t>Core Electric</t>
  </si>
  <si>
    <t>PrimalItemResource_Core_Electric_C</t>
  </si>
  <si>
    <t>/PrimalNemesis/3Items/Cores/Electric/PrimalItemResource_Core_Electric.PrimalItemResource_Core_Electric</t>
  </si>
  <si>
    <t>Core Frost</t>
  </si>
  <si>
    <t>PrimalItemResource_Core_Frost_C</t>
  </si>
  <si>
    <t>/PrimalNemesis/3Items/Cores/Frost/PrimalItemResource_Core_Frost.PrimalItemResource_Core_Frost</t>
  </si>
  <si>
    <t>Core Hydro</t>
  </si>
  <si>
    <t>PrimalItemResource_Core_Hydro_C</t>
  </si>
  <si>
    <t>/PrimalNemesis/3Items/Cores/Hydro/PrimalItemResource_Core_Hydro.PrimalItemResource_Core_Hydro</t>
  </si>
  <si>
    <t>Core Nature</t>
  </si>
  <si>
    <t>PrimalItemResource_Core_Nature_C</t>
  </si>
  <si>
    <t>/PrimalNemesis/3Items/Cores/Nature/PrimalItemResource_Core_Nature.PrimalItemResource_Core_Nature</t>
  </si>
  <si>
    <t>Core Volcanic</t>
  </si>
  <si>
    <t>PrimalItemResource_Core_Volcanic_C</t>
  </si>
  <si>
    <t>/PrimalNemesis/3Items/Cores/Volcanic/PrimalItemResource_Core_Volcanic.PrimalItemResource_Core_Volcanic</t>
  </si>
  <si>
    <t>Essence Boss Alpha</t>
  </si>
  <si>
    <t>PrimalItemConsumable_BossEssence_Alpha_C</t>
  </si>
  <si>
    <t>/PrimalNemesis/Content/3Items/BossEssence/1Alpha/PrimalItemConsumable_BossEssence_Alpha</t>
  </si>
  <si>
    <t>Essence Boss Apex</t>
  </si>
  <si>
    <t>PrimalItemConsumable_BossEssence_Apex_C</t>
  </si>
  <si>
    <t>/PrimalNemesis/Content/3Items/BossEssence/2Apex/PrimalItemConsumable_BossEssence_Apex</t>
  </si>
  <si>
    <t>Essence Boss Bionic</t>
  </si>
  <si>
    <t>PrimalItemConsumable_BossEssence_Bionic_C</t>
  </si>
  <si>
    <t>/PrimalNemesis/Content/3Items/BossEssence/4Bionic/PrimalItemConsumable_BossEssence_Bionic</t>
  </si>
  <si>
    <t>Essence Boss Celestial</t>
  </si>
  <si>
    <t>PrimalItemConsumable_BossEssence_Celestial_C</t>
  </si>
  <si>
    <t>/PrimalNemesis/Content/3Items/BossEssence/5DemonicAndCelestial/Celestial/PrimalItemConsumable_BossEssence_Celestial</t>
  </si>
  <si>
    <t>PrimalItemConsumable_BossEssence_Demonic_C</t>
  </si>
  <si>
    <t>/PrimalNemesis/Content/3Items/BossEssence/5DemonicAndCelestial/Demonic/PrimalItemConsumable_BossEssence_Demonic</t>
  </si>
  <si>
    <t>Essence Boss Earth</t>
  </si>
  <si>
    <t>/PrimalItemConsumable_BossEssence_Earth_C</t>
  </si>
  <si>
    <t>/PrimalNemesis/Content/3Items/BossEssence/3Elemental/Earth/PrimalItemConsumable_BossEssence_Earth</t>
  </si>
  <si>
    <t>Essence Boss Frost</t>
  </si>
  <si>
    <t>PrimalItemConsumable_BossEssence_Frost_C</t>
  </si>
  <si>
    <t>/PrimalNemesis/Content/3Items/BossEssence/3Elemental/Frost/PrimalItemConsumable_BossEssence_Frost</t>
  </si>
  <si>
    <t>Essence Boss Hydro</t>
  </si>
  <si>
    <t>PrimalItemConsumable_BossEssence_Hydro_C</t>
  </si>
  <si>
    <t>/PrimalNemesis/Content/3Items/BossEssence/3Elemental/Hydro/PrimalItemConsumable_BossEssence_Hydro</t>
  </si>
  <si>
    <t>Essence Boss Nature</t>
  </si>
  <si>
    <t>PrimalItemConsumable_BossEssence_Nature_C</t>
  </si>
  <si>
    <t>/PrimalNemesis/Content/3Items/BossEssence/3Elemental/Nature/PrimalItemConsumable_BossEssence_Nature</t>
  </si>
  <si>
    <t>Essence Boss Storm</t>
  </si>
  <si>
    <t>PrimalItemConsumable_BossEssence_Storm_C</t>
  </si>
  <si>
    <t>/PrimalNemesis/Content/3Items/BossEssence/3Elemental/Storm/PrimalItemConsumable_BossEssence_Storm</t>
  </si>
  <si>
    <t>Essence Boss Volcanic</t>
  </si>
  <si>
    <t>PrimalItemConsumable_BossEssence_Volcanic_C</t>
  </si>
  <si>
    <t>/PrimalNemesis/Content/3Items/BossEssence/3Elemental/Volcanic/PrimalItemConsumable_BossEssence_Volcanic</t>
  </si>
  <si>
    <t>Essence Earth</t>
  </si>
  <si>
    <t>PrimalItemResource_Essence_Earth_C</t>
  </si>
  <si>
    <t>/PrimalNemesis/3Items/Essence/Earth/PrimalItemResource_Essence_Earth.PrimalItemResource_Essence_Earth</t>
  </si>
  <si>
    <t>Essence Electric</t>
  </si>
  <si>
    <t>PrimalItemResource_Essence_Electric_C</t>
  </si>
  <si>
    <t>/PrimalNemesis/3Items/Essence/Electric/PrimalItemResource_Essence_Electric.PrimalItemResource_Essence_Electric</t>
  </si>
  <si>
    <t>Essence Frost</t>
  </si>
  <si>
    <t>PrimalItemResource_Essence_Frost_C</t>
  </si>
  <si>
    <t>/PrimalNemesis/3Items/Essence/Frost/PrimalItemResource_Essence_Frost.PrimalItemResource_Essence_Frost</t>
  </si>
  <si>
    <t>Essence Ghost</t>
  </si>
  <si>
    <t>PrimalItemResource_Essence_Ghost_C</t>
  </si>
  <si>
    <t>/PrimalNemesis/Content/3Items/Essence/Tier4Essence/Ghost/PrimalItemResource_Essence_Ghost</t>
  </si>
  <si>
    <t>Essence Hydro</t>
  </si>
  <si>
    <t>PrimalItemResource_Essence_Hydro_C</t>
  </si>
  <si>
    <t>/PrimalNemesis/3Items/Essence/Hydro/PrimalItemResource_Essence_Hydro.PrimalItemResource_Essence_Hydro</t>
  </si>
  <si>
    <t>Essence Nature</t>
  </si>
  <si>
    <t>PrimalItemResource_Essence_Nature_C</t>
  </si>
  <si>
    <t>/PrimalNemesis/3Items/Essence/Nature/PrimalItemResource_Essence_Nature.PrimalItemResource_Essence_Nature</t>
  </si>
  <si>
    <t>Essence Plague</t>
  </si>
  <si>
    <t>PrimalItemResource_Essence_Plague_C</t>
  </si>
  <si>
    <t>/PrimalNemesis/Content/3Items/Essence/Tier4Essence/Plague/PrimalItemResource_Essence_Plague</t>
  </si>
  <si>
    <t>Essence Plasma</t>
  </si>
  <si>
    <t>PrimalItemResource_Essence_Plasma_C</t>
  </si>
  <si>
    <t>/PrimalNemesis/Content/3Items/Essence/Tier4Essence/Plasma/PrimalItemResource_Essence_Plasma</t>
  </si>
  <si>
    <t>Essence Volcanic</t>
  </si>
  <si>
    <t>PrimalItemResource_Essence_Volcanic_C</t>
  </si>
  <si>
    <t>/PrimalNemesis/3Items/Essence/Volcanic/PrimalItemResource_Essence_Volcanic.PrimalItemResource_Essence_Volcanic</t>
  </si>
  <si>
    <t>Feather Apex</t>
  </si>
  <si>
    <t>PrimalItemConsumable_Feather_Apex_C</t>
  </si>
  <si>
    <t>/PrimalNemesis/3Items/Feather/PrimalItemConsumable_Feather_Apex.PrimalItemConsumable_Feather_Apex</t>
  </si>
  <si>
    <t>Gasoline Anky</t>
  </si>
  <si>
    <t>PrimalItemResource_Gasoline_Anky_C</t>
  </si>
  <si>
    <t>/PrimalNemesis/1Dinos/3Elemental/Volcanic/Ankylosaurus/AnkyForge/PrimalItemResource_Gasoline_Anky.PrimalItemResource_Gasoline_Anky</t>
  </si>
  <si>
    <t>Gear</t>
  </si>
  <si>
    <t>PrimalItemResource_Gear_C</t>
  </si>
  <si>
    <t>/PrimalNemesis/3Items/BionicItems/Gear/PrimalItemResource_Gear.PrimalItemResource_Gear</t>
  </si>
  <si>
    <t>Gunpowder Child</t>
  </si>
  <si>
    <t>PrimalItemResource_Gunpowder_Child_C</t>
  </si>
  <si>
    <t>/PrimalNemesis/2Structures/Cauldron/Other/PrimalItemResource_Gunpowder_Child.PrimalItemResource_Gunpowder_Child</t>
  </si>
  <si>
    <t>Heart Celestial</t>
  </si>
  <si>
    <t>PrimalItem_Heart_Celestial_C</t>
  </si>
  <si>
    <t>/PrimalNemesis/3Items/Heart/Celestial/PrimalItem_Heart_Celestial.PrimalItem_Heart_Celestial</t>
  </si>
  <si>
    <t>Heart Demonic</t>
  </si>
  <si>
    <t>PrimalItem_Heart_Demonic_C</t>
  </si>
  <si>
    <t>/PrimalNemesis/3Items/Heart/Demonic/PrimalItem_Heart_Demonic.PrimalItem_Heart_Demonic</t>
  </si>
  <si>
    <t>Heart Earth</t>
  </si>
  <si>
    <t>PrimalItem_Heart_Earth_C</t>
  </si>
  <si>
    <t>/PrimalNemesis/3Items/TitanHeart/Earth/PrimalItem_Heart_Earth.PrimalItem_Heart_Earth</t>
  </si>
  <si>
    <t>Heart Frost</t>
  </si>
  <si>
    <t>PrimalItem_Heart_Frost_C</t>
  </si>
  <si>
    <t>/PrimalNemesis/3Items/TitanHeart/Frost/PrimalItem_Heart_Frost.PrimalItem_Heart_Frost</t>
  </si>
  <si>
    <t>Heart Hydro</t>
  </si>
  <si>
    <t>PrimalItem_Heart_Hydro_C</t>
  </si>
  <si>
    <t>/PrimalNemesis/3Items/TitanHeart/Hydro/PrimalItem_Heart_Hydro.PrimalItem_Heart_Hydro</t>
  </si>
  <si>
    <t>Heart Nature</t>
  </si>
  <si>
    <t>PrimalItem_Heart_Nature_C</t>
  </si>
  <si>
    <t>/PrimalNemesis/3Items/TitanHeart/Nature/PrimalItem_Heart_Nature.PrimalItem_Heart_Nature</t>
  </si>
  <si>
    <t>Heart Storm</t>
  </si>
  <si>
    <t>PrimalItem_Heart_Storm_C</t>
  </si>
  <si>
    <t>/PrimalNemesis/3Items/TitanHeart/Storm/PrimalItem_Heart_Storm.PrimalItem_Heart_Storm</t>
  </si>
  <si>
    <t>Heart Volcanic</t>
  </si>
  <si>
    <t>PrimalItem_Heart_Volcanic_C</t>
  </si>
  <si>
    <t>/PrimalNemesis/3Items/TitanHeart/Volcanic/PrimalItem_Heart_Volcanic.PrimalItem_Heart_Volcanic</t>
  </si>
  <si>
    <t>Hide Alpha</t>
  </si>
  <si>
    <t>PrimalItemResource_Hide_Alpha_C</t>
  </si>
  <si>
    <t>/PrimalNemesis/3Items/Hides/1Alpha/PrimalItemResource_Hide_Alpha.PrimalItemResource_Hide_Alpha</t>
  </si>
  <si>
    <t>Hide Apex</t>
  </si>
  <si>
    <t>PrimalItemResource_Hide_Apex_C</t>
  </si>
  <si>
    <t>/PrimalNemesis/3Items/Hides/2Apex/PrimalItemResource_Hide_Apex.PrimalItemResource_Hide_Apex</t>
  </si>
  <si>
    <t>Hide Celestial</t>
  </si>
  <si>
    <t>PrimalItemResource_Hide_Celestial_C</t>
  </si>
  <si>
    <t>/PrimalNemesis/3Items/Hides/6DemonicAndCelestial/Celestial/PrimalItemResource_Hide_Celestial.PrimalItemResource_Hide_Celestial</t>
  </si>
  <si>
    <t>Hide Demonic</t>
  </si>
  <si>
    <t>PrimalItemResource_Hide_Demonic_C</t>
  </si>
  <si>
    <t>/PrimalNemesis/3Items/Hides/6DemonicAndCelestial/Demonic/PrimalItemResource_Hide_Demonic.PrimalItemResource_Hide_Demonic</t>
  </si>
  <si>
    <t>Hide Earth</t>
  </si>
  <si>
    <t>PrimalItemResource_Hide_Earth_C</t>
  </si>
  <si>
    <t>/PrimalNemesis/3Items/Hides/3Element/Earth/PrimalItemResource_Hide_Earth.PrimalItemResource_Hide_Earth</t>
  </si>
  <si>
    <t>Hide Electric</t>
  </si>
  <si>
    <t>PrimalItemResource_Hide_Electric_C</t>
  </si>
  <si>
    <t>/PrimalNemesis/3Items/Hides/3Element/Electric/PrimalItemResource_Hide_Electric.PrimalItemResource_Hide_Electric</t>
  </si>
  <si>
    <t>Hide Frost</t>
  </si>
  <si>
    <t>PrimalItemResource_Hide_Frost_C</t>
  </si>
  <si>
    <t>/PrimalNemesis/3Items/Hides/3Element/Frost/PrimalItemResource_Hide_Frost.PrimalItemResource_Hide_Frost</t>
  </si>
  <si>
    <t>Hide Godly</t>
  </si>
  <si>
    <t>PrimalItemResource_Hide_Godly_C</t>
  </si>
  <si>
    <t>/PrimalNemesis/3Items/Hides/7Godly/PrimalItemResource_Hide_Godly.PrimalItemResource_Hide_Godly</t>
  </si>
  <si>
    <t>Hide Hydro</t>
  </si>
  <si>
    <t>PrimalItemResource_Hide_Hydro_C</t>
  </si>
  <si>
    <t>/PrimalNemesis/3Items/Hides/3Element/Hydro/PrimalItemResource_Hide_Hydro.PrimalItemResource_Hide_Hydro</t>
  </si>
  <si>
    <t>Hide Nature</t>
  </si>
  <si>
    <t>PrimalItemResource_Hide_Nature_C</t>
  </si>
  <si>
    <t>/PrimalNemesis/3Items/Hides/3Element/Nature/PrimalItemResource_Hide_Nature.PrimalItemResource_Hide_Nature</t>
  </si>
  <si>
    <t>Hide Nuclear</t>
  </si>
  <si>
    <t>PrimalItemResource_Hide_Nuclear_C</t>
  </si>
  <si>
    <t>/PrimalNemesis/3Items/Hides/4ADVElement/Nuclear/PrimalItemResource_Hide_Nuclear.PrimalItemResource_Hide_Nuclear</t>
  </si>
  <si>
    <t>Hide Volcanic</t>
  </si>
  <si>
    <t>PrimalItemResource_Hide_Volcanic_C</t>
  </si>
  <si>
    <t>/PrimalNemesis/3Items/Hides/3Element/Volcanic/PrimalItemResource_Hide_Volcanic.PrimalItemResource_Hide_Volcanic</t>
  </si>
  <si>
    <t>Hide Zombie</t>
  </si>
  <si>
    <t>PrimalItemResource_Hide_Zombie_C</t>
  </si>
  <si>
    <t>/PrimalNemesis/3Items/Hides/4ADVElement/Zombie/PrimalItemResource_Hide_Zombie.PrimalItemResource_Hide_Zombie</t>
  </si>
  <si>
    <t>Honey Celestial</t>
  </si>
  <si>
    <t>PrimalItemConsumable_Honey_Celestial_C</t>
  </si>
  <si>
    <t>/PrimalNemesis/3Items/Beehoney/Celestial/PrimalItemConsumable_Honey_Celestial.PrimalItemConsumable_Honey_Celestial</t>
  </si>
  <si>
    <t>Honey Demonic</t>
  </si>
  <si>
    <t>PrimalItemConsumable_Honey_Demonic_C</t>
  </si>
  <si>
    <t>/PrimalNemesis/3Items/Beehoney/Demonic/PrimalItemConsumable_Honey_Demonic.PrimalItemConsumable_Honey_Demonic</t>
  </si>
  <si>
    <t>Mechanical Part</t>
  </si>
  <si>
    <t>PrimalItemResource_MechanicalPart_C</t>
  </si>
  <si>
    <t>/PrimalNemesis/3Items/BionicItems/MechanicalPart/PrimalItemResource_MechanicalPart.PrimalItemResource_MechanicalPart</t>
  </si>
  <si>
    <t>Metal Ingot Anky</t>
  </si>
  <si>
    <t>PrimalItemResource_MetalIngot_Anky_C</t>
  </si>
  <si>
    <t>/PrimalNemesis/1Dinos/3Elemental/Volcanic/Ankylosaurus/AnkyForge/PrimalItemResource_MetalIngot_Anky.PrimalItemResource_MetalIngot_Anky</t>
  </si>
  <si>
    <t xml:space="preserve">Boss Skull Nature </t>
  </si>
  <si>
    <t>PrimalItemResource_NatureBossSkull_C</t>
  </si>
  <si>
    <t>/PrimalNemesis/3Items/BossSkulls/2Elementals/Nature/PrimalItemResource_NatureBossSkull.PrimalItemResource_NatureBossSkull</t>
  </si>
  <si>
    <t xml:space="preserve">Ore Nickel </t>
  </si>
  <si>
    <t>PrimalItemResource_NickelOre_C</t>
  </si>
  <si>
    <t>/PrimalNemesis/3Items/Metalsystem/Minerals/Nickel/PrimalItemResource_NickelOre.PrimalItemResource_NickelOre</t>
  </si>
  <si>
    <t>Propellant Child</t>
  </si>
  <si>
    <t>PrimalItemResource_Propellant_Child_C</t>
  </si>
  <si>
    <t>/PrimalNemesis/2Structures/Cauldron/Other/PrimalItemResource_Propellant_Child.PrimalItemResource_Propellant_Child</t>
  </si>
  <si>
    <t>Quest Allo</t>
  </si>
  <si>
    <t>PrimalItemConsumable_Quest_Allo_C</t>
  </si>
  <si>
    <t>/PrimalNemesis/0Core/QuestChallenge/GodlikeQuests/PrimalItemConsumable_Quest_Allo.PrimalItemConsumable_Quest_Allo</t>
  </si>
  <si>
    <t>Quest Common Saddle</t>
  </si>
  <si>
    <t>PrimalItemConsumable_Quest_Common_Saddle_C</t>
  </si>
  <si>
    <t>/PrimalNemesis/0Core/QuestChallenge/Saddles/1Common/PrimalItemConsumable_Quest_Common_Saddle.PrimalItemConsumable_Quest_Common_Saddle</t>
  </si>
  <si>
    <t>Quest Wood</t>
  </si>
  <si>
    <t>PrimalItemConsumable_Quest_Wood_C</t>
  </si>
  <si>
    <t>/PrimalNemesis/0Core/QuestChallenge/Materials/Wood/PrimalItemConsumable_Quest_Wood.PrimalItemConsumable_Quest_Wood</t>
  </si>
  <si>
    <t>Rareflower Celestial</t>
  </si>
  <si>
    <t>PrimalItemResource_Rareflower_Celestial_C</t>
  </si>
  <si>
    <t>/PrimalNemesis/3Items/BeeFlowers/Angelic/PrimalItemResource_Rareflower_Celestial.PrimalItemResource_Rareflower_Celestial</t>
  </si>
  <si>
    <t>Rareflower Demonic</t>
  </si>
  <si>
    <t>PrimalItemResource_Rareflower_Demonic_C</t>
  </si>
  <si>
    <t>/PrimalNemesis/3Items/BeeFlowers/Demonic/PrimalItemResource_Rareflower_Demonic.PrimalItemResource_Rareflower_Demonic</t>
  </si>
  <si>
    <t>Raw Prime Meat Atlantic</t>
  </si>
  <si>
    <t>PrimalItemConsumable_RawPrimeMeat_Atlantic_C</t>
  </si>
  <si>
    <t>/PrimalNemesis/3Items/FishPrimeMeat/2Atlantic/PrimalItemConsumable_RawPrimeMeat_Atlantic.PrimalItemConsumable_RawPrimeMeat_Atlantic</t>
  </si>
  <si>
    <t>Raw Prime Meat Pacific</t>
  </si>
  <si>
    <t>PrimalItemConsumable_RawPrimeMeat_Pacific_C</t>
  </si>
  <si>
    <t>/PrimalNemesis/3Items/FishPrimeMeat/1Pacific/PrimalItemConsumable_RawPrimeMeat_Pacific.PrimalItemConsumable_RawPrimeMeat_Pacific</t>
  </si>
  <si>
    <t>Sparkpowder Child</t>
  </si>
  <si>
    <t>PrimalItemResource_Sparkpowder_Child_C</t>
  </si>
  <si>
    <t>/PrimalNemesis/2Structures/Cauldron/Other/PrimalItemResource_Sparkpowder_Child.PrimalItemResource_Sparkpowder_Child</t>
  </si>
  <si>
    <t>Stamina Paste</t>
  </si>
  <si>
    <t>PrimalItemConsumable_StaminaPaste_C</t>
  </si>
  <si>
    <t>/PrimalNemesis/3Items/StaminaPaste/PrimalItemConsumable_StaminaPaste.PrimalItemConsumable_StaminaPaste</t>
  </si>
  <si>
    <t>Steel Metal Ingot</t>
  </si>
  <si>
    <t>PrimalItemResource_SteelMetalIngot_C</t>
  </si>
  <si>
    <t>/PrimalNemesis/3Items/Metalsystem/Ingots/Steel/PrimalItemResource_SteelMetalIngot.PrimalItemResource_SteelMetalIngot</t>
  </si>
  <si>
    <t>Stimulant Child</t>
  </si>
  <si>
    <t>PrimalItemConsumable_Stimulant_Child_C</t>
  </si>
  <si>
    <t>/PrimalNemesis/2Structures/Cauldron/Other/PrimalItemConsumable_Stimulant_Child.PrimalItemConsumable_Stimulant_Child</t>
  </si>
  <si>
    <t xml:space="preserve">Boss Skull Storm </t>
  </si>
  <si>
    <t>PrimalItemResource_StormBossSkull_C</t>
  </si>
  <si>
    <t>/PrimalNemesis/3Items/BossSkulls/2Elementals/Storm/PrimalItemResource_StormBossSkull.PrimalItemResource_StormBossSkull</t>
  </si>
  <si>
    <t>Sulfur</t>
  </si>
  <si>
    <t>PrimalItemResource_Sulfur_C</t>
  </si>
  <si>
    <t>/PrimalNemesis/3Items/Metalsystem/1ResourceGolem/1TameableVersion/PrimalItemResource_Sulfur.PrimalItemResource_Sulfur</t>
  </si>
  <si>
    <t>Ore Tin</t>
  </si>
  <si>
    <t>PrimalItemResource_TinOre_C</t>
  </si>
  <si>
    <t>/PrimalNemesis/3Items/Metalsystem/Minerals/Tin/PrimalItemResource_TinOre.PrimalItemResource_TinOre</t>
  </si>
  <si>
    <t xml:space="preserve">Boss Skull Volcanic </t>
  </si>
  <si>
    <t>PrimalItemResource_VolcanicBossSkull_C</t>
  </si>
  <si>
    <t>/PrimalNemesis/3Items/BossSkulls/2Elementals/Volcanic/PrimalItemResource_VolcanicBossSkull.PrimalItemResource_VolcanicBossSkull</t>
  </si>
  <si>
    <t>Ore Zinc</t>
  </si>
  <si>
    <t>PrimalItemResource_ZincOre_C</t>
  </si>
  <si>
    <t>/PrimalNemesis/3Items/Metalsystem/Ingots/Zinc/PrimalItemResource_ZincOre.PrimalItemResource_ZincOre</t>
  </si>
  <si>
    <t>Loot Items</t>
  </si>
  <si>
    <t>Key Common</t>
  </si>
  <si>
    <t>PrimalItemResource_Key_Common_C</t>
  </si>
  <si>
    <t>/PrimalNemesis/3Items/0LootSystem/Keys/1Common/PrimalItemResource_Key_Common.PrimalItemResource_Key_Common</t>
  </si>
  <si>
    <t>Key Epic</t>
  </si>
  <si>
    <t>PrimalItemResource_Key_Epic_C</t>
  </si>
  <si>
    <t>/PrimalNemesis/3Items/0LootSystem/Keys/4Epic/PrimalItemResource_Key_Epic.PrimalItemResource_Key_Epic</t>
  </si>
  <si>
    <t>Key Godly</t>
  </si>
  <si>
    <t>PrimalItemResource_Key_Godly_C</t>
  </si>
  <si>
    <t>/PrimalNemesis/3Items/0LootSystem/Keys/6Godly/PrimalItemResource_Key_Godly.PrimalItemResource_Key_Godly</t>
  </si>
  <si>
    <t>Key Legendary</t>
  </si>
  <si>
    <t>PrimalItemResource_Key_Legendary_C</t>
  </si>
  <si>
    <t>/PrimalNemesis/3Items/0LootSystem/Keys/5Legendary/PrimalItemResource_Key_Legendary.PrimalItemResource_Key_Legendary</t>
  </si>
  <si>
    <t>Key Rare</t>
  </si>
  <si>
    <t>PrimalItemResource_Key_Rare_C</t>
  </si>
  <si>
    <t>/PrimalNemesis/3Items/0LootSystem/Keys/3Rare/PrimalItemResource_Key_Rare.PrimalItemResource_Key_Rare</t>
  </si>
  <si>
    <t>Key Uncommon</t>
  </si>
  <si>
    <t>PrimalItemResource_Key_Uncommon_C</t>
  </si>
  <si>
    <t>/PrimalNemesis/3Items/0LootSystem/Keys/2Uncommon/PrimalItemResource_Key_Uncommon.PrimalItemResource_Key_Uncommon</t>
  </si>
  <si>
    <t>Reward Chest Epic</t>
  </si>
  <si>
    <t>PrimalItem_RewardChest_Epic_C</t>
  </si>
  <si>
    <t>/PrimalNemesis/3Items/0LootSystem/TreasureChests/UtilityChests/4Epic/PrimalItem_RewardChest_Epic.PrimalItem_RewardChest_Epic</t>
  </si>
  <si>
    <t>Reward Chest Godly</t>
  </si>
  <si>
    <t>PrimalItem_RewardChest_Godly_C</t>
  </si>
  <si>
    <t>/PrimalNemesis/3Items/0LootSystem/TreasureChests/UtilityChests/6Godly/PrimalItem_RewardChest_Godly.PrimalItem_RewardChest_Godly</t>
  </si>
  <si>
    <t>Reward Chest Legendary</t>
  </si>
  <si>
    <t>PrimalItem_RewardChest_Legendary_C</t>
  </si>
  <si>
    <t>/PrimalNemesis/3Items/0LootSystem/TreasureChests/UtilityChests/5Legendary/PrimalItem_RewardChest_Legendary.PrimalItem_RewardChest_Legendary</t>
  </si>
  <si>
    <t>Reward Chest Lesser Materials</t>
  </si>
  <si>
    <t>PrimalItem_RewardChest_Lesser_Materials_C</t>
  </si>
  <si>
    <t>/PrimalNemesis/0Core/LootBoxes/Lesser/Materials/PrimalItem_RewardChest_Lesser_Materials.PrimalItem_RewardChest_Lesser_Materials</t>
  </si>
  <si>
    <t>Reward Chest Lesser Wood</t>
  </si>
  <si>
    <t>PrimalItem_RewardChest_Lesser_Wood_C</t>
  </si>
  <si>
    <t>/PrimalNemesis/0Core/LootBoxes/Lesser/Materials/WoodChest/PrimalItem_RewardChest_Lesser_Wood.PrimalItem_RewardChest_Lesser_Wood</t>
  </si>
  <si>
    <t>Reward Chest Rare</t>
  </si>
  <si>
    <t>PrimalItem_RewardChest_Rare_C</t>
  </si>
  <si>
    <t>/PrimalNemesis/3Items/0LootSystem/TreasureChests/UtilityChests/3Rare/PrimalItem_RewardChest_Rare.PrimalItem_RewardChest_Rare</t>
  </si>
  <si>
    <t>Reward Chest Regular</t>
  </si>
  <si>
    <t>PrimalItem_RewardChest_Regular_C</t>
  </si>
  <si>
    <t>/PrimalNemesis/0Core/QuestChallenge/GodlikeQuests/0Rewards/1RegularChest/PrimalItem_RewardChest_Regular.PrimalItem_RewardChest_Regular</t>
  </si>
  <si>
    <t>Reward Chest Uncommon</t>
  </si>
  <si>
    <t>PrimalItem_RewardChest_Uncommon_C</t>
  </si>
  <si>
    <t>/PrimalNemesis/3Items/0LootSystem/TreasureChests/UtilityChests/2Uncommon/PrimalItem_RewardChest_Uncommon.PrimalItem_RewardChest_Uncommon</t>
  </si>
  <si>
    <t>Armour Chest Common</t>
  </si>
  <si>
    <t>PrimalItem_ArmourChest_Common_C</t>
  </si>
  <si>
    <t>/PrimalNemesis/3Items/0LootSystem/TreasureChests/ArmourChests/1Common/PrimalItem_ArmourChest_Common.PrimalItem_ArmourChest_Common</t>
  </si>
  <si>
    <t>Armour Chest Un Common</t>
  </si>
  <si>
    <t>PrimalItem_ArmourChest_UnCommon_C</t>
  </si>
  <si>
    <t>/PrimalNemesis/3Items/0LootSystem/TreasureChests/ArmourChests/2Uncommon/PrimalItem_ArmourChest_UnCommon.PrimalItem_ArmourChest_UnCommon</t>
  </si>
  <si>
    <t>Charm Chest Common</t>
  </si>
  <si>
    <t>PrimalItem_CharmChest_Common_C</t>
  </si>
  <si>
    <t>/PrimalNemesis/3Items/0LootSystem/TreasureChests/CharmChests/1Common/PrimalItem_CharmChest_Common.PrimalItem_CharmChest_Common</t>
  </si>
  <si>
    <t>Tools Chest Common</t>
  </si>
  <si>
    <t>PrimalItem_ToolsChest_Common_C</t>
  </si>
  <si>
    <t>/PrimalNemesis/3Items/0LootSystem/TreasureChests/ToolChest/1Common/PrimalItem_ToolsChest_Common.PrimalItem_ToolsChest_Common</t>
  </si>
  <si>
    <t>Utility Chest Common</t>
  </si>
  <si>
    <t>PrimalItem_UtilityChest_Common_C</t>
  </si>
  <si>
    <t>/PrimalNemesis/3Items/0LootSystem/TreasureChests/UtilityChests/1Common/PrimalItem_UtilityChest_Common.PrimalItem_UtilityChest_Common</t>
  </si>
  <si>
    <t>Weapon Chest Common</t>
  </si>
  <si>
    <t>PrimalItem_WeaponChest_Common_C</t>
  </si>
  <si>
    <t>/PrimalNemesis/3Items/0LootSystem/TreasureChests/WeaponChests/1Common/PrimalItem_WeaponChest_Common.PrimalItem_WeaponChest_Common</t>
  </si>
  <si>
    <t>Summons</t>
  </si>
  <si>
    <t>Summon Alpha Boss</t>
  </si>
  <si>
    <t>PrimalItemConsumable_Summon_AlphaBoss_C</t>
  </si>
  <si>
    <t>/PrimalNemesis/1Bosses/TieredBosses/1Apex/SpawnEngram/PrimalItemConsumable_Summon_ApexBoss_2.PrimalItemConsumable_Summon_ApexBoss_1</t>
  </si>
  <si>
    <t>PrimalItemConsumable_Summon</t>
  </si>
  <si>
    <t>Summon Apex Boss</t>
  </si>
  <si>
    <t>PrimalItemConsumable_Summon_ApexBoss_C</t>
  </si>
  <si>
    <t>/PrimalNemesis/1Bosses/TieredBosses/1Apex/SpawnEngram/PrimalItemConsumable_Summon_ApexBoss.PrimalItemConsumable_Summon_ApexBoss</t>
  </si>
  <si>
    <t>Summon Bionic</t>
  </si>
  <si>
    <t>PrimalItemConsumable_Summon_bionic_C</t>
  </si>
  <si>
    <t>/PrimalNemesis/1Bosses/TieredBosses/4BionicBoss/2Boss/SpawnEngram/PrimalItemConsumable_Summon_bionic.PrimalItemConsumable_Summon_bionic</t>
  </si>
  <si>
    <t>Summon Celestial</t>
  </si>
  <si>
    <t>PrimalItemConsumable_Summon_Celestial_C</t>
  </si>
  <si>
    <t>/PrimalNemesis/1Bosses/TieredBosses/5CelestialAndDemonic/Celestial/SpawnEngram/PrimalItemConsumable_Summon_Celestial.PrimalItemConsumable_Summon_Celestial</t>
  </si>
  <si>
    <t>Summon Demonic</t>
  </si>
  <si>
    <t>PrimalItemConsumable_Summon_Demonic_C</t>
  </si>
  <si>
    <t>/PrimalNemesis/1Bosses/TieredBosses/5CelestialAndDemonic/demonic/SpawnEngram/PrimalItemConsumable_Summon_Demonic.PrimalItemConsumable_Summon_Demonic</t>
  </si>
  <si>
    <t>Summon Earth</t>
  </si>
  <si>
    <t>PrimalItemConsumable_Summon_Earth_C</t>
  </si>
  <si>
    <t>/PrimalNemesis/1Bosses/TieredBosses/2ElementalBosses/Earth/SpawnEngram/PrimalItemConsumable_Summon_Earth.PrimalItemConsumable_Summon_Earth</t>
  </si>
  <si>
    <t>Summon Frost</t>
  </si>
  <si>
    <t>PrimalItemConsumable_Summon_Frost_C</t>
  </si>
  <si>
    <t>/PrimalNemesis/1Bosses/TieredBosses/2ElementalBosses/Ice/SpawnEngram/PrimalItemConsumable_Summon_Frost.PrimalItemConsumable_Summon_Frost</t>
  </si>
  <si>
    <t>Summon Ghost</t>
  </si>
  <si>
    <t>PrimalItemConsumable_Summon_GhostBoss_C</t>
  </si>
  <si>
    <t>/PrimalNemesis/Content/1Bosses/TieredBosses/1Normal/3Ghost_Plague_Plasma/Ghostboss/SpawnEngram/PrimalItemConsumable_Summon_GhostBoss</t>
  </si>
  <si>
    <t>Summon Godly</t>
  </si>
  <si>
    <t>PrimalItemConsumable_Summon_Godly_C</t>
  </si>
  <si>
    <t>/PrimalNemesis/1Bosses/TieredBosses/6Godly/SpawnEngram/PrimalItemConsumable_Summon_Godly.PrimalItemConsumable_Summon_Godly</t>
  </si>
  <si>
    <t>Summon Hydro</t>
  </si>
  <si>
    <t>PrimalItemConsumable_Summon_Hydro_C</t>
  </si>
  <si>
    <t>/PrimalNemesis/1Bosses/TieredBosses/2ElementalBosses/Hydro/SpawnEngram/PrimalItemConsumable_Summon_Hydro.PrimalItemConsumable_Summon_Hydro</t>
  </si>
  <si>
    <t>Summon Nature</t>
  </si>
  <si>
    <t>PrimalItemConsumable_Summon_Nature_C</t>
  </si>
  <si>
    <t>/PrimalNemesis/1Bosses/TieredBosses/2ElementalBosses/Nature/SpawnEngram/PrimalItemConsumable_Summon_Nature.PrimalItemConsumable_Summon_Nature</t>
  </si>
  <si>
    <t>Summon Plague Boss</t>
  </si>
  <si>
    <t>PrimalItemConsumable_Summon_PlagueBoss_C</t>
  </si>
  <si>
    <t>Summon Plasma</t>
  </si>
  <si>
    <t>PrimalItemConsumable_Summon_PlasmaBoss_C</t>
  </si>
  <si>
    <t>/PrimalNemesis/Content/1Bosses/TieredBosses/1Normal/3Ghost_Plague_Plasma/plasmaboss/SpawnEngram/PrimalItemConsumable_Summon_PlasmaBoss</t>
  </si>
  <si>
    <t>Summon Storm</t>
  </si>
  <si>
    <t>PrimalItemConsumable_Summon_Storm_C</t>
  </si>
  <si>
    <t>/PrimalNemesis/1Bosses/TieredBosses/2ElementalBosses/Electric/SpawnEngram/PrimalItemConsumable_Summon_Storm.PrimalItemConsumable_Summon_Storm</t>
  </si>
  <si>
    <t>Summon Volcanic</t>
  </si>
  <si>
    <t>PrimalItemConsumable_Summon_Volcanic_C</t>
  </si>
  <si>
    <t>/PrimalNemesis/1Bosses/TieredBosses/2ElementalBosses/Volcanic/SpawnEngram/PrimalItemConsumable_Summon_Volcanic.PrimalItemConsumable_Summon_Volcanic</t>
  </si>
  <si>
    <t>Structures</t>
  </si>
  <si>
    <t>Behemoth</t>
  </si>
  <si>
    <t>PrimalItemRaft_Behemoth_C</t>
  </si>
  <si>
    <t>/PrimalNemesis/2Structures/Rafts/Behemoth/PrimalItemRaft_Behemoth.PrimalItemRaft_Behemoth</t>
  </si>
  <si>
    <t>Normal</t>
  </si>
  <si>
    <t>PrimalItemRaft_Normal_C</t>
  </si>
  <si>
    <t>/PrimalNemesis/2Structures/Rafts/Normal/PrimalItemRaft_Normal.PrimalItemRaft_Normal</t>
  </si>
  <si>
    <t>XL</t>
  </si>
  <si>
    <t>PrimalItemRaft_XL_C</t>
  </si>
  <si>
    <t>/PrimalNemesis/2Structures/Rafts/XL/PrimalItemRaft_XL.PrimalItemRaft_XL</t>
  </si>
  <si>
    <t>XXL</t>
  </si>
  <si>
    <t>PrimalItemRaft_XXL_C</t>
  </si>
  <si>
    <t>/PrimalNemesis/2Structures/Rafts/XXL/PrimalItemRaft_XXL.PrimalItemRaft_XXL</t>
  </si>
  <si>
    <t>Bee Hive Celestial</t>
  </si>
  <si>
    <t>PrimalItemStructure_BeeHive_Celestial_C</t>
  </si>
  <si>
    <t>/PrimalNemesis/2Structures/Beehives/Celestial/PrimalItemStructure_BeeHive_Celestial.PrimalItemStructure_BeeHive_Celestial</t>
  </si>
  <si>
    <t>Bee Hive Demonic</t>
  </si>
  <si>
    <t>PrimalItemStructure_BeeHive_Demonic_C</t>
  </si>
  <si>
    <t>/PrimalNemesis/2Structures/Beehives/Demonic/PrimalItemStructure_BeeHive_Demonic.PrimalItemStructure_BeeHive_Demonic</t>
  </si>
  <si>
    <t>Crop Plot Aquatic</t>
  </si>
  <si>
    <t>PrimalItemStructure_CropPlot_Large_Aquatic_C</t>
  </si>
  <si>
    <t>/PrimalNemesis/2Structures/Cropplot/WaterCropPlot/PrimalItemStructure_CropPlot_Large_Aquatic.PrimalItemStructure_CropPlot_Large_Aquatic</t>
  </si>
  <si>
    <t>Crop Plot Behemoth</t>
  </si>
  <si>
    <t>PrimalItemStructure_CropPlot_Behemoth_C</t>
  </si>
  <si>
    <t>Crop Plot Large Child</t>
  </si>
  <si>
    <t>PrimalItemStructure_CropPlot_Large_Child_C</t>
  </si>
  <si>
    <t>/PrimalNemesis/2Structures/Cropplot/PrimalItemStructure_CropPlot_Large_Child.PrimalItemStructure_CropPlot_Large_Child</t>
  </si>
  <si>
    <t>Metal Spike Wall Brass</t>
  </si>
  <si>
    <t>PrimalItemStructure_MetalSpikeWall_Brass_C</t>
  </si>
  <si>
    <t>/PrimalNemesis/2Structures/Spikes/Brass/PrimalItemStructure_MetalSpikeWall_Brass.PrimalItemStructure_MetalSpikeWall_Brass</t>
  </si>
  <si>
    <t>Metal Spike Wall Bronze</t>
  </si>
  <si>
    <t>PrimalItemStructure_MetalSpikeWall_Bronze_C</t>
  </si>
  <si>
    <t>/PrimalNemesis/2Structures/Spikes/Bronze/PrimalItemStructure_MetalSpikeWall_Bronze.PrimalItemStructure_MetalSpikeWall_Bronze</t>
  </si>
  <si>
    <t>Primal Bed PN</t>
  </si>
  <si>
    <t>PrimalItemStructure_PrimalBed_PN_C</t>
  </si>
  <si>
    <t>/PrimalNemesis/2Structures/Bed/PrimalItemStructure_PrimalBed_PN.PrimalItemStructure_PrimalBed_PN</t>
  </si>
  <si>
    <t>Primal Bench</t>
  </si>
  <si>
    <t>PrimalItemStructure_PrimalBench_C</t>
  </si>
  <si>
    <t>/PrimalNemesis/2Structures/Smithy/PrimalItemStructure_PrimalBench.PrimalItemStructure_PrimalBench</t>
  </si>
  <si>
    <t>Primal Boss Altar</t>
  </si>
  <si>
    <t>PrimalItemStructure_PrimalBossAltar_C</t>
  </si>
  <si>
    <t>/PrimalNemesis/2Structures/bossaltar/PrimalItemStructure_PrimalBossAltar.PrimalItemStructure_PrimalBossAltar</t>
  </si>
  <si>
    <t>Primal Cauldron</t>
  </si>
  <si>
    <t>PrimalItemStructure_PrimalCauldron_C</t>
  </si>
  <si>
    <t>/PrimalNemesis/2Structures/Cauldron/PrimalItemStructure_PrimalCauldron.PrimalItemStructure_PrimalCauldron</t>
  </si>
  <si>
    <t>Primal Bionic Forge</t>
  </si>
  <si>
    <t>PrimalItemStructure_PrimalBionicForge</t>
  </si>
  <si>
    <t>/PrimalNemesis/Content/2Structures/BionicForge/PrimalItemStructure_PrimalBionicForge</t>
  </si>
  <si>
    <t>Primal Forge</t>
  </si>
  <si>
    <t>PrimalItemStructure_PrimalForge_C</t>
  </si>
  <si>
    <t>/PrimalNemesis/2Structures/CopperFurnace/PrimalItemStructure_PrimalForge.PrimalItemStructure_PrimalForge</t>
  </si>
  <si>
    <t>Primal Incubator</t>
  </si>
  <si>
    <t>PrimalItemStructure_PrimalIncubator_C</t>
  </si>
  <si>
    <t>/PrimalNemesis/2Structures/incubator/PrimalItemStructure_PrimalIncubator.PrimalItemStructure_PrimalIncubator</t>
  </si>
  <si>
    <t>Tools/Weapons/Ammo</t>
  </si>
  <si>
    <t>Grappling Bow</t>
  </si>
  <si>
    <t>PrimalItem_GrapplingBow_C</t>
  </si>
  <si>
    <t>/PrimalNemesis/4ToolsAndArmor/Tools/0Primal/GrapplingBow/PrimalItem_GrapplingBow.PrimalItem_GrapplingBow</t>
  </si>
  <si>
    <t>Bola Primal</t>
  </si>
  <si>
    <t>PrimalItem_WeaponBola_Primal_C</t>
  </si>
  <si>
    <t>/PrimalNemesis/4ToolsAndArmor/Tools/0Primal/ReusableBola/PrimalItem_WeaponBola_Primal.PrimalItem_WeaponBola_Primal</t>
  </si>
  <si>
    <t>Plasma Ghostbuster 9000</t>
  </si>
  <si>
    <t>PrimalItem_WeaponMiningDrill_Child_C</t>
  </si>
  <si>
    <t>/PrimalNemesis/5Tranqs/0Special/MiningDrill/PrimalItem_WeaponMiningDrill_Child.PrimalItem_WeaponMiningDrill_Child</t>
  </si>
  <si>
    <t>Plasma NetGun</t>
  </si>
  <si>
    <t>PrimalItem_WeaponNetGun_Plasma_C</t>
  </si>
  <si>
    <t>/PrimalNemesis/5Tranqs/0Special/PlasmaNetGun/PrimalItem_WeaponNetGun_Plasma.PrimalItem_WeaponNetGun_Plasma</t>
  </si>
  <si>
    <t>Reusable Parachute</t>
  </si>
  <si>
    <t>Primalitem_ReusableParachute_C</t>
  </si>
  <si>
    <t>/PrimalNemesis/4ToolsAndArmor/Tools/0Primal/Parachute/Primalitem_ReusableParachute.Primalitem_ReusableParachute</t>
  </si>
  <si>
    <t>Reusable Spear</t>
  </si>
  <si>
    <t>PrimalItem_ReusableSpear_C</t>
  </si>
  <si>
    <t>/PrimalNemesis/4ToolsAndArmor/Tools/0Primal/Spear/PrimalItem_ReusableSpear.PrimalItem_ReusableSpear</t>
  </si>
  <si>
    <t>Weapon Gene Scanner Primal</t>
  </si>
  <si>
    <t>PrimalItem_WeaponGeneScanner_Primal_C</t>
  </si>
  <si>
    <t>/PrimalNemesis/4ToolsAndArmor/Tools/0Genesplicer/PrimalItem_WeaponGeneScanner_Primal.PrimalItem_WeaponGeneScanner_Primal</t>
  </si>
  <si>
    <t>Weapon Metal Hatchet Brass</t>
  </si>
  <si>
    <t>PrimalItem_WeaponMetalHatchet_Brass_C</t>
  </si>
  <si>
    <t>/PrimalNemesis/4Tools_Armor_Saddles/Tools/BrassTools/Hatchet/PrimalItem_WeaponMetalHatchet_Brass.PrimalItem_WeaponMetalHatchet_Brass</t>
  </si>
  <si>
    <t>Weapon Metal Hatchet Bronze</t>
  </si>
  <si>
    <t>PrimalItem_WeaponMetalHatchet_Bronze_C</t>
  </si>
  <si>
    <t>/PrimalNemesis/4Tools_Armor_Saddles/Tools/BronzeTools/Hatchet/PrimalItem_WeaponMetalHatchet_Bronze.PrimalItem_WeaponMetalHatchet_Bronze</t>
  </si>
  <si>
    <t>Weapon Metal Hatchet Steel</t>
  </si>
  <si>
    <t>PrimalItem_WeaponMetalHatchet_Steel_C</t>
  </si>
  <si>
    <t>/PrimalNemesis/4Tools_Armor_Saddles/Tools/SteelTools/Hatchet/PrimalItem_WeaponMetalHatchet_Steel.PrimalItem_WeaponMetalHatchet_Steel</t>
  </si>
  <si>
    <t>Weapon Metal Pick Brass</t>
  </si>
  <si>
    <t>PrimalItem_WeaponMetalPick_Brass_C</t>
  </si>
  <si>
    <t>/PrimalNemesis/4ToolsAndArmor/Tools/BrassTools/Pick/PrimalItem_WeaponMetalPick_Brass.PrimalItem_WeaponMetalPick_Brass</t>
  </si>
  <si>
    <t>Weapon Metal Pick Bronze</t>
  </si>
  <si>
    <t>PrimalItem_WeaponMetalPick_Bronze_C</t>
  </si>
  <si>
    <t>/PrimalNemesis/4ToolsAndArmor/Tools/BronzeTools/Pick/PrimalItem_WeaponMetalPick_Bronze.PrimalItem_WeaponMetalPick_Bronze</t>
  </si>
  <si>
    <t>Weapon Metal Pick Steel</t>
  </si>
  <si>
    <t>PrimalItem_WeaponMetalPick_Steel_C</t>
  </si>
  <si>
    <t>/PrimalNemesis/4Tools_Armor_Saddles/Tools/SteelTools/Pick/PrimalItem_WeaponMetalPick_Steel.PrimalItem_WeaponMetalPick_Steel</t>
  </si>
  <si>
    <t>Weapon Pike Brass</t>
  </si>
  <si>
    <t>PrimalItem_WeaponPike_Brass_C</t>
  </si>
  <si>
    <t>/PrimalNemesis/4Tools_Armor_Saddles/Tools/BrassTools/Pike/PrimalItem_WeaponPike_Brass.PrimalItem_WeaponPike_Brass</t>
  </si>
  <si>
    <t>Weapon Pike Bronze</t>
  </si>
  <si>
    <t>PrimalItem_WeaponPike_Bronze_C</t>
  </si>
  <si>
    <t>/PrimalNemesis/4Tools_Armor_Saddles/Tools/BronzeTools/Pike/PrimalItem_WeaponPike_Bronze.PrimalItem_WeaponPike_Bronze</t>
  </si>
  <si>
    <t>Weapon Pike Steel</t>
  </si>
  <si>
    <t>PrimalItem_WeaponPike_Steel_C</t>
  </si>
  <si>
    <t>/PrimalNemesis/4Tools_Armor_Saddles/Tools/SteelTools/Pike/PrimalItem_WeaponPike_Steel.PrimalItem_WeaponPike_Steel</t>
  </si>
  <si>
    <t>Weapon Sickle Brass</t>
  </si>
  <si>
    <t>PrimalItem_WeaponSickle_Brass_C</t>
  </si>
  <si>
    <t>/PrimalNemesis/4Tools_Armor_Saddles/Tools/BrassTools/Sickle/PrimalItem_WeaponSickle_Brass.PrimalItem_WeaponSickle_Brass</t>
  </si>
  <si>
    <t>Weapon Sickle Bronze</t>
  </si>
  <si>
    <t>PrimalItem_WeaponSickle_Bronze_C</t>
  </si>
  <si>
    <t>/PrimalNemesis/4Tools_Armor_Saddles/Tools/BronzeTools/Sickle/PrimalItem_WeaponSickle_Bronze.PrimalItem_WeaponSickle_Bronze</t>
  </si>
  <si>
    <t>Weapon Sickle Steel</t>
  </si>
  <si>
    <t>PrimalItem_WeaponSickle_Steel_C</t>
  </si>
  <si>
    <t>/PrimalNemesis/4Tools_Armor_Saddles/Tools/SteelTools/Sickle/PrimalItem_WeaponSickle_Steel.PrimalItem_WeaponSickle_Steel</t>
  </si>
  <si>
    <t>Advanced Sniper Bullet ADV</t>
  </si>
  <si>
    <t>PrimalItemAmmo_AdvancedSniperBullet_ADV_C</t>
  </si>
  <si>
    <t>/PrimalNemesis/5Tranqs/3Bullets/5Bionic/PrimalItemAmmo_AdvancedSniperBullet_ADV.PrimalItemAmmo_AdvancedSniperBullet_ADV</t>
  </si>
  <si>
    <t>Advanced Sniper Bullet Alpha</t>
  </si>
  <si>
    <t>PrimalItemAmmo_AdvancedSniperBullet_Alpha_C</t>
  </si>
  <si>
    <t>/PrimalNemesis/5Tranqs/3Bullets/1Alpha/PrimalItemAmmo_AdvancedSniperBullet_Alpha.PrimalItemAmmo_AdvancedSniperBullet_Alpha</t>
  </si>
  <si>
    <t>Advanced Sniper Bullet Angelic</t>
  </si>
  <si>
    <t>PrimalItemAmmo_AdvancedSniperBullet_Angelic_C</t>
  </si>
  <si>
    <t>/PrimalNemesis/5Tranqs/3Bullets/6AngelicAndDemonic/Angelic/PrimalItemAmmo_AdvancedSniperBullet_Angelic.PrimalItemAmmo_AdvancedSniperBullet_Angelic</t>
  </si>
  <si>
    <t>Advanced Sniper Bullet Apex</t>
  </si>
  <si>
    <t>PrimalItemAmmo_AdvancedSniperBullet_Apex_C</t>
  </si>
  <si>
    <t>/PrimalNemesis/5Tranqs/3Bullets/2Apex/PrimalItemAmmo_AdvancedSniperBullet_Apex.PrimalItemAmmo_AdvancedSniperBullet_Apex</t>
  </si>
  <si>
    <t>Advanced Sniper Bullet Demonic</t>
  </si>
  <si>
    <t>PrimalItemAmmo_AdvancedSniperBullet_Demonic_C</t>
  </si>
  <si>
    <t>/PrimalNemesis/5Tranqs/3Bullets/6AngelicAndDemonic/demonic/PrimalItemAmmo_AdvancedSniperBullet_Demonic.PrimalItemAmmo_AdvancedSniperBullet_Demonic</t>
  </si>
  <si>
    <t>Advanced Sniper Bullet Element</t>
  </si>
  <si>
    <t>PrimalItemAmmo_AdvancedSniperBullet_Element_C</t>
  </si>
  <si>
    <t>/PrimalNemesis/5Tranqs/3Bullets/3Elemental/PrimalItemAmmo_AdvancedSniperBullet_Element.PrimalItemAmmo_AdvancedSniperBullet_Element</t>
  </si>
  <si>
    <t>Arrow Tranq Alpha</t>
  </si>
  <si>
    <t>PrimalItemAmmo_ArrowTranq_Alpha_C</t>
  </si>
  <si>
    <t>/PrimalNemesis/5Tranqs/1Arrow/1Alpha/PrimalItemAmmo_ArrowTranq_Alpha.PrimalItemAmmo_ArrowTranq_Alpha</t>
  </si>
  <si>
    <t>Arrow Tranq Apex</t>
  </si>
  <si>
    <t>PrimalItemAmmo_ArrowTranq_Apex_C</t>
  </si>
  <si>
    <t>/PrimalNemesis/5Tranqs/1Arrow/2Apex/PrimalItemAmmo_ArrowTranq_Apex.PrimalItemAmmo_ArrowTranq_Apex</t>
  </si>
  <si>
    <t>Compound Bow Arrow ADV</t>
  </si>
  <si>
    <t>PrimalItemAmmo_CompoundBowArrow_ADV_C</t>
  </si>
  <si>
    <t>/PrimalNemesis/5Tranqs/4Compound/5Bionic/PrimalItemAmmo_CompoundBowArrow_ADV.PrimalItemAmmo_CompoundBowArrow_ADV</t>
  </si>
  <si>
    <t>Compound Bow Arrow Alpha</t>
  </si>
  <si>
    <t>PrimalItemAmmo_CompoundBowArrow_Alpha_C</t>
  </si>
  <si>
    <t>/PrimalNemesis/5Tranqs/4Compound/1Alpha/PrimalItemAmmo_CompoundBowArrow_Alpha.PrimalItemAmmo_CompoundBowArrow_Alpha</t>
  </si>
  <si>
    <t>Compound Bow Arrow Angelic</t>
  </si>
  <si>
    <t>PrimalItemAmmo_CompoundBowArrow_Angelic_C</t>
  </si>
  <si>
    <t>/PrimalNemesis/5Tranqs/4Compound/6AngelicAndDemonic/Angelic/PrimalItemAmmo_CompoundBowArrow_Angelic.PrimalItemAmmo_CompoundBowArrow_Angelic</t>
  </si>
  <si>
    <t>Compound Bow Arrow Apex</t>
  </si>
  <si>
    <t>PrimalItemAmmo_CompoundBowArrow_Apex_C</t>
  </si>
  <si>
    <t>/PrimalNemesis/5Tranqs/4Compound/2Apex/PrimalItemAmmo_CompoundBowArrow_Apex.PrimalItemAmmo_CompoundBowArrow_Apex</t>
  </si>
  <si>
    <t>Compound Bow Arrow Demonic</t>
  </si>
  <si>
    <t>PrimalItemAmmo_CompoundBowArrow_Demonic_C</t>
  </si>
  <si>
    <t>/PrimalNemesis/5Tranqs/4Compound/6AngelicAndDemonic/Demonic/PrimalItemAmmo_CompoundBowArrow_Demonic.PrimalItemAmmo_CompoundBowArrow_Demonic</t>
  </si>
  <si>
    <t>Compound Bow Arrow Element</t>
  </si>
  <si>
    <t>PrimalItemAmmo_CompoundBowArrow_Element_C</t>
  </si>
  <si>
    <t>/PrimalNemesis/5Tranqs/4Compound/3Element/PrimalItemAmmo_CompoundBowArrow_Element.PrimalItemAmmo_CompoundBowArrow_Element</t>
  </si>
  <si>
    <t>NetGun Ammo</t>
  </si>
  <si>
    <t>PrimalItemAmmo_NetGun_Plasma_C</t>
  </si>
  <si>
    <t>/PrimalNemesis/5Tranqs/0Special/PlasmaNetGun/PrimalItemAmmo_NetGun_Plasma.PrimalItemAmmo_NetGun_Plasma</t>
  </si>
  <si>
    <t>/PrimalNemesis/3Items/Essence/Tier4Essence/Plasma/PrimalItemResource_Essence_Plasma.PrimalItemResource_Essence_Plasma</t>
  </si>
  <si>
    <t>Tranq Dart ADV</t>
  </si>
  <si>
    <t>PrimalItemAmmo_TranqDart_ADV_C</t>
  </si>
  <si>
    <t>/PrimalNemesis/5Tranqs/2Darts/5Bionic/PrimalItemAmmo_TranqDart_ADV.PrimalItemAmmo_TranqDart_ADV</t>
  </si>
  <si>
    <t>Tranq Dart Alpha</t>
  </si>
  <si>
    <t>PrimalItemAmmo_TranqDart_Alpha_C</t>
  </si>
  <si>
    <t>/PrimalNemesis/5Tranqs/2Darts/1Alpha/PrimalItemAmmo_TranqDart_Alpha.PrimalItemAmmo_TranqDart_Alpha</t>
  </si>
  <si>
    <t>Tranq Dart Angelic</t>
  </si>
  <si>
    <t>PrimalItemAmmo_TranqDart_Angelic_C</t>
  </si>
  <si>
    <t>/PrimalNemesis/5Tranqs/2Darts/6AngelicAndDemonic/Angelic/PrimalItemAmmo_TranqDart_Angelic.PrimalItemAmmo_TranqDart_Angelic</t>
  </si>
  <si>
    <t>Tranq Dart Apex</t>
  </si>
  <si>
    <t>PrimalItemAmmo_TranqDart_Apex_C</t>
  </si>
  <si>
    <t>/PrimalNemesis/5Tranqs/2Darts/2Apex/PrimalItemAmmo_TranqDart_Apex.PrimalItemAmmo_TranqDart_Apex</t>
  </si>
  <si>
    <t>Tranq Dart Demonic</t>
  </si>
  <si>
    <t>PrimalItemAmmo_TranqDart_Demonic_C</t>
  </si>
  <si>
    <t>/PrimalNemesis/5Tranqs/2Darts/6AngelicAndDemonic/Demonic/PrimalItemAmmo_TranqDart_Demonic.PrimalItemAmmo_TranqDart_Demonic</t>
  </si>
  <si>
    <t>Tranq Dart Element</t>
  </si>
  <si>
    <t>PrimalItemAmmo_TranqDart_Element_C</t>
  </si>
  <si>
    <t>/PrimalNemesis/5Tranqs/2Darts/3Elemental/PrimalItemAmmo_TranqDart_Element.PrimalItemAmmo_TranqDart_Element</t>
  </si>
  <si>
    <t>Armor</t>
  </si>
  <si>
    <t>Alpha Cloth Boots</t>
  </si>
  <si>
    <t>PrimalItemArmor_ClothBoots_Alpha_C</t>
  </si>
  <si>
    <t>/PrimalNemesis/4ToolsAndArmor/Armour/1Alpha/Cloth/PrimalItemArmor_ClothBoots_Alpha.PrimalItemArmor_ClothBoots_Alpha</t>
  </si>
  <si>
    <t>Alpha Cloth Gloves</t>
  </si>
  <si>
    <t>PrimalItemArmor_ClothGloves_Alpha_C</t>
  </si>
  <si>
    <t>/PrimalNemesis/4ToolsAndArmor/Armour/1Alpha/Cloth/PrimalItemArmor_ClothGloves_Alpha.PrimalItemArmor_ClothGloves_Alpha</t>
  </si>
  <si>
    <t>Alpha Cloth Helmet</t>
  </si>
  <si>
    <t>PrimalItemArmor_ClothHelmet_Alpha_C</t>
  </si>
  <si>
    <t>/PrimalNemesis/4ToolsAndArmor/Armour/1Alpha/Cloth/PrimalItemArmor_ClothHelmet_Alpha.PrimalItemArmor_ClothHelmet_Alpha</t>
  </si>
  <si>
    <t>Alpha Cloth Pants</t>
  </si>
  <si>
    <t>PrimalItemArmor_ClothPants_Alpha_C</t>
  </si>
  <si>
    <t>/PrimalNemesis/4ToolsAndArmor/Armour/1Alpha/Cloth/PrimalItemArmor_ClothPants_Alpha.PrimalItemArmor_ClothPants_Alpha</t>
  </si>
  <si>
    <t>Alpha Cloth Shirt</t>
  </si>
  <si>
    <t>PrimalItemArmor_ClothShirt_Alpha_C</t>
  </si>
  <si>
    <t>/PrimalNemesis/4ToolsAndArmor/Armour/1Alpha/Cloth/PrimalItemArmor_ClothShirt_Alpha.PrimalItemArmor_ClothShirt_Alpha</t>
  </si>
  <si>
    <t>Alpha Hide Boots</t>
  </si>
  <si>
    <t>PrimalItemArmor_HideBoots_Alpha_C</t>
  </si>
  <si>
    <t>/PrimalNemesis/4ToolsAndArmor/Armour/1Alpha/Hide/PrimalItemArmor_HideBoots_Alpha.PrimalItemArmor_HideBoots_Alpha</t>
  </si>
  <si>
    <t>Alpha Hide Gloves</t>
  </si>
  <si>
    <t>PrimalItemArmor_HideGloves_Alpha_C</t>
  </si>
  <si>
    <t>/PrimalNemesis/4ToolsAndArmor/Armour/1Alpha/Hide/PrimalItemArmor_HideGloves_Alpha.PrimalItemArmor_HideGloves_Alpha</t>
  </si>
  <si>
    <t>Alpha Hide Helmet</t>
  </si>
  <si>
    <t>PrimalItemArmor_HideHelmet_Alpha_C</t>
  </si>
  <si>
    <t>/PrimalNemesis/4ToolsAndArmor/Armour/1Alpha/Hide/PrimalItemArmor_HideHelmet_Alpha.PrimalItemArmor_HideHelmet_Alpha</t>
  </si>
  <si>
    <t>Alpha Hide Pants</t>
  </si>
  <si>
    <t>PrimalItemArmor_HidePants_Alpha_C</t>
  </si>
  <si>
    <t>/PrimalNemesis/4ToolsAndArmor/Armour/1Alpha/Hide/PrimalItemArmor_HidePants_Alpha.PrimalItemArmor_HidePants_Alpha</t>
  </si>
  <si>
    <t>Alpha Hide Shirt</t>
  </si>
  <si>
    <t>PrimalItemArmor_HideShirt_Alpha_C</t>
  </si>
  <si>
    <t>/PrimalNemesis/4ToolsAndArmor/Armour/1Alpha/Hide/PrimalItemArmor_HideShirt_Alpha.PrimalItemArmor_HideShirt_Alpha</t>
  </si>
  <si>
    <t>Brass Metal Boots</t>
  </si>
  <si>
    <t>PrimalItemArmor_MetalBoots_Brass_C</t>
  </si>
  <si>
    <t>/PrimalNemesis/4ToolsAndArmor/Armour/3Brass/PrimalItemArmor_MetalBoots_Brass.PrimalItemArmor_MetalBoots_Brass</t>
  </si>
  <si>
    <t>Bronze Metal Boots</t>
  </si>
  <si>
    <t>PrimalItemArmor_MetalBoots_Bronze_C</t>
  </si>
  <si>
    <t>/PrimalNemesis/4ToolsAndArmor/Armour/4Bronze/PrimalItemArmor_MetalBoots_Bronze.PrimalItemArmor_MetalBoots_Bronze</t>
  </si>
  <si>
    <t>Steel Metal Boots</t>
  </si>
  <si>
    <t>PrimalItemArmor_MetalBoots_Steel_C</t>
  </si>
  <si>
    <t>/PrimalNemesis/4ToolsAndArmor/Armour/5Steel/PrimalItemArmor_MetalBoots_Steel.PrimalItemArmor_MetalBoots_Steel</t>
  </si>
  <si>
    <t>Brass Metal Gloves</t>
  </si>
  <si>
    <t>PrimalItemArmor_MetalGloves_Brass_C</t>
  </si>
  <si>
    <t>/PrimalNemesis/4ToolsAndArmor/Armour/3Brass/PrimalItemArmor_MetalGloves_Brass.PrimalItemArmor_MetalGloves_Brass</t>
  </si>
  <si>
    <t>Bronze Metal Gloves</t>
  </si>
  <si>
    <t>PrimalItemArmor_MetalGloves_Bronze_C</t>
  </si>
  <si>
    <t>/PrimalNemesis/4ToolsAndArmor/Armour/4Bronze/PrimalItemArmor_MetalGloves_Bronze.PrimalItemArmor_MetalGloves_Bronze</t>
  </si>
  <si>
    <t>Steel Metal Gloves</t>
  </si>
  <si>
    <t>PrimalItemArmor_MetalGloves_Steel_C</t>
  </si>
  <si>
    <t>/PrimalNemesis/4ToolsAndArmor/Armour/5Steel/PrimalItemArmor_MetalGloves_Steel.PrimalItemArmor_MetalGloves_Steel</t>
  </si>
  <si>
    <t>Brass Metal Helmet</t>
  </si>
  <si>
    <t>PrimalItemArmor_MetalHelmet_Brass_C</t>
  </si>
  <si>
    <t>/PrimalNemesis/4ToolsAndArmor/Armour/3Brass/PrimalItemArmor_MetalHelmet_Brass.PrimalItemArmor_MetalHelmet_Brass</t>
  </si>
  <si>
    <t>Bronze Metal Helmet</t>
  </si>
  <si>
    <t>PrimalItemArmor_MetalHelmet_Bronze_C</t>
  </si>
  <si>
    <t>/PrimalNemesis/4ToolsAndArmor/Armour/4Bronze/PrimalItemArmor_MetalHelmet_Bronze.PrimalItemArmor_MetalHelmet_Bronze</t>
  </si>
  <si>
    <t>Steel Metal Helmet</t>
  </si>
  <si>
    <t>PrimalItemArmor_MetalHelmet_Steel_C</t>
  </si>
  <si>
    <t>/PrimalNemesis/4ToolsAndArmor/Armour/5Steel/PrimalItemArmor_MetalHelmet_Steel.PrimalItemArmor_MetalHelmet_Steel</t>
  </si>
  <si>
    <t>Brass Metal Pants</t>
  </si>
  <si>
    <t>PrimalItemArmor_MetalPants_Brass_C</t>
  </si>
  <si>
    <t>/PrimalNemesis/4ToolsAndArmor/Armour/3Brass/PrimalItemArmor_MetalPants_Brass.PrimalItemArmor_MetalPants_Brass</t>
  </si>
  <si>
    <t>Bronze Metal Pants</t>
  </si>
  <si>
    <t>PrimalItemArmor_MetalPants_Bronze_C</t>
  </si>
  <si>
    <t>/PrimalNemesis/4ToolsAndArmor/Armour/4Bronze/PrimalItemArmor_MetalPants_Bronze.PrimalItemArmor_MetalPants_Bronze</t>
  </si>
  <si>
    <t>Steel Metal Pants</t>
  </si>
  <si>
    <t>PrimalItemArmor_MetalPants_Steel_C</t>
  </si>
  <si>
    <t>/PrimalNemesis/4ToolsAndArmor/Armour/5Steel/PrimalItemArmor_MetalPants_Steel.PrimalItemArmor_MetalPants_Steel</t>
  </si>
  <si>
    <t>Brass Metal Shirt</t>
  </si>
  <si>
    <t>PrimalItemArmor_MetalShirt_Brass_C</t>
  </si>
  <si>
    <t>/PrimalNemesis/4ToolsAndArmor/Armour/3Brass/PrimalItemArmor_MetalShirt_Brass.PrimalItemArmor_MetalShirt_Brass</t>
  </si>
  <si>
    <t>Bronze Metal Shirt</t>
  </si>
  <si>
    <t>PrimalItemArmor_MetalShirt_Bronze_C</t>
  </si>
  <si>
    <t>/PrimalNemesis/4ToolsAndArmor/Armour/4Bronze/PrimalItemArmor_MetalShirt_Bronze.PrimalItemArmor_MetalShirt_Bronze</t>
  </si>
  <si>
    <t>Steel Metal Shirt</t>
  </si>
  <si>
    <t>PrimalItemArmor_MetalShirt_Steel_C</t>
  </si>
  <si>
    <t>/PrimalNemesis/4ToolsAndArmor/Armour/5Steel/PrimalItemArmor_MetalShirt_Steel.PrimalItemArmor_MetalShirt_Steel</t>
  </si>
  <si>
    <t>Saddles</t>
  </si>
  <si>
    <t>Allo Saddle Alpha</t>
  </si>
  <si>
    <t>PrimalItemArmor_AlloSaddle_Alpha_C</t>
  </si>
  <si>
    <t>/PrimalNemesis/3Items/Saddles/1Alpha/Allo/PrimalItemArmor_AlloSaddle_Alpha.PrimalItemArmor_AlloSaddle_Alpha</t>
  </si>
  <si>
    <t>Achatina Alpha</t>
  </si>
  <si>
    <t>PrimalItemSaddle_Achatina_Alpha_C</t>
  </si>
  <si>
    <t>/PrimalNemesis/3Items/Saddles/1Alpha/Achatina/PrimalItemSaddle_Achatina_Alpha.PrimalItemSaddle_Achatina_Alpha</t>
  </si>
  <si>
    <t>Achatina Apex</t>
  </si>
  <si>
    <t>PrimalItemSaddle_Achatina_Apex_C</t>
  </si>
  <si>
    <t>/PrimalNemesis/3Items/Saddles/2Apex/Achatina/PrimalItemSaddle_Achatina_Apex.PrimalItemSaddle_Achatina_Apex</t>
  </si>
  <si>
    <t>Allo Saddle Apex</t>
  </si>
  <si>
    <t>PrimalItemArmor_AlloSaddle_Apex_C</t>
  </si>
  <si>
    <t>/PrimalNemesis/3Items/Saddles/2Apex/Allo/PrimalItemArmor_AlloSaddle_Apex.PrimalItemArmor_AlloSaddle_Apex</t>
  </si>
  <si>
    <t>Allo Saddle Hydro</t>
  </si>
  <si>
    <t>PrimalItemArmor_AlloSaddle_Hydro_C</t>
  </si>
  <si>
    <t>/PrimalNemesis/3Items/Saddles/3Elemental/Hydro/Allo/PrimalItemArmor_AlloSaddle_Hydro.PrimalItemArmor_AlloSaddle_Hydro</t>
  </si>
  <si>
    <t>Allo Saddle Storm</t>
  </si>
  <si>
    <t>PrimalItemArmor_AlloSaddle_Storm_C</t>
  </si>
  <si>
    <t>/PrimalNemesis/3Items/Saddles/3Elemental/Storm/Allo/PrimalItemArmor_AlloSaddle_Storm.PrimalItemArmor_AlloSaddle_Storm</t>
  </si>
  <si>
    <t>Allo Saddle Volcanic</t>
  </si>
  <si>
    <t>PrimalItemArmor_AlloSaddle_Volcanic_C</t>
  </si>
  <si>
    <t>/PrimalNemesis/3Items/Saddles/3Elemental/Volcanic/Allo/PrimalItemArmor_AlloSaddle_Volcanic.PrimalItemArmor_AlloSaddle_Volcanic</t>
  </si>
  <si>
    <t>Ammonite Atlantic</t>
  </si>
  <si>
    <t>PrimalItemSaddle_Ammonite_Atlantic_C</t>
  </si>
  <si>
    <t>/PrimalNemesis/3Items/Saddles/0WaterDinos/2Atlantic/Ammonite/PrimalItemSaddle_Ammonite_Atlantic.PrimalItemSaddle_Ammonite_Atlantic</t>
  </si>
  <si>
    <t>Ammonite Pacific</t>
  </si>
  <si>
    <t>PrimalItemSaddle_Ammonite_Pacific_C</t>
  </si>
  <si>
    <t>/PrimalNemesis/3Items/Saddles/0WaterDinos/1Pacific/Ammonite/PrimalItemSaddle_Ammonite_Pacific.PrimalItemSaddle_Ammonite_Pacific</t>
  </si>
  <si>
    <t>Ankylo Saddle Alpha</t>
  </si>
  <si>
    <t>PrimalItemArmor_AnkyloSaddle_Alpha_C</t>
  </si>
  <si>
    <t>/PrimalNemesis/3Items/Saddles/1Alpha/Ankylosaurus/PrimalItemArmor_AnkyloSaddle_Alpha.PrimalItemArmor_AnkyloSaddle_Alpha</t>
  </si>
  <si>
    <t>Ankylo Saddle Apex</t>
  </si>
  <si>
    <t>PrimalItemArmor_AnkyloSaddle_Apex_C</t>
  </si>
  <si>
    <t>/PrimalNemesis/3Items/Saddles/2Apex/Ankylosaurus/PrimalItemArmor_AnkyloSaddle_Apex.PrimalItemArmor_AnkyloSaddle_Apex</t>
  </si>
  <si>
    <t>Ankylo Saddle Volcanic</t>
  </si>
  <si>
    <t>PrimalItemArmor_AnkyloSaddle_Volcanic_C</t>
  </si>
  <si>
    <t>/PrimalNemesis/3Items/Saddles/3Elemental/Volcanic/Ankylosaurus/PrimalItemArmor_AnkyloSaddle_Volcanic.PrimalItemArmor_AnkyloSaddle_Volcanic</t>
  </si>
  <si>
    <t>Ant Alpha</t>
  </si>
  <si>
    <t>PrimalItemSaddle_Ant_Alpha_C</t>
  </si>
  <si>
    <t>/PrimalNemesis/3Items/Saddles/1Alpha/Ant/PrimalItemSaddle_Ant_Alpha.PrimalItemSaddle_Ant_Alpha</t>
  </si>
  <si>
    <t>Ant Apex</t>
  </si>
  <si>
    <t>PrimalItemSaddle_Ant_Apex_C</t>
  </si>
  <si>
    <t>/PrimalNemesis/3Items/Saddles/2Apex/Ant/PrimalItemSaddle_Ant_Apex.PrimalItemSaddle_Ant_Apex</t>
  </si>
  <si>
    <t>Araneo Bionic</t>
  </si>
  <si>
    <t>PrimalItemSaddle_Araneo_Bionic_C</t>
  </si>
  <si>
    <t>/PrimalNemesis/3Items/Saddles/5Bionic/Araneo/PrimalItemSaddle_Araneo_Bionic.PrimalItemSaddle_Araneo_Bionic</t>
  </si>
  <si>
    <t>Archaeopteryx Alpha</t>
  </si>
  <si>
    <t>PrimalItemSaddle_Archaeopteryx_Alpha_C</t>
  </si>
  <si>
    <t>/PrimalNemesis/3Items/Saddles/1Alpha/Archaeopteryx/PrimalItemSaddle_Archaeopteryx_Alpha.PrimalItemSaddle_Archaeopteryx_Alpha</t>
  </si>
  <si>
    <t>Archaeopteryx Apex</t>
  </si>
  <si>
    <t>PrimalItemSaddle_Archaeopteryx_Apex_C</t>
  </si>
  <si>
    <t>/PrimalNemesis/3Items/Saddles/2Apex/Archaeopteryx/PrimalItemSaddle_Archaeopteryx_Apex.PrimalItemSaddle_Archaeopteryx_Apex</t>
  </si>
  <si>
    <t>Argentavis Saddle Alpha</t>
  </si>
  <si>
    <t>PrimalItemArmor_ArgentavisSaddle_Alpha_C</t>
  </si>
  <si>
    <t>/PrimalNemesis/3Items/Saddles/1Alpha/Argentavis/PrimalItemArmor_ArgentavisSaddle_Alpha.PrimalItemArmor_ArgentavisSaddle_Alpha</t>
  </si>
  <si>
    <t>Argentavis Saddle Apex</t>
  </si>
  <si>
    <t>PrimalItemArmor_ArgentavisSaddle_Apex_C</t>
  </si>
  <si>
    <t>/PrimalNemesis/3Items/Saddles/2Apex/Argentavis/PrimalItemArmor_ArgentavisSaddle_Apex.PrimalItemArmor_ArgentavisSaddle_Apex</t>
  </si>
  <si>
    <t>Argentavis Saddle Celestial</t>
  </si>
  <si>
    <t>PrimalItemArmor_ArgentavisSaddle_Celestial_C</t>
  </si>
  <si>
    <t>/PrimalNemesis/3Items/Saddles/6DemonicAndCelestial/Celestial/Argentavis/PrimalItemArmor_ArgentavisSaddle_Celestial.PrimalItemArmor_ArgentavisSaddle_Celestial</t>
  </si>
  <si>
    <t>Argentavis Saddle Storm</t>
  </si>
  <si>
    <t>PrimalItemArmor_ArgentavisSaddle_Storm_C</t>
  </si>
  <si>
    <t>/PrimalNemesis/3Items/Saddles/3Elemental/Storm/Argentavis/PrimalItemArmor_ArgentavisSaddle_Storm.PrimalItemArmor_ArgentavisSaddle_Storm</t>
  </si>
  <si>
    <t>Arthro Saddle Alpha</t>
  </si>
  <si>
    <t>PrimalItemArmor_ArthroSaddle_Alpha_C</t>
  </si>
  <si>
    <t>/PrimalNemesis/3Items/Saddles/1Alpha/Arthropluera/PrimalItemArmor_ArthroSaddle_Alpha.PrimalItemArmor_ArthroSaddle_Alpha</t>
  </si>
  <si>
    <t>Arthro Saddle Apex</t>
  </si>
  <si>
    <t>PrimalItemArmor_ArthroSaddle_Apex_C</t>
  </si>
  <si>
    <t>/PrimalNemesis/3Items/Saddles/2Apex/Arthropluera/PrimalItemArmor_ArthroSaddle_Apex.PrimalItemArmor_ArthroSaddle_Apex</t>
  </si>
  <si>
    <t>Arthro Saddle Volcanic</t>
  </si>
  <si>
    <t>PrimalItemArmor_ArthroSaddle_Volcanic_C</t>
  </si>
  <si>
    <t>/PrimalNemesis/3Items/Saddles/3Elemental/Volcanic/Arthropluera/PrimalItemArmor_ArthroSaddle_Volcanic.PrimalItemArmor_ArthroSaddle_Volcanic</t>
  </si>
  <si>
    <t>Baryonix Bionic</t>
  </si>
  <si>
    <t>PrimalItemSaddle_Baryonix_Bionic_C</t>
  </si>
  <si>
    <t>/PrimalNemesis/3Items/Saddles/5Bionic/Baryonix/PrimalItemSaddle_Baryonix_Bionic.PrimalItemSaddle_Baryonix_Bionic</t>
  </si>
  <si>
    <t>Baryonyx Saddle Alpha</t>
  </si>
  <si>
    <t>PrimalItemArmor_BaryonyxSaddle_Alpha_C</t>
  </si>
  <si>
    <t>/PrimalNemesis/3Items/Saddles/1Alpha/Baryonyx/PrimalItemArmor_BaryonyxSaddle_Alpha.PrimalItemArmor_BaryonyxSaddle_Alpha</t>
  </si>
  <si>
    <t>Baryonyx Saddle Apex</t>
  </si>
  <si>
    <t>PrimalItemArmor_BaryonyxSaddle_Apex_C</t>
  </si>
  <si>
    <t>/PrimalNemesis/3Items/Saddles/2Apex/Baryonyx/PrimalItemArmor_BaryonyxSaddle_Apex.PrimalItemArmor_BaryonyxSaddle_Apex</t>
  </si>
  <si>
    <t>Baryonyx Saddle Hydro</t>
  </si>
  <si>
    <t>PrimalItemArmor_BaryonyxSaddle_Hydro_C</t>
  </si>
  <si>
    <t>/PrimalNemesis/3Items/Saddles/3Elemental/Hydro/Baryonyx/PrimalItemArmor_BaryonyxSaddle_Hydro.PrimalItemArmor_BaryonyxSaddle_Hydro</t>
  </si>
  <si>
    <t>Basilo Saddle Atlantic</t>
  </si>
  <si>
    <t>PrimalItemArmor_BasiloSaddle_Atlantic_C</t>
  </si>
  <si>
    <t>/PrimalNemesis/3Items/Saddles/0WaterDinos/2Atlantic/Basilo/PrimalItemArmor_BasiloSaddle_Atlantic.PrimalItemArmor_BasiloSaddle_Atlantic</t>
  </si>
  <si>
    <t>Basilo Saddle Pacific</t>
  </si>
  <si>
    <t>PrimalItemArmor_BasiloSaddle_Pacific_C</t>
  </si>
  <si>
    <t>/PrimalNemesis/3Items/Saddles/0WaterDinos/1Pacific/Basilo/PrimalItemArmor_BasiloSaddle_Pacific.PrimalItemArmor_BasiloSaddle_Pacific</t>
  </si>
  <si>
    <t>Beaver Saddle Alpha</t>
  </si>
  <si>
    <t>PrimalItemArmor_BeaverSaddle_Alpha_C</t>
  </si>
  <si>
    <t>/PrimalNemesis/3Items/Saddles/1Alpha/Castoroides/PrimalItemArmor_BeaverSaddle_Alpha.PrimalItemArmor_BeaverSaddle_Alpha</t>
  </si>
  <si>
    <t>Beaver Saddle Apex</t>
  </si>
  <si>
    <t>PrimalItemArmor_BeaverSaddle_Apex_C</t>
  </si>
  <si>
    <t>/PrimalNemesis/3Items/Saddles/2Apex/Castoroides/PrimalItemArmor_BeaverSaddle_Apex.PrimalItemArmor_BeaverSaddle_Apex</t>
  </si>
  <si>
    <t>Beaver Saddle Hydro</t>
  </si>
  <si>
    <t>PrimalItemArmor_BeaverSaddle_Hydro_C</t>
  </si>
  <si>
    <t>/PrimalNemesis/3Items/Saddles/3Elemental/Hydro/Castoroides/PrimalItemArmor_BeaverSaddle_Hydro.PrimalItemArmor_BeaverSaddle_Hydro</t>
  </si>
  <si>
    <t>Beetle Nature</t>
  </si>
  <si>
    <t>PrimalItemSaddle_Beetle_Nature_C</t>
  </si>
  <si>
    <t>/PrimalNemesis/3Items/Saddles/3Elemental/Nature/Beetle/PrimalItemSaddle_Beetle_Nature.PrimalItemSaddle_Beetle_Nature</t>
  </si>
  <si>
    <t>Berserking Dragon Frost</t>
  </si>
  <si>
    <t>PrimalItemSaddle_BerserkingDragon_Frost_C</t>
  </si>
  <si>
    <t>/PrimalNemesis/3Items/Saddles/3Elemental/Frost/BerserkingDragon/PrimalItemSaddle_BerserkingDragon_Frost.PrimalItemSaddle_BerserkingDragon_Frost</t>
  </si>
  <si>
    <t>Bigfoot Alpha</t>
  </si>
  <si>
    <t>PrimalItemSaddle_Bigfoot_Alpha_C</t>
  </si>
  <si>
    <t>/PrimalNemesis/3Items/Saddles/1Alpha/Gigantopithecus/PrimalItemSaddle_Bigfoot_Alpha.PrimalItemSaddle_Bigfoot_Alpha</t>
  </si>
  <si>
    <t>Bigfoot Apex</t>
  </si>
  <si>
    <t>PrimalItemSaddle_Bigfoot_Apex_C</t>
  </si>
  <si>
    <t>/PrimalNemesis/3Items/Saddles/2Apex/Gigantopithecus/PrimalItemSaddle_Bigfoot_Apex.PrimalItemSaddle_Bigfoot_Apex</t>
  </si>
  <si>
    <t>Bigfoot Nature</t>
  </si>
  <si>
    <t>PrimalItemSaddle_Bigfoot_Nature_C</t>
  </si>
  <si>
    <t>/PrimalNemesis/3Items/Saddles/3Elemental/Nature/Bigfoot/PrimalItemSaddle_Bigfoot_Nature.PrimalItemSaddle_Bigfoot_Nature</t>
  </si>
  <si>
    <t>Brood Mother Frost</t>
  </si>
  <si>
    <t>PrimalItemSaddle_BroodMother_Frost_C</t>
  </si>
  <si>
    <t>/PrimalNemesis/3Items/Saddles/3Elemental/Frost/Broodmother/PrimalItemSaddle_BroodMother_Frost.PrimalItemSaddle_BroodMother_Frost</t>
  </si>
  <si>
    <t>Broodmother Godly</t>
  </si>
  <si>
    <t>PrimalItemSaddle_Broodmother_Godly_C</t>
  </si>
  <si>
    <t>/PrimalNemesis/3Items/Saddles/7Godly/Broodmother/PrimalItemSaddle_Broodmother_Godly.PrimalItemSaddle_Broodmother_Godly</t>
  </si>
  <si>
    <t>Carno Saddle Alpha</t>
  </si>
  <si>
    <t>PrimalItemArmor_CarnoSaddle_Alpha_C</t>
  </si>
  <si>
    <t>/PrimalNemesis/3Items/Saddles/1Alpha/Carno/PrimalItemArmor_CarnoSaddle_Alpha.PrimalItemArmor_CarnoSaddle_Alpha</t>
  </si>
  <si>
    <t>Carno Saddle Apex</t>
  </si>
  <si>
    <t>PrimalItemArmor_CarnoSaddle_Apex_C</t>
  </si>
  <si>
    <t>/PrimalNemesis/3Items/Saddles/2Apex/Carno/PrimalItemArmor_CarnoSaddle_Apex.PrimalItemArmor_CarnoSaddle_Apex</t>
  </si>
  <si>
    <t>Carno Saddle Storm</t>
  </si>
  <si>
    <t>PrimalItemArmor_CarnoSaddle_Storm_C</t>
  </si>
  <si>
    <t>/PrimalNemesis/3Items/Saddles/3Elemental/Storm/Carno/PrimalItemArmor_CarnoSaddle_Storm.PrimalItemArmor_CarnoSaddle_Storm</t>
  </si>
  <si>
    <t>Cat Fish Atlantic</t>
  </si>
  <si>
    <t>PrimalItemSaddle_CatFish_Atlantic_C</t>
  </si>
  <si>
    <t>/PrimalNemesis/3Items/Saddles/0WaterDinos/2Atlantic/Catfish/PrimalItemSaddle_CatFish_Atlantic.PrimalItemSaddle_CatFish_Atlantic</t>
  </si>
  <si>
    <t>Cat Fish Pacific</t>
  </si>
  <si>
    <t>PrimalItemSaddle_CatFish_Pacific_C</t>
  </si>
  <si>
    <t>/PrimalNemesis/3Items/Saddles/0WaterDinos/1Pacific/Catfish/PrimalItemSaddle_CatFish_Pacific.PrimalItemSaddle_CatFish_Pacific</t>
  </si>
  <si>
    <t>Cavewolf Saddle Volcanic</t>
  </si>
  <si>
    <t>PrimalItemArmor_CavewolfSaddle_Volcanic_C</t>
  </si>
  <si>
    <t>/PrimalNemesis/3Items/Saddles/3Elemental/Volcanic/Ravager/PrimalItemArmor_CavewolfSaddle_Volcanic.PrimalItemArmor_CavewolfSaddle_Volcanic</t>
  </si>
  <si>
    <t>Ceratosaurus Saddle ASA Celestial</t>
  </si>
  <si>
    <t>PrimalItemArmor_CeratosaurusSaddle_ASA_Celestial_C</t>
  </si>
  <si>
    <t>/PrimalNemesis/3Items/Saddles/6DemonicAndCelestial/Celestial/Cerato/PrimalItemArmor_CeratosaurusSaddle_ASA_Celestial.PrimalItemArmor_CeratosaurusSaddle_ASA_Celestial</t>
  </si>
  <si>
    <t>Chalico Saddle Alpha</t>
  </si>
  <si>
    <t>PrimalItemArmor_ChalicoSaddle_Alpha_C</t>
  </si>
  <si>
    <t>/PrimalNemesis/3Items/Saddles/1Alpha/Chalicotherium/PrimalItemArmor_ChalicoSaddle_Alpha.PrimalItemArmor_ChalicoSaddle_Alpha</t>
  </si>
  <si>
    <t>Chalico Saddle Apex</t>
  </si>
  <si>
    <t>PrimalItemArmor_ChalicoSaddle_Apex_C</t>
  </si>
  <si>
    <t>/PrimalNemesis/3Items/Saddles/2Apex/Chalicotherium/PrimalItemArmor_ChalicoSaddle_Apex.PrimalItemArmor_ChalicoSaddle_Apex</t>
  </si>
  <si>
    <t>Chalico Saddle Earth</t>
  </si>
  <si>
    <t>PrimalItemArmor_ChalicoSaddle_Earth_C</t>
  </si>
  <si>
    <t>/PrimalNemesis/3Items/Saddles/3Elemental/Earth/Chalicotherium/PrimalItemArmor_ChalicoSaddle_Earth.PrimalItemArmor_ChalicoSaddle_Earth</t>
  </si>
  <si>
    <t>Cnidaria Atlantic</t>
  </si>
  <si>
    <t>PrimalItemSaddle_Cnidaria_Atlantic_C</t>
  </si>
  <si>
    <t>/PrimalNemesis/3Items/Saddles/0WaterDinos/2Atlantic/Cnidaria/PrimalItemSaddle_Cnidaria_Atlantic.PrimalItemSaddle_Cnidaria_Atlantic</t>
  </si>
  <si>
    <t>Cnidaria Pacific</t>
  </si>
  <si>
    <t>PrimalItemSaddle_Cnidaria_Pacific_C</t>
  </si>
  <si>
    <t>/PrimalNemesis/3Items/Saddles/0WaterDinos/1Pacific/Cnidaria/PrimalItemSaddle_Cnidaria_Pacific.PrimalItemSaddle_Cnidaria_Pacific</t>
  </si>
  <si>
    <t>Cod Atlantic</t>
  </si>
  <si>
    <t>PrimalItemSaddle_Cod_Atlantic_C</t>
  </si>
  <si>
    <t>/PrimalNemesis/3Items/Saddles/0WaterDinos/2Atlantic/Cod/PrimalItemSaddle_Cod_Atlantic.PrimalItemSaddle_Cod_Atlantic</t>
  </si>
  <si>
    <t>Cod Pacific</t>
  </si>
  <si>
    <t>PrimalItemSaddle_Cod_Pacific_C</t>
  </si>
  <si>
    <t>/PrimalNemesis/3Items/Saddles/0WaterDinos/1Pacific/Cod/PrimalItemSaddle_Cod_Pacific.PrimalItemSaddle_Cod_Pacific</t>
  </si>
  <si>
    <t>Coel Atlantic</t>
  </si>
  <si>
    <t>PrimalItemSaddle_Coel_Atlantic_C</t>
  </si>
  <si>
    <t>/PrimalNemesis/3Items/Saddles/0WaterDinos/2Atlantic/Coelacanth/PrimalItemSaddle_Coel_Atlantic.PrimalItemSaddle_Coel_Atlantic</t>
  </si>
  <si>
    <t>Coel Pacific</t>
  </si>
  <si>
    <t>PrimalItemSaddle_Coel_Pacific_C</t>
  </si>
  <si>
    <t>/PrimalNemesis/3Items/Saddles/0WaterDinos/1Pacific/Coelacanth/PrimalItemSaddle_Coel_Pacific.PrimalItemSaddle_Coel_Pacific</t>
  </si>
  <si>
    <t>Compy Alpha</t>
  </si>
  <si>
    <t>PrimalItemSaddle_Compy_Alpha_C</t>
  </si>
  <si>
    <t>/PrimalNemesis/3Items/Saddles/1Alpha/Compy/PrimalItemSaddle_Compy_Alpha.PrimalItemSaddle_Compy_Alpha</t>
  </si>
  <si>
    <t>Compy Apex</t>
  </si>
  <si>
    <t>PrimalItemSaddle_Compy_Apex_C</t>
  </si>
  <si>
    <t>/PrimalNemesis/3Items/Saddles/2Apex/Compy/PrimalItemSaddle_Compy_Apex.PrimalItemSaddle_Compy_Apex</t>
  </si>
  <si>
    <t>Crab Godly</t>
  </si>
  <si>
    <t>PrimalItemSaddle_Crab_Godly_C</t>
  </si>
  <si>
    <t>/PrimalNemesis/3Items/Saddles/7Godly/Crab/PrimalItemSaddle_Crab_Godly.PrimalItemSaddle_Crab_Godly</t>
  </si>
  <si>
    <t>Crab Saddle Frost</t>
  </si>
  <si>
    <t>PrimalItemArmor_CrabSaddle_Frost_C</t>
  </si>
  <si>
    <t>/PrimalNemesis/3Items/Saddles/3Elemental/Frost/Crab/PrimalItemArmor_CrabSaddle_Frost.PrimalItemArmor_CrabSaddle_Frost</t>
  </si>
  <si>
    <t>Croc Saddle Atlantic</t>
  </si>
  <si>
    <t>PrimalItemArmor_CrocSaddle_Atlantic_C</t>
  </si>
  <si>
    <t>/PrimalNemesis/3Items/Saddles/0WaterDinos/2Atlantic/Croc/PrimalItemArmor_CrocSaddle_Atlantic.PrimalItemArmor_CrocSaddle_Atlantic</t>
  </si>
  <si>
    <t>Croc Saddle Pacific</t>
  </si>
  <si>
    <t>PrimalItemArmor_CrocSaddle_Pacific_C</t>
  </si>
  <si>
    <t>/PrimalNemesis/3Items/Saddles/0WaterDinos/1Pacific/Croc/PrimalItemArmor_CrocSaddle_Pacific.PrimalItemArmor_CrocSaddle_Pacific</t>
  </si>
  <si>
    <t>Daeodon Saddle Alpha</t>
  </si>
  <si>
    <t>PrimalItemArmor_DaeodonSaddle_Alpha_C</t>
  </si>
  <si>
    <t>/PrimalNemesis/3Items/Saddles/1Alpha/Daeodon/PrimalItemArmor_DaeodonSaddle_Alpha.PrimalItemArmor_DaeodonSaddle_Alpha</t>
  </si>
  <si>
    <t>Daeodon Saddle Apex</t>
  </si>
  <si>
    <t>PrimalItemArmor_DaeodonSaddle_Apex_C</t>
  </si>
  <si>
    <t>/PrimalNemesis/3Items/Saddles/2Apex/Daeodon/PrimalItemArmor_DaeodonSaddle_Apex.PrimalItemArmor_DaeodonSaddle_Apex</t>
  </si>
  <si>
    <t>Death Worm Volcanic</t>
  </si>
  <si>
    <t>PrimalItemSaddle_DeathWorm_Volcanic_C</t>
  </si>
  <si>
    <t>/PrimalNemesis/3Items/Saddles/3Elemental/Volcanic/DeathWorm/PrimalItemSaddle_DeathWorm_Volcanic.PrimalItemSaddle_DeathWorm_Volcanic</t>
  </si>
  <si>
    <t>Deinosuchus Saddle ASA Atlantic</t>
  </si>
  <si>
    <t>PrimalItemArmor_Deinosuchus_Saddle_ASA_Atlantic_C</t>
  </si>
  <si>
    <t>/PrimalNemesis/3Items/Saddles/0WaterDinos/2Atlantic/deino/PrimalItemArmor_Deinosuchus_Saddle_ASA_Atlantic.PrimalItemArmor_Deinosuchus_Saddle_ASA_Atlantic</t>
  </si>
  <si>
    <t>Deinosuchus Saddle ASA Pacific</t>
  </si>
  <si>
    <t>PrimalItemArmor_Deinosuchus_Saddle_ASA_Pacific_C</t>
  </si>
  <si>
    <t>/PrimalNemesis/3Items/Saddles/0WaterDinos/1Pacific/deino/PrimalItemArmor_Deinosuchus_Saddle_ASA_Pacific.PrimalItemArmor_Deinosuchus_Saddle_ASA_Pacific</t>
  </si>
  <si>
    <t>Dilo Alpha</t>
  </si>
  <si>
    <t>PrimalItemSaddle_Dilo_Alpha_C</t>
  </si>
  <si>
    <t>/PrimalNemesis/3Items/Saddles/1Alpha/Dilo/PrimalItemSaddle_Dilo_Alpha.PrimalItemSaddle_Dilo_Alpha</t>
  </si>
  <si>
    <t>Dilo Apex</t>
  </si>
  <si>
    <t>PrimalItemSaddle_Dilo_Apex_C</t>
  </si>
  <si>
    <t>/PrimalNemesis/3Items/Saddles/2Apex/Dilo/PrimalItemSaddle_Dilo_Apex.PrimalItemSaddle_Dilo_Apex</t>
  </si>
  <si>
    <t>Dilo Nature</t>
  </si>
  <si>
    <t>PrimalItemSaddle_Dilo_Nature_C</t>
  </si>
  <si>
    <t>/PrimalNemesis/3Items/Saddles/3Elemental/Nature/Dilo/PrimalItemSaddle_Dilo_Nature.PrimalItemSaddle_Dilo_Nature</t>
  </si>
  <si>
    <t>Dimetrodon Alpha</t>
  </si>
  <si>
    <t>PrimalItemSaddle_Dimetrodon_Alpha_C</t>
  </si>
  <si>
    <t>/PrimalNemesis/3Items/Saddles/1Alpha/Dimetrodon/PrimalItemSaddle_Dimetrodon_Alpha.PrimalItemSaddle_Dimetrodon_Alpha</t>
  </si>
  <si>
    <t>Dimetrodon Apex</t>
  </si>
  <si>
    <t>PrimalItemSaddle_Dimetrodon_Apex_C</t>
  </si>
  <si>
    <t>/PrimalNemesis/3Items/Saddles/2Apex/Dimetrodon/PrimalItemSaddle_Dimetrodon_Apex.PrimalItemSaddle_Dimetrodon_Apex</t>
  </si>
  <si>
    <t>Dimorphodon Alpha</t>
  </si>
  <si>
    <t>PrimalItemSaddle_Dimorphodon_Alpha_C</t>
  </si>
  <si>
    <t>/PrimalNemesis/3Items/Saddles/1Alpha/Dimorphodon/PrimalItemSaddle_Dimorphodon_Alpha.PrimalItemSaddle_Dimorphodon_Alpha</t>
  </si>
  <si>
    <t>Dimorphodon Apex</t>
  </si>
  <si>
    <t>PrimalItemSaddle_Dimorphodon_Apex_C</t>
  </si>
  <si>
    <t>/PrimalNemesis/3Items/Saddles/2Apex/Dimorphodon/PrimalItemSaddle_Dimorphodon_Apex.PrimalItemSaddle_Dimorphodon_Apex</t>
  </si>
  <si>
    <t>Diplocaulus Atlantic</t>
  </si>
  <si>
    <t>PrimalItemSaddle_Diplocaulus_Atlantic_C</t>
  </si>
  <si>
    <t>/PrimalNemesis/3Items/Saddles/0WaterDinos/2Atlantic/Diplocaulus/PrimalItemSaddle_Diplocaulus_Atlantic.PrimalItemSaddle_Diplocaulus_Atlantic</t>
  </si>
  <si>
    <t>Diplocaulus Pacific</t>
  </si>
  <si>
    <t>PrimalItemSaddle_Diplocaulus_Pacific_C</t>
  </si>
  <si>
    <t>/PrimalNemesis/3Items/Saddles/0WaterDinos/1Pacific/Diplocaulus/PrimalItemSaddle_Diplocaulus_Pacific.PrimalItemSaddle_Diplocaulus_Pacific</t>
  </si>
  <si>
    <t>Diplodocus Saddle Alpha</t>
  </si>
  <si>
    <t>PrimalItemArmor_DiplodocusSaddle_Alpha_C</t>
  </si>
  <si>
    <t>/PrimalNemesis/3Items/Saddles/1Alpha/Diplodocus/PrimalItemArmor_DiplodocusSaddle_Alpha.PrimalItemArmor_DiplodocusSaddle_Alpha</t>
  </si>
  <si>
    <t>Diplodocus Saddle Apex</t>
  </si>
  <si>
    <t>PrimalItemArmor_DiplodocusSaddle_Apex_C</t>
  </si>
  <si>
    <t>/PrimalNemesis/3Items/Saddles/2Apex/Diplodocus/PrimalItemArmor_DiplodocusSaddle_Apex.PrimalItemArmor_DiplodocusSaddle_Apex</t>
  </si>
  <si>
    <t>Dire Bear Saddle Alpha</t>
  </si>
  <si>
    <t>PrimalItemArmor_DireBearSaddle_Alpha_C</t>
  </si>
  <si>
    <t>/PrimalNemesis/3Items/Saddles/1Alpha/Direbear/PrimalItemArmor_DireBearSaddle_Alpha.PrimalItemArmor_DireBearSaddle_Alpha</t>
  </si>
  <si>
    <t>Dire Bear Saddle Apex</t>
  </si>
  <si>
    <t>PrimalItemArmor_DireBearSaddle_Apex_C</t>
  </si>
  <si>
    <t>/PrimalNemesis/3Items/Saddles/2Apex/Direbear/PrimalItemArmor_DireBearSaddle_Apex.PrimalItemArmor_DireBearSaddle_Apex</t>
  </si>
  <si>
    <t>Dire Bear Saddle Storm</t>
  </si>
  <si>
    <t>PrimalItemArmor_DireBearSaddle_Storm_C</t>
  </si>
  <si>
    <t>/PrimalNemesis/3Items/Saddles/3Elemental/Storm/Direbear/PrimalItemArmor_DireBearSaddle_Storm.PrimalItemArmor_DireBearSaddle_Storm</t>
  </si>
  <si>
    <t>Direwolf Alpha</t>
  </si>
  <si>
    <t>PrimalItemSaddle_Direwolf_Alpha_C</t>
  </si>
  <si>
    <t>/PrimalNemesis/3Items/Saddles/1Alpha/Direwolf/PrimalItemSaddle_Direwolf_Alpha.PrimalItemSaddle_Direwolf_Alpha</t>
  </si>
  <si>
    <t>Direwolf Apex</t>
  </si>
  <si>
    <t>PrimalItemSaddle_Direwolf_Apex_C</t>
  </si>
  <si>
    <t>/PrimalNemesis/3Items/Saddles/2Apex/Direwolf/PrimalItemSaddle_Direwolf_Apex.PrimalItemSaddle_Direwolf_Apex</t>
  </si>
  <si>
    <t>Dodo Alpha</t>
  </si>
  <si>
    <t>PrimalItemSaddle_Dodo_Alpha_C</t>
  </si>
  <si>
    <t>/PrimalNemesis/3Items/Saddles/1Alpha/Dodo/PrimalItemSaddle_Dodo_Alpha.PrimalItemSaddle_Dodo_Alpha</t>
  </si>
  <si>
    <t>Dodo Apex</t>
  </si>
  <si>
    <t>PrimalItemSaddle_Dodo_Apex_C</t>
  </si>
  <si>
    <t>/PrimalNemesis/3Items/Saddles/2Apex/Dodo/PrimalItemSaddle_Dodo_Apex.PrimalItemSaddle_Dodo_Apex</t>
  </si>
  <si>
    <t>Dodo Nature</t>
  </si>
  <si>
    <t>PrimalItemSaddle_Dodo_Nature_C</t>
  </si>
  <si>
    <t>/PrimalNemesis/3Items/Saddles/3Elemental/Nature/Dodo/PrimalItemSaddle_Dodo_Nature.PrimalItemSaddle_Dodo_Nature</t>
  </si>
  <si>
    <t>Dodo Volcanic</t>
  </si>
  <si>
    <t>PrimalItemSaddle_Dodo_Volcanic_C</t>
  </si>
  <si>
    <t>/PrimalNemesis/3Items/Saddles/3Elemental/Volcanic/Dodo/PrimalItemSaddle_Dodo_Volcanic.PrimalItemSaddle_Dodo_Volcanic</t>
  </si>
  <si>
    <t>Doed Saddle Alpha</t>
  </si>
  <si>
    <t>PrimalItemArmor_DoedSaddle_Alpha_C</t>
  </si>
  <si>
    <t>/PrimalNemesis/3Items/Saddles/1Alpha/Doedicurus/PrimalItemArmor_DoedSaddle_Alpha.PrimalItemArmor_DoedSaddle_Alpha</t>
  </si>
  <si>
    <t>Doed Saddle Apex</t>
  </si>
  <si>
    <t>PrimalItemArmor_DoedSaddle_Apex_C</t>
  </si>
  <si>
    <t>/PrimalNemesis/3Items/Saddles/2Apex/Doedicurus/PrimalItemArmor_DoedSaddle_Apex.PrimalItemArmor_DoedSaddle_Apex</t>
  </si>
  <si>
    <t>Doed Saddle Earth</t>
  </si>
  <si>
    <t>PrimalItemArmor_DoedSaddle_Earth_C</t>
  </si>
  <si>
    <t>/PrimalNemesis/3Items/Saddles/3Elemental/Earth/Doedicurus/PrimalItemArmor_DoedSaddle_Earth.PrimalItemArmor_DoedSaddle_Earth</t>
  </si>
  <si>
    <t>Doedic Bionic</t>
  </si>
  <si>
    <t>PrimalItemSaddle_Doedic_Bionic_C</t>
  </si>
  <si>
    <t>/PrimalNemesis/3Items/Saddles/5Bionic/Doedic/PrimalItemSaddle_Doedic_Bionic.PrimalItemSaddle_Doedic_Bionic</t>
  </si>
  <si>
    <t>Dolphin Saddle Atlantic</t>
  </si>
  <si>
    <t>PrimalItemArmor_DolphinSaddle_Atlantic_C</t>
  </si>
  <si>
    <t>/PrimalNemesis/3Items/Saddles/0WaterDinos/2Atlantic/ichtyo/PrimalItemArmor_DolphinSaddle_Atlantic.PrimalItemArmor_DolphinSaddle_Atlantic</t>
  </si>
  <si>
    <t>Dolphin Saddle Pacific</t>
  </si>
  <si>
    <t>PrimalItemArmor_DolphinSaddle_Pacific_C</t>
  </si>
  <si>
    <t>/PrimalNemesis/3Items/Saddles/0WaterDinos/1Pacific/ichtyo/PrimalItemArmor_DolphinSaddle_Pacific.PrimalItemArmor_DolphinSaddle_Pacific</t>
  </si>
  <si>
    <t>Dragonfly Alpha</t>
  </si>
  <si>
    <t>PrimalItemSaddle_Dragonfly_Alpha_C</t>
  </si>
  <si>
    <t>/PrimalNemesis/3Items/Saddles/1Alpha/Dragonfly/PrimalItemSaddle_Dragonfly_Alpha.PrimalItemSaddle_Dragonfly_Alpha</t>
  </si>
  <si>
    <t>Dragonfly Apex</t>
  </si>
  <si>
    <t>PrimalItemSaddle_Dragonfly_Apex_C</t>
  </si>
  <si>
    <t>/PrimalNemesis/3Items/Saddles/2Apex/Dragonfly/PrimalItemSaddle_Dragonfly_Apex.PrimalItemSaddle_Dragonfly_Apex</t>
  </si>
  <si>
    <t>Dungbeetle Alpha</t>
  </si>
  <si>
    <t>PrimalItemSaddle_Dungbeetle_Alpha_C</t>
  </si>
  <si>
    <t>/PrimalNemesis/3Items/Saddles/1Alpha/Dungbeetle/PrimalItemSaddle_Dungbeetle_Alpha.PrimalItemSaddle_Dungbeetle_Alpha</t>
  </si>
  <si>
    <t>Dungbeetle Apex</t>
  </si>
  <si>
    <t>PrimalItemSaddle_Dungbeetle_Apex_C</t>
  </si>
  <si>
    <t>/PrimalNemesis/3Items/Saddles/2Apex/Dungbeetle/PrimalItemSaddle_Dungbeetle_Apex.PrimalItemSaddle_Dungbeetle_Apex</t>
  </si>
  <si>
    <t>Dunkleosteus Saddle Atlantic</t>
  </si>
  <si>
    <t>PrimalItemArmor_DunkleosteusSaddle_Atlantic_C</t>
  </si>
  <si>
    <t>/PrimalNemesis/3Items/Saddles/0WaterDinos/2Atlantic/Dunkleo/PrimalItemArmor_DunkleosteusSaddle_Atlantic.PrimalItemArmor_DunkleosteusSaddle_Atlantic</t>
  </si>
  <si>
    <t>Dunkleosteus Saddle Pacific</t>
  </si>
  <si>
    <t>PrimalItemArmor_DunkleosteusSaddle_Pacific_C</t>
  </si>
  <si>
    <t>/PrimalNemesis/3Items/Saddles/0WaterDinos/1Pacific/Dunkleo/PrimalItemArmor_DunkleosteusSaddle_Pacific.PrimalItemArmor_DunkleosteusSaddle_Pacific</t>
  </si>
  <si>
    <t>Eel Atlantic</t>
  </si>
  <si>
    <t>PrimalItemSaddle_Eel_Atlantic_C</t>
  </si>
  <si>
    <t>/PrimalNemesis/3Items/Saddles/0WaterDinos/2Atlantic/Electrophorus/PrimalItemSaddle_Eel_Atlantic.PrimalItemSaddle_Eel_Atlantic</t>
  </si>
  <si>
    <t>Eel Pacific</t>
  </si>
  <si>
    <t>PrimalItemSaddle_Eel_Pacific_C</t>
  </si>
  <si>
    <t>/PrimalNemesis/3Items/Saddles/0WaterDinos/1Pacific/Electrophorus/PrimalItemSaddle_Eel_Pacific.PrimalItemSaddle_Eel_Pacific</t>
  </si>
  <si>
    <t>Enforcer Bionic</t>
  </si>
  <si>
    <t>PrimalItemSaddle_Enforcer_Bionic_C</t>
  </si>
  <si>
    <t>/PrimalNemesis/3Items/Saddles/5Bionic/Enforcer/PrimalItemSaddle_Enforcer_Bionic.PrimalItemSaddle_Enforcer_Bionic</t>
  </si>
  <si>
    <t>Equus Saddle Alpha</t>
  </si>
  <si>
    <t>PrimalItemArmor_EquusSaddle_Alpha_C</t>
  </si>
  <si>
    <t>/PrimalNemesis/3Items/Saddles/1Alpha/Equus/PrimalItemArmor_EquusSaddle_Alpha.PrimalItemArmor_EquusSaddle_Alpha</t>
  </si>
  <si>
    <t>Equus Saddle Apex</t>
  </si>
  <si>
    <t>PrimalItemArmor_EquusSaddle_Apex_C</t>
  </si>
  <si>
    <t>/PrimalNemesis/3Items/Saddles/2Apex/Equus/PrimalItemArmor_EquusSaddle_Apex.PrimalItemArmor_EquusSaddle_Apex</t>
  </si>
  <si>
    <t>Eury Atlantic</t>
  </si>
  <si>
    <t>PrimalItemSaddle_Eury_Atlantic_C</t>
  </si>
  <si>
    <t>/PrimalNemesis/3Items/Saddles/0WaterDinos/2Atlantic/eurypterid/PrimalItemSaddle_Eury_Atlantic.PrimalItemSaddle_Eury_Atlantic</t>
  </si>
  <si>
    <t>Eury Pacific</t>
  </si>
  <si>
    <t>PrimalItemSaddle_Eury_Pacific_C</t>
  </si>
  <si>
    <t>/PrimalNemesis/3Items/Saddles/0WaterDinos/1Pacific/eurypterid/PrimalItemSaddle_Eury_Pacific.PrimalItemSaddle_Eury_Pacific</t>
  </si>
  <si>
    <t>Feather Light Celestial</t>
  </si>
  <si>
    <t>PrimalItemSaddle_FeatherLight_Celestial_C</t>
  </si>
  <si>
    <t>/PrimalNemesis/3Items/Saddles/6DemonicAndCelestial/Celestial/Featherlight/PrimalItemSaddle_FeatherLight_Celestial.PrimalItemSaddle_FeatherLight_Celestial</t>
  </si>
  <si>
    <t>Gallimimus Alpha</t>
  </si>
  <si>
    <t>PrimalItemArmor_Gallimimus_Alpha_C</t>
  </si>
  <si>
    <t>/PrimalNemesis/3Items/Saddles/1Alpha/Gallimimus/PrimalItemArmor_Gallimimus_Alpha.PrimalItemArmor_Gallimimus_Alpha</t>
  </si>
  <si>
    <t>Gallimimus Apex</t>
  </si>
  <si>
    <t>PrimalItemArmor_Gallimimus_Apex_C</t>
  </si>
  <si>
    <t>/PrimalNemesis/3Items/Saddles/2Apex/Gallimimus/PrimalItemArmor_Gallimimus_Apex.PrimalItemArmor_Gallimimus_Apex</t>
  </si>
  <si>
    <t>Gigant Saddle Alpha</t>
  </si>
  <si>
    <t>PrimalItemArmor_GigantSaddle_Alpha_C</t>
  </si>
  <si>
    <t>/PrimalNemesis/3Items/Saddles/1Alpha/Giga/PrimalItemArmor_GigantSaddle_Alpha.PrimalItemArmor_GigantSaddle_Alpha</t>
  </si>
  <si>
    <t>Gigant Saddle Apex</t>
  </si>
  <si>
    <t>PrimalItemArmor_GigantSaddle_Apex_C</t>
  </si>
  <si>
    <t>/PrimalNemesis/3Items/Saddles/2Apex/Giga/PrimalItemArmor_GigantSaddle_Apex.PrimalItemArmor_GigantSaddle_Apex</t>
  </si>
  <si>
    <t>Gigant Saddle Storm</t>
  </si>
  <si>
    <t>PrimalItemArmor_GigantSaddle_Storm_C</t>
  </si>
  <si>
    <t>/PrimalNemesis/3Items/Saddles/3Elemental/Storm/Giga/PrimalItemArmor_GigantSaddle_Storm.PrimalItemArmor_GigantSaddle_Storm</t>
  </si>
  <si>
    <t>Gigantoraptor Saddle Celestial</t>
  </si>
  <si>
    <t>PrimalItemArmor_GigantoraptorSaddle_Celestial_C</t>
  </si>
  <si>
    <t>/PrimalNemesis/3Items/Saddles/6DemonicAndCelestial/Celestial/GigantoRaptor/PrimalItemArmor_GigantoraptorSaddle_Celestial.PrimalItemArmor_GigantoraptorSaddle_Celestial</t>
  </si>
  <si>
    <t>Gigantoraptor Saddle Plasma</t>
  </si>
  <si>
    <t>PrimalItemArmor_GigantoraptorSaddle_Plasma_C</t>
  </si>
  <si>
    <t>/PrimalNemesis/Content/4Tools_Armor_Saddles/Saddles/1Vanilla/4Ghost_Plague_Plasma/Plasma/GigantoRaptor/PrimalItemArmor_GigantoraptorSaddle_Plasma</t>
  </si>
  <si>
    <t>Golem Bionic</t>
  </si>
  <si>
    <t>PrimalItemSaddle_Golem_Bionic_C</t>
  </si>
  <si>
    <t>/PrimalNemesis/3Items/Saddles/5Bionic/Golem/PrimalItemSaddle_Golem_Bionic.PrimalItemSaddle_Golem_Bionic</t>
  </si>
  <si>
    <t>Gorilla Frost</t>
  </si>
  <si>
    <t>PrimalItemSaddle_Gorilla_Frost_C</t>
  </si>
  <si>
    <t>/PrimalNemesis/3Items/Saddles/3Elemental/Frost/Gorilla/PrimalItemSaddle_Gorilla_Frost.PrimalItemSaddle_Gorilla_Frost</t>
  </si>
  <si>
    <t>Griffin Demonic</t>
  </si>
  <si>
    <t>PrimalItemSaddle_Griffin_Demonic_C</t>
  </si>
  <si>
    <t>/PrimalNemesis/3Items/Saddles/6DemonicAndCelestial/Demonic/Griffin/PrimalItemSaddle_Griffin_Demonic.PrimalItemSaddle_Griffin_Demonic</t>
  </si>
  <si>
    <t>Griffin Storm</t>
  </si>
  <si>
    <t>PrimalItemSaddle_Griffin_Storm_C</t>
  </si>
  <si>
    <t>/PrimalNemesis/3Items/Saddles/3Elemental/Storm/Griffin/PrimalItemSaddle_Griffin_Storm.PrimalItemSaddle_Griffin_Storm</t>
  </si>
  <si>
    <t>Hammerhead Saddle Atlantic</t>
  </si>
  <si>
    <t>PrimalItemArmor_HammerheadSaddle_Atlantic_C</t>
  </si>
  <si>
    <t>/PrimalNemesis/3Items/Saddles/0WaterDinos/2Atlantic/Hammerhead/PrimalItemArmor_HammerheadSaddle_Atlantic.PrimalItemArmor_HammerheadSaddle_Atlantic</t>
  </si>
  <si>
    <t>Hammerhead Saddle Pacific</t>
  </si>
  <si>
    <t>PrimalItemArmor_HammerheadSaddle_Pacific_C</t>
  </si>
  <si>
    <t>/PrimalNemesis/3Items/Saddles/0WaterDinos/1Pacific/Hammerhead/PrimalItemArmor_HammerheadSaddle_Pacific.PrimalItemArmor_HammerheadSaddle_Pacific</t>
  </si>
  <si>
    <t>Hesperornis Alpha</t>
  </si>
  <si>
    <t>PrimalItemSaddle_Hesperornis_Alpha_C</t>
  </si>
  <si>
    <t>/PrimalNemesis/3Items/Saddles/1Alpha/Hesperornis/PrimalItemSaddle_Hesperornis_Alpha.PrimalItemSaddle_Hesperornis_Alpha</t>
  </si>
  <si>
    <t>Hesperornis Apex</t>
  </si>
  <si>
    <t>PrimalItemSaddle_Hesperornis_Apex_C</t>
  </si>
  <si>
    <t>/PrimalNemesis/3Items/Saddles/2Apex/Hesperornis/PrimalItemSaddle_Hesperornis_Apex.PrimalItemSaddle_Hesperornis_Apex</t>
  </si>
  <si>
    <t>Hyerna Alpha</t>
  </si>
  <si>
    <t>PrimalItemSaddle_Hyerna_Alpha_C</t>
  </si>
  <si>
    <t>/PrimalNemesis/3Items/Saddles/1Alpha/Hyena/PrimalItemSaddle_Hyerna_Alpha.PrimalItemSaddle_Hyerna_Alpha</t>
  </si>
  <si>
    <t>Hyerna Apex</t>
  </si>
  <si>
    <t>PrimalItemSaddle_Hyerna_Apex_C</t>
  </si>
  <si>
    <t>/PrimalNemesis/3Items/Saddles/2Apex/Hyena/PrimalItemSaddle_Hyerna_Apex.PrimalItemSaddle_Hyerna_Apex</t>
  </si>
  <si>
    <t>Iguanodon Saddle Alpha</t>
  </si>
  <si>
    <t>PrimalItemArmor_IguanodonSaddle_Alpha_C</t>
  </si>
  <si>
    <t>/PrimalNemesis/3Items/Saddles/1Alpha/Iguanodon/PrimalItemArmor_IguanodonSaddle_Alpha.PrimalItemArmor_IguanodonSaddle_Alpha</t>
  </si>
  <si>
    <t>Iguanodon Saddle Apex</t>
  </si>
  <si>
    <t>PrimalItemArmor_IguanodonSaddle_Apex_C</t>
  </si>
  <si>
    <t>/PrimalNemesis/3Items/Saddles/2Apex/Iguanodon/PrimalItemArmor_IguanodonSaddle_Apex.PrimalItemArmor_IguanodonSaddle_Apex</t>
  </si>
  <si>
    <t>Kairuku Alpha</t>
  </si>
  <si>
    <t>PrimalItemSaddle_Kairuku_Alpha_C</t>
  </si>
  <si>
    <t>/PrimalNemesis/3Items/Saddles/1Alpha/Kairuku/PrimalItemSaddle_Kairuku_Alpha.PrimalItemSaddle_Kairuku_Alpha</t>
  </si>
  <si>
    <t>Kairuku Apex</t>
  </si>
  <si>
    <t>PrimalItemSaddle_Kairuku_Apex_C</t>
  </si>
  <si>
    <t>/PrimalNemesis/3Items/Saddles/2Apex/Kairuku/PrimalItemSaddle_Kairuku_Apex.PrimalItemSaddle_Kairuku_Apex</t>
  </si>
  <si>
    <t>Kairuku Hydro</t>
  </si>
  <si>
    <t>PrimalItemSaddle_Kairuku_Hydro_C</t>
  </si>
  <si>
    <t>/PrimalNemesis/3Items/Saddles/3Elemental/Hydro/Kairuku/PrimalItemSaddle_Kairuku_Hydro.PrimalItemSaddle_Kairuku_Hydro</t>
  </si>
  <si>
    <t>Kaprosuchus Saddle Alpha</t>
  </si>
  <si>
    <t>PrimalItemArmor_KaprosuchusSaddle_Alpha_C</t>
  </si>
  <si>
    <t>/PrimalNemesis/3Items/Saddles/1Alpha/Kaprosuchus/PrimalItemArmor_KaprosuchusSaddle_Alpha.PrimalItemArmor_KaprosuchusSaddle_Alpha</t>
  </si>
  <si>
    <t>Kaprosuchus Saddle Apex</t>
  </si>
  <si>
    <t>PrimalItemArmor_KaprosuchusSaddle_Apex_C</t>
  </si>
  <si>
    <t>/PrimalNemesis/3Items/Saddles/2Apex/Kaprosuchus/PrimalItemArmor_KaprosuchusSaddle_Apex.PrimalItemArmor_KaprosuchusSaddle_Apex</t>
  </si>
  <si>
    <t>Kaprosuchus Saddle Atlantic</t>
  </si>
  <si>
    <t>PrimalItemArmor_KaprosuchusSaddle_Atlantic_C</t>
  </si>
  <si>
    <t>/PrimalNemesis/3Items/Saddles/0WaterDinos/2Atlantic/Kapro/PrimalItemArmor_KaprosuchusSaddle_Atlantic.PrimalItemArmor_KaprosuchusSaddle_Atlantic</t>
  </si>
  <si>
    <t>Kaprosuchus Saddle Hydro</t>
  </si>
  <si>
    <t>PrimalItemArmor_KaprosuchusSaddle_Hydro_C</t>
  </si>
  <si>
    <t>/PrimalNemesis/3Items/Saddles/3Elemental/Hydro/Kaprosuchus/PrimalItemArmor_KaprosuchusSaddle_Hydro.PrimalItemArmor_KaprosuchusSaddle_Hydro</t>
  </si>
  <si>
    <t>Kaprosuchus Saddle Pacific</t>
  </si>
  <si>
    <t>PrimalItemArmor_KaprosuchusSaddle_Pacific_C</t>
  </si>
  <si>
    <t>/PrimalNemesis/3Items/Saddles/0WaterDinos/1Pacific/Kapro/PrimalItemArmor_KaprosuchusSaddle_Pacific.PrimalItemArmor_KaprosuchusSaddle_Pacific</t>
  </si>
  <si>
    <t>Kentro Alpha</t>
  </si>
  <si>
    <t>PrimalItemSaddle_Kentro_Alpha_C</t>
  </si>
  <si>
    <t>/PrimalNemesis/3Items/Saddles/1Alpha/Kentro/PrimalItemSaddle_Kentro_Alpha.PrimalItemSaddle_Kentro_Alpha</t>
  </si>
  <si>
    <t>Kentro Apex</t>
  </si>
  <si>
    <t>PrimalItemSaddle_Kentro_Apex_C</t>
  </si>
  <si>
    <t>/PrimalNemesis/3Items/Saddles/2Apex/Kentro/PrimalItemSaddle_Kentro_Apex.PrimalItemSaddle_Kentro_Apex</t>
  </si>
  <si>
    <t>Liopleurodon Atlantic</t>
  </si>
  <si>
    <t>PrimalItemSaddle_liopleurodon_Atlantic_C</t>
  </si>
  <si>
    <t>/PrimalNemesis/3Items/Saddles/0WaterDinos/2Atlantic/liopleurodon/PrimalItemSaddle_liopleurodon_Atlantic.PrimalItemSaddle_liopleurodon_Atlantic</t>
  </si>
  <si>
    <t>Liopleurodon Pacific</t>
  </si>
  <si>
    <t>PrimalItemSaddle_liopleurodon_Pacific_C</t>
  </si>
  <si>
    <t>/PrimalNemesis/3Items/Saddles/0WaterDinos/1Pacific/liopleurodon/PrimalItemSaddle_liopleurodon_Pacific.PrimalItemSaddle_liopleurodon_Pacific</t>
  </si>
  <si>
    <t>Lymantria Alpha</t>
  </si>
  <si>
    <t>PrimalItemArmor_MothSaddle_Alpha_C</t>
  </si>
  <si>
    <t>/PrimalNemesis/Content/4Tools_Armor_Saddles/Saddles/1Vanilla/1Alpha/Moth/PrimalItemArmor_MothSaddle_Alpha</t>
  </si>
  <si>
    <t>Lystro Alpha</t>
  </si>
  <si>
    <t>PrimalItemSaddle_Lystro_Alpha_C</t>
  </si>
  <si>
    <t>/PrimalNemesis/3Items/Saddles/1Alpha/Lystro/PrimalItemSaddle_Lystro_Alpha.PrimalItemSaddle_Lystro_Alpha</t>
  </si>
  <si>
    <t>Lystro Apex</t>
  </si>
  <si>
    <t>PrimalItemSaddle_Lystro_Apex_C</t>
  </si>
  <si>
    <t>/PrimalNemesis/3Items/Saddles/2Apex/Lystro/PrimalItemSaddle_Lystro_Apex.PrimalItemSaddle_Lystro_Apex</t>
  </si>
  <si>
    <t>Mammoth Saddle Alpha</t>
  </si>
  <si>
    <t>PrimalItemArmor_MammothSaddle_Alpha_C</t>
  </si>
  <si>
    <t>/PrimalNemesis/3Items/Saddles/1Alpha/Mammoth/PrimalItemArmor_MammothSaddle_Alpha.PrimalItemArmor_MammothSaddle_Alpha</t>
  </si>
  <si>
    <t>Mammoth Saddle Apex</t>
  </si>
  <si>
    <t>PrimalItemArmor_MammothSaddle_Apex_C</t>
  </si>
  <si>
    <t>/PrimalNemesis/3Items/Saddles/2Apex/Mammoth/PrimalItemArmor_MammothSaddle_Apex.PrimalItemArmor_MammothSaddle_Apex</t>
  </si>
  <si>
    <t>Managarm Demonic</t>
  </si>
  <si>
    <t>PrimalItemSaddle_Managarm_Demonic_C</t>
  </si>
  <si>
    <t>/PrimalNemesis/3Items/Saddles/6DemonicAndCelestial/Demonic/Managarm/PrimalItemSaddle_Managarm_Demonic.PrimalItemSaddle_Managarm_Demonic</t>
  </si>
  <si>
    <t>Manta Saddle Atlantic</t>
  </si>
  <si>
    <t>PrimalItemArmor_MantaSaddle_Atlantic_C</t>
  </si>
  <si>
    <t>/PrimalNemesis/3Items/Saddles/0WaterDinos/2Atlantic/Manta/PrimalItemArmor_MantaSaddle_Atlantic.PrimalItemArmor_MantaSaddle_Atlantic</t>
  </si>
  <si>
    <t>Manta Saddle Pacific</t>
  </si>
  <si>
    <t>PrimalItemArmor_MantaSaddle_Pacific_C</t>
  </si>
  <si>
    <t>/PrimalNemesis/3Items/Saddles/0WaterDinos/1Pacific/Manta/PrimalItemArmor_MantaSaddle_Pacific.PrimalItemArmor_MantaSaddle_Pacific</t>
  </si>
  <si>
    <t>Mantis Saddle Alpha</t>
  </si>
  <si>
    <t>PrimalItemArmor_MantisSaddle_Alpha_C</t>
  </si>
  <si>
    <t>/PrimalNemesis/4Tools_Armor_Saddles/Saddles/1Vanilla/1Alpha/Mantis/PrimalItemArmor_MantisSaddle_Alpha.PrimalItemArmor_MantisSaddle_Alpha</t>
  </si>
  <si>
    <t>Mantis Saddle Apex</t>
  </si>
  <si>
    <t>PrimalItemArmor_MantisSaddle_Apex_C</t>
  </si>
  <si>
    <t>/PrimalNemesis/4Tools_Armor_Saddles/Saddles/1Vanilla/2Apex/Mantis/PrimalItemArmor_MantisSaddle_Apex.PrimalItemArmor_MantisSaddle_Apex</t>
  </si>
  <si>
    <t>Megalania Saddle Alpha</t>
  </si>
  <si>
    <t>PrimalItemArmor_MegalaniaSaddle_Alpha_C</t>
  </si>
  <si>
    <t>/PrimalNemesis/3Items/Saddles/1Alpha/Megalania/PrimalItemArmor_MegalaniaSaddle_Alpha.PrimalItemArmor_MegalaniaSaddle_Alpha</t>
  </si>
  <si>
    <t>Megalania Saddle Apex</t>
  </si>
  <si>
    <t>PrimalItemArmor_MegalaniaSaddle_Apex_C</t>
  </si>
  <si>
    <t>/PrimalNemesis/3Items/Saddles/2Apex/Megalania/PrimalItemArmor_MegalaniaSaddle_Apex.PrimalItemArmor_MegalaniaSaddle_Apex</t>
  </si>
  <si>
    <t>Megalodon Saddle Atlantic</t>
  </si>
  <si>
    <t>PrimalItemArmor_MegalodonSaddle_Atlantic_C</t>
  </si>
  <si>
    <t>/PrimalNemesis/3Items/Saddles/0WaterDinos/2Atlantic/megalodon/PrimalItemArmor_MegalodonSaddle_Atlantic.PrimalItemArmor_MegalodonSaddle_Atlantic</t>
  </si>
  <si>
    <t>Megalodon Saddle Pacific</t>
  </si>
  <si>
    <t>PrimalItemArmor_MegalodonSaddle_Pacific_C</t>
  </si>
  <si>
    <t>/PrimalNemesis/3Items/Saddles/0WaterDinos/1Pacific/megalodon/PrimalItemArmor_MegalodonSaddle_Pacific.PrimalItemArmor_MegalodonSaddle_Pacific</t>
  </si>
  <si>
    <t>Megalosaurus Saddle Alpha</t>
  </si>
  <si>
    <t>PrimalItemArmor_MegalosaurusSaddle_Alpha_C</t>
  </si>
  <si>
    <t>/PrimalNemesis/3Items/Saddles/1Alpha/Megalo/PrimalItemArmor_MegalosaurusSaddle_Alpha.PrimalItemArmor_MegalosaurusSaddle_Alpha</t>
  </si>
  <si>
    <t>Megalosaurus Saddle Apex</t>
  </si>
  <si>
    <t>PrimalItemArmor_MegalosaurusSaddle_Apex_C</t>
  </si>
  <si>
    <t>/PrimalNemesis/3Items/Saddles/2Apex/Megalo/PrimalItemArmor_MegalosaurusSaddle_Apex.PrimalItemArmor_MegalosaurusSaddle_Apex</t>
  </si>
  <si>
    <t>Megatherium Bionic</t>
  </si>
  <si>
    <t>PrimalItemSaddle_Megatherium_Bionic_C</t>
  </si>
  <si>
    <t>/PrimalNemesis/3Items/Saddles/5Bionic/Megatherium/PrimalItemSaddle_Megatherium_Bionic.PrimalItemSaddle_Megatherium_Bionic</t>
  </si>
  <si>
    <t>Megatherium Saddle Alpha</t>
  </si>
  <si>
    <t>PrimalItemArmor_MegatheriumSaddle_Alpha_C</t>
  </si>
  <si>
    <t>/PrimalNemesis/3Items/Saddles/1Alpha/Megatherium/PrimalItemArmor_MegatheriumSaddle_Alpha.PrimalItemArmor_MegatheriumSaddle_Alpha</t>
  </si>
  <si>
    <t>Megatherium Saddle Apex</t>
  </si>
  <si>
    <t>PrimalItemArmor_MegatheriumSaddle_Apex_C</t>
  </si>
  <si>
    <t>/PrimalNemesis/3Items/Saddles/2Apex/Megatherium/PrimalItemArmor_MegatheriumSaddle_Apex.PrimalItemArmor_MegatheriumSaddle_Apex</t>
  </si>
  <si>
    <t>Monkey Alpha</t>
  </si>
  <si>
    <t>PrimalItemSaddle_Monkey_Alpha_C</t>
  </si>
  <si>
    <t>/PrimalNemesis/3Items/Saddles/1Alpha/Monkey/PrimalItemSaddle_Monkey_Alpha.PrimalItemSaddle_Monkey_Alpha</t>
  </si>
  <si>
    <t>Monkey Apex</t>
  </si>
  <si>
    <t>PrimalItemSaddle_Monkey_Apex_C</t>
  </si>
  <si>
    <t>/PrimalNemesis/3Items/Saddles/2Apex/Monkey/PrimalItemSaddle_Monkey_Apex.PrimalItemSaddle_Monkey_Apex</t>
  </si>
  <si>
    <t>Mosa Saddle Atlantic</t>
  </si>
  <si>
    <t>PrimalItemArmor_MosaSaddle_Atlantic_C</t>
  </si>
  <si>
    <t>/PrimalNemesis/3Items/Saddles/0WaterDinos/2Atlantic/Mosa/PrimalItemArmor_MosaSaddle_Atlantic.PrimalItemArmor_MosaSaddle_Atlantic</t>
  </si>
  <si>
    <t>Mosa Saddle Pacific</t>
  </si>
  <si>
    <t>PrimalItemArmor_MosaSaddle_Pacific_C</t>
  </si>
  <si>
    <t>/PrimalNemesis/3Items/Saddles/0WaterDinos/1Pacific/Mosa/PrimalItemArmor_MosaSaddle_Pacific.PrimalItemArmor_MosaSaddle_Pacific</t>
  </si>
  <si>
    <t>Moschops Alpha</t>
  </si>
  <si>
    <t>PrimalItemSaddle_Moschops_Alpha_C</t>
  </si>
  <si>
    <t>/PrimalNemesis/3Items/Saddles/1Alpha/Moschops/PrimalItemSaddle_Moschops_Alpha.PrimalItemSaddle_Moschops_Alpha</t>
  </si>
  <si>
    <t>Moschops Apex</t>
  </si>
  <si>
    <t>PrimalItemSaddle_Moschops_Apex_C</t>
  </si>
  <si>
    <t>/PrimalNemesis/3Items/Saddles/2Apex/Moschops/PrimalItemSaddle_Moschops_Apex.PrimalItemSaddle_Moschops_Apex</t>
  </si>
  <si>
    <t>Moth Saddle Nature</t>
  </si>
  <si>
    <t>PrimalItemArmor_MothSaddle_Nature_C</t>
  </si>
  <si>
    <t>/PrimalNemesis/3Items/Saddles/3Elemental/Nature/Lymantria/PrimalItemArmor_MothSaddle_Nature.PrimalItemArmor_MothSaddle_Nature</t>
  </si>
  <si>
    <t>Onyc Alpha</t>
  </si>
  <si>
    <t>PrimalItemSaddle_Onyc_Alpha_C</t>
  </si>
  <si>
    <t>/PrimalNemesis/3Items/Saddles/1Alpha/Onyc/PrimalItemSaddle_Onyc_Alpha.PrimalItemSaddle_Onyc_Alpha</t>
  </si>
  <si>
    <t>Onyc Apex</t>
  </si>
  <si>
    <t>PrimalItemSaddle_Onyc_Apex_C</t>
  </si>
  <si>
    <t>/PrimalNemesis/3Items/Saddles/2Apex/Onyc/PrimalItemSaddle_Onyc_Apex.PrimalItemSaddle_Onyc_Apex</t>
  </si>
  <si>
    <t>Otter Alpha</t>
  </si>
  <si>
    <t>PrimalItemSaddle_Otter_Alpha_C</t>
  </si>
  <si>
    <t>/PrimalNemesis/3Items/Saddles/1Alpha/Otter/PrimalItemSaddle_Otter_Alpha.PrimalItemSaddle_Otter_Alpha</t>
  </si>
  <si>
    <t>Otter Apex</t>
  </si>
  <si>
    <t>PrimalItemSaddle_Otter_Apex_C</t>
  </si>
  <si>
    <t>/PrimalNemesis/3Items/Saddles/2Apex/Otter/PrimalItemSaddle_Otter_Apex.PrimalItemSaddle_Otter_Apex</t>
  </si>
  <si>
    <t>Otter Hydro</t>
  </si>
  <si>
    <t>PrimalItemSaddle_Otter_Hydro_C</t>
  </si>
  <si>
    <t>/PrimalNemesis/3Items/Saddles/3Elemental/Hydro/Otter/PrimalItemSaddle_Otter_Hydro.PrimalItemSaddle_Otter_Hydro</t>
  </si>
  <si>
    <t>Oviraptor Alpha</t>
  </si>
  <si>
    <t>PrimalItemSaddle_Oviraptor_Alpha_C</t>
  </si>
  <si>
    <t>/PrimalNemesis/3Items/Saddles/1Alpha/Oviraptor/PrimalItemSaddle_Oviraptor_Alpha.PrimalItemSaddle_Oviraptor_Alpha</t>
  </si>
  <si>
    <t>Oviraptor Apex</t>
  </si>
  <si>
    <t>PrimalItemSaddle_Oviraptor_Apex_C</t>
  </si>
  <si>
    <t>/PrimalNemesis/3Items/Saddles/2Apex/Oviraptor/PrimalItemSaddle_Oviraptor_Apex.PrimalItemSaddle_Oviraptor_Apex</t>
  </si>
  <si>
    <t>Ovis Alpha</t>
  </si>
  <si>
    <t>PrimalItemSaddle_Ovis_Alpha_C</t>
  </si>
  <si>
    <t>/PrimalNemesis/3Items/Saddles/1Alpha/Ovis/PrimalItemSaddle_Ovis_Alpha.PrimalItemSaddle_Ovis_Alpha</t>
  </si>
  <si>
    <t>Ovis Apex</t>
  </si>
  <si>
    <t>PrimalItemSaddle_Ovis_Apex_C</t>
  </si>
  <si>
    <t>/PrimalNemesis/3Items/Saddles/2Apex/Ovis/PrimalItemSaddle_Ovis_Apex.PrimalItemSaddle_Ovis_Apex</t>
  </si>
  <si>
    <t>Pachy Saddle Alpha</t>
  </si>
  <si>
    <t>PrimalItemArmor_PachySaddle_Alpha_C</t>
  </si>
  <si>
    <t>/PrimalNemesis/3Items/Saddles/1Alpha/Pachy/PrimalItemArmor_PachySaddle_Alpha.PrimalItemArmor_PachySaddle_Alpha</t>
  </si>
  <si>
    <t>Pachy Saddle Apex</t>
  </si>
  <si>
    <t>PrimalItemArmor_PachySaddle_Apex_C</t>
  </si>
  <si>
    <t>/PrimalNemesis/3Items/Saddles/2Apex/Pachy/PrimalItemArmor_PachySaddle_Apex.PrimalItemArmor_PachySaddle_Apex</t>
  </si>
  <si>
    <t>Pachy Saddle Earth</t>
  </si>
  <si>
    <t>PrimalItemArmor_PachySaddle_Earth_C</t>
  </si>
  <si>
    <t>/PrimalNemesis/3Items/Saddles/3Elemental/Earth/Pachy/PrimalItemArmor_PachySaddle_Earth.PrimalItemArmor_PachySaddle_Earth</t>
  </si>
  <si>
    <t>Pachyrhino Saddle Alpha</t>
  </si>
  <si>
    <t>PrimalItemArmor_PachyrhinoSaddle_Alpha_C</t>
  </si>
  <si>
    <t>/PrimalNemesis/3Items/Saddles/1Alpha/Pachyrhino/PrimalItemArmor_PachyrhinoSaddle_Alpha.PrimalItemArmor_PachyrhinoSaddle_Alpha</t>
  </si>
  <si>
    <t>Pachyrhino Saddle Apex</t>
  </si>
  <si>
    <t>PrimalItemArmor_PachyrhinoSaddle_Apex_C</t>
  </si>
  <si>
    <t>/PrimalNemesis/3Items/Saddles/2Apex/Pachyrhino/PrimalItemArmor_PachyrhinoSaddle_Apex.PrimalItemArmor_PachyrhinoSaddle_Apex</t>
  </si>
  <si>
    <t>Para Saddle Demonic</t>
  </si>
  <si>
    <t>PrimalItemSaddle_Para_Demonic_C</t>
  </si>
  <si>
    <t>/PrimalNemesis/3Items/Saddles/6DemonicAndCelestial/Demonic/Parasaur/PrimalItemSaddle_Para_Demonic.PrimalItemSaddle_Para_Demonic</t>
  </si>
  <si>
    <t>Para Saddle Alpha</t>
  </si>
  <si>
    <t>PrimalItemArmor_ParaSaddle_Alpha_C</t>
  </si>
  <si>
    <t>/PrimalNemesis/3Items/Saddles/1Alpha/Parasaur/PrimalItemArmor_ParaSaddle_Alpha.PrimalItemArmor_ParaSaddle_Alpha</t>
  </si>
  <si>
    <t>Para Saddle Apex</t>
  </si>
  <si>
    <t>PrimalItemArmor_ParaSaddle_Apex_C</t>
  </si>
  <si>
    <t>/PrimalNemesis/3Items/Saddles/2Apex/Parasaur/PrimalItemArmor_ParaSaddle_Apex.PrimalItemArmor_ParaSaddle_Apex</t>
  </si>
  <si>
    <t>Paracer Saddle Alpha</t>
  </si>
  <si>
    <t>PrimalItemArmor_Paracer_Saddle_Alpha_C</t>
  </si>
  <si>
    <t>/PrimalNemesis/3Items/Saddles/1Alpha/Paraceratherium/PrimalItemArmor_Paracer_Saddle_Alpha.PrimalItemArmor_Paracer_Saddle_Alpha</t>
  </si>
  <si>
    <t>Paracer Saddle Apex</t>
  </si>
  <si>
    <t>PrimalItemArmor_Paracer_Saddle_Apex_C</t>
  </si>
  <si>
    <t>/PrimalNemesis/3Items/Saddles/2Apex/Paraceratherium/PrimalItemArmor_Paracer_Saddle_Apex.PrimalItemArmor_Paracer_Saddle_Apex</t>
  </si>
  <si>
    <t>Paracer Saddle Earth</t>
  </si>
  <si>
    <t>PrimalItemArmor_Paracer_Saddle_Earth_C</t>
  </si>
  <si>
    <t>/PrimalNemesis/3Items/Saddles/3Elemental/Earth/Paraceratherium/PrimalItemArmor_Paracer_Saddle_Earth.PrimalItemArmor_Paracer_Saddle_Earth</t>
  </si>
  <si>
    <t>Pegasus Celestial</t>
  </si>
  <si>
    <t>PrimalItemSaddle_Pegasus_Celestial_C</t>
  </si>
  <si>
    <t>/PrimalNemesis/3Items/Saddles/6DemonicAndCelestial/Celestial/Pegasus/PrimalItemSaddle_Pegasus_Celestial.PrimalItemSaddle_Pegasus_Celestial</t>
  </si>
  <si>
    <t>Pegomastax Alpha</t>
  </si>
  <si>
    <t>PrimalItemSaddle_Pegomastax_Alpha_C</t>
  </si>
  <si>
    <t>/PrimalNemesis/3Items/Saddles/1Alpha/Pegomastax/PrimalItemSaddle_Pegomastax_Alpha.PrimalItemSaddle_Pegomastax_Alpha</t>
  </si>
  <si>
    <t>Pegomastax Apex</t>
  </si>
  <si>
    <t>PrimalItemSaddle_Pegomastax_Apex_C</t>
  </si>
  <si>
    <t>/PrimalNemesis/3Items/Saddles/2Apex/Pegomastax/PrimalItemSaddle_Pegomastax_Apex.PrimalItemSaddle_Pegomastax_Apex</t>
  </si>
  <si>
    <t>Pela Saddle Alpha</t>
  </si>
  <si>
    <t>PrimalItemArmor_PelaSaddle_Alpha_C</t>
  </si>
  <si>
    <t>/PrimalNemesis/3Items/Saddles/1Alpha/Pelagornis/PrimalItemArmor_PelaSaddle_Alpha.PrimalItemArmor_PelaSaddle_Alpha</t>
  </si>
  <si>
    <t>Pela Saddle Apex</t>
  </si>
  <si>
    <t>PrimalItemArmor_PelaSaddle_Apex_C</t>
  </si>
  <si>
    <t>/PrimalNemesis/3Items/Saddles/2Apex/Pelagornis/PrimalItemArmor_PelaSaddle_Apex.PrimalItemArmor_PelaSaddle_Apex</t>
  </si>
  <si>
    <t>Phiomia Saddle Alpha</t>
  </si>
  <si>
    <t>PrimalItemArmor_PhiomiaSaddle_Alpha_C</t>
  </si>
  <si>
    <t>/PrimalNemesis/3Items/Saddles/1Alpha/Phiomia/PrimalItemArmor_PhiomiaSaddle_Alpha.PrimalItemArmor_PhiomiaSaddle_Alpha</t>
  </si>
  <si>
    <t>Phiomia Saddle Apex</t>
  </si>
  <si>
    <t>PrimalItemArmor_PhiomiaSaddle_Apex_C</t>
  </si>
  <si>
    <t>/PrimalNemesis/3Items/Saddles/2Apex/Phiomia/PrimalItemArmor_PhiomiaSaddle_Apex.PrimalItemArmor_PhiomiaSaddle_Apex</t>
  </si>
  <si>
    <t>Phoenix Celestial</t>
  </si>
  <si>
    <t>PrimalItemSaddle_Phoenix_Celestial_C</t>
  </si>
  <si>
    <t>/PrimalNemesis/3Items/Saddles/6DemonicAndCelestial/Celestial/Phoenix/PrimalItemSaddle_Phoenix_Celestial.PrimalItemSaddle_Phoenix_Celestial</t>
  </si>
  <si>
    <t>Piranha Atlantic</t>
  </si>
  <si>
    <t>PrimalItemSaddle_Piranha_Atlantic_C</t>
  </si>
  <si>
    <t>/PrimalNemesis/3Items/Saddles/0WaterDinos/2Atlantic/piranha/PrimalItemSaddle_Piranha_Atlantic.PrimalItemSaddle_Piranha_Atlantic</t>
  </si>
  <si>
    <t>Piranha Pacific</t>
  </si>
  <si>
    <t>PrimalItemSaddle_Piranha_Pacific_C</t>
  </si>
  <si>
    <t>/PrimalNemesis/3Items/Saddles/0WaterDinos/1Pacific/piranha/PrimalItemSaddle_Piranha_Pacific.PrimalItemSaddle_Piranha_Pacific</t>
  </si>
  <si>
    <t>Plesia Saddle Atlantic</t>
  </si>
  <si>
    <t>PrimalItemArmor_PlesiaSaddle_Atlantic_C</t>
  </si>
  <si>
    <t>/PrimalNemesis/3Items/Saddles/0WaterDinos/2Atlantic/Plesio/PrimalItemArmor_PlesiaSaddle_Atlantic.PrimalItemArmor_PlesiaSaddle_Atlantic</t>
  </si>
  <si>
    <t>Plesia Saddle Pacific</t>
  </si>
  <si>
    <t>PrimalItemArmor_PlesiaSaddle_Pacific_C</t>
  </si>
  <si>
    <t>/PrimalNemesis/3Items/Saddles/0WaterDinos/1Pacific/Plesio/PrimalItemArmor_PlesiaSaddle_Pacific.PrimalItemArmor_PlesiaSaddle_Pacific</t>
  </si>
  <si>
    <t>Procoptodon Bionic</t>
  </si>
  <si>
    <t>PrimalItemSaddle_Procoptodon_Bionic_C</t>
  </si>
  <si>
    <t>/PrimalNemesis/3Items/Saddles/5Bionic/Procoptodon/PrimalItemSaddle_Procoptodon_Bionic.PrimalItemSaddle_Procoptodon_Bionic</t>
  </si>
  <si>
    <t>Procoptodon Saddle Alpha</t>
  </si>
  <si>
    <t>PrimalItemArmor_ProcoptodonSaddle_Alpha_C</t>
  </si>
  <si>
    <t>/PrimalNemesis/3Items/Saddles/1Alpha/Procoptodon/PrimalItemArmor_ProcoptodonSaddle_Alpha.PrimalItemArmor_ProcoptodonSaddle_Alpha</t>
  </si>
  <si>
    <t>Procoptodon Saddle Apex</t>
  </si>
  <si>
    <t>PrimalItemArmor_ProcoptodonSaddle_Apex_C</t>
  </si>
  <si>
    <t>/PrimalNemesis/3Items/Saddles/2Apex/Procoptodon/PrimalItemArmor_ProcoptodonSaddle_Apex.PrimalItemArmor_ProcoptodonSaddle_Apex</t>
  </si>
  <si>
    <t>Ptero Saddle Alpha</t>
  </si>
  <si>
    <t>PrimalItemArmor_PteroSaddle_Alpha_C</t>
  </si>
  <si>
    <t>/PrimalNemesis/3Items/Saddles/1Alpha/Ptera/PrimalItemArmor_PteroSaddle_Alpha.PrimalItemArmor_PteroSaddle_Alpha</t>
  </si>
  <si>
    <t>Ptero Saddle Apex</t>
  </si>
  <si>
    <t>PrimalItemArmor_PteroSaddle_Apex_C</t>
  </si>
  <si>
    <t>/PrimalNemesis/3Items/Saddles/2Apex/Ptera/PrimalItemArmor_PteroSaddle_Apex.PrimalItemArmor_PteroSaddle_Apex</t>
  </si>
  <si>
    <t>Ptero Saddle Nature</t>
  </si>
  <si>
    <t>PrimalItemArmor_PteroSaddle_Nature_C</t>
  </si>
  <si>
    <t>/PrimalNemesis/3Items/Saddles/3Elemental/Nature/Ptera/PrimalItemArmor_PteroSaddle_Nature.PrimalItemArmor_PteroSaddle_Nature</t>
  </si>
  <si>
    <t>Purlovia Alpha</t>
  </si>
  <si>
    <t>PrimalItemSaddle_Purlovia_Alpha_C</t>
  </si>
  <si>
    <t>/PrimalNemesis/3Items/Saddles/1Alpha/Purlovia/PrimalItemSaddle_Purlovia_Alpha.PrimalItemSaddle_Purlovia_Alpha</t>
  </si>
  <si>
    <t>Purlovia Apex</t>
  </si>
  <si>
    <t>PrimalItemSaddle_Purlovia_Apex_C</t>
  </si>
  <si>
    <t>/PrimalNemesis/3Items/Saddles/2Apex/Purlovia/PrimalItemSaddle_Purlovia_Apex.PrimalItemSaddle_Purlovia_Apex</t>
  </si>
  <si>
    <t>Quetz Saddle Alpha</t>
  </si>
  <si>
    <t>PrimalItemArmor_QuetzSaddle_Alpha_C</t>
  </si>
  <si>
    <t>/PrimalNemesis/3Items/Saddles/1Alpha/Quetzal/PrimalItemArmor_QuetzSaddle_Alpha.PrimalItemArmor_QuetzSaddle_Alpha</t>
  </si>
  <si>
    <t>Quetz Saddle Apex</t>
  </si>
  <si>
    <t>PrimalItemArmor_QuetzSaddle_Apex_C</t>
  </si>
  <si>
    <t>/PrimalNemesis/3Items/Saddles/2Apex/Quetzal/PrimalItemArmor_QuetzSaddle_Apex.PrimalItemArmor_QuetzSaddle_Apex</t>
  </si>
  <si>
    <t>Raptor Saddle Alpha</t>
  </si>
  <si>
    <t>PrimalItemArmor_RaptorSaddle_Alpha_C</t>
  </si>
  <si>
    <t>/PrimalNemesis/3Items/Saddles/1Alpha/Raptor/PrimalItemArmor_RaptorSaddle_Alpha.PrimalItemArmor_RaptorSaddle_Alpha</t>
  </si>
  <si>
    <t>Raptor Saddle Apex</t>
  </si>
  <si>
    <t>PrimalItemArmor_RaptorSaddle_Apex_C</t>
  </si>
  <si>
    <t>/PrimalNemesis/3Items/Saddles/2Apex/Raptor/PrimalItemArmor_RaptorSaddle_Apex.PrimalItemArmor_RaptorSaddle_Apex</t>
  </si>
  <si>
    <t>Raptor Saddle Storm</t>
  </si>
  <si>
    <t>PrimalItemArmor_RaptorSaddle_Storm_C</t>
  </si>
  <si>
    <t>/PrimalNemesis/3Items/Saddles/3Elemental/Storm/Raptor/PrimalItemArmor_RaptorSaddle_Storm.PrimalItemArmor_RaptorSaddle_Storm</t>
  </si>
  <si>
    <t>Raptor Saddle Volcanic</t>
  </si>
  <si>
    <t>PrimalItemArmor_RaptorSaddle_Volcanic_C</t>
  </si>
  <si>
    <t>/PrimalNemesis/3Items/Saddles/3Elemental/Volcanic/Raptor/PrimalItemArmor_RaptorSaddle_Volcanic.PrimalItemArmor_RaptorSaddle_Volcanic</t>
  </si>
  <si>
    <t>Rex Bionic</t>
  </si>
  <si>
    <t>PrimalItemSaddle_Rex_Bionic_C</t>
  </si>
  <si>
    <t>/PrimalNemesis/3Items/Saddles/5Bionic/Rex/PrimalItemSaddle_Rex_Bionic.PrimalItemSaddle_Rex_Bionic</t>
  </si>
  <si>
    <t>Rex Saddle Alpha</t>
  </si>
  <si>
    <t>PrimalItemArmor_RexSaddle_Alpha_C</t>
  </si>
  <si>
    <t>/PrimalNemesis/3Items/Saddles/1Alpha/Rex/PrimalItemArmor_RexSaddle_Alpha.PrimalItemArmor_RexSaddle_Alpha</t>
  </si>
  <si>
    <t>Rex Saddle Apex</t>
  </si>
  <si>
    <t>PrimalItemArmor_RexSaddle_Apex_C</t>
  </si>
  <si>
    <t>/PrimalNemesis/3Items/Saddles/2Apex/Rex/PrimalItemArmor_RexSaddle_Apex.PrimalItemArmor_RexSaddle_Apex</t>
  </si>
  <si>
    <t>Rex Saddle Hydro</t>
  </si>
  <si>
    <t>PrimalItemArmor_RexSaddle_Hydro_C</t>
  </si>
  <si>
    <t>/PrimalNemesis/3Items/Saddles/3Elemental/Hydro/Rex/PrimalItemArmor_RexSaddle_Hydro.PrimalItemArmor_RexSaddle_Hydro</t>
  </si>
  <si>
    <t>Rex Saddle Storm</t>
  </si>
  <si>
    <t>PrimalItemArmor_RexSaddle_Storm_C</t>
  </si>
  <si>
    <t>/PrimalNemesis/3Items/Saddles/3Elemental/Storm/Rex/PrimalItemArmor_RexSaddle_Storm.PrimalItemArmor_RexSaddle_Storm</t>
  </si>
  <si>
    <t>Rex Saddle Volcanic</t>
  </si>
  <si>
    <t>PrimalItemArmor_RexSaddle_Volcanic_C</t>
  </si>
  <si>
    <t>/PrimalNemesis/3Items/Saddles/3Elemental/Volcanic/Rex/PrimalItemArmor_RexSaddle_Volcanic.PrimalItemArmor_RexSaddle_Volcanic</t>
  </si>
  <si>
    <t>Rhino Saddle Alpha</t>
  </si>
  <si>
    <t>PrimalItemArmor_RhinoSaddle_Alpha_C</t>
  </si>
  <si>
    <t>/PrimalNemesis/3Items/Saddles/1Alpha/WoollyRhino/PrimalItemArmor_RhinoSaddle_Alpha.PrimalItemArmor_RhinoSaddle_Alpha</t>
  </si>
  <si>
    <t>Rhino Saddle Apex</t>
  </si>
  <si>
    <t>PrimalItemArmor_RhinoSaddle_Apex_C</t>
  </si>
  <si>
    <t>/PrimalNemesis/3Items/Saddles/2Apex/WoollyRhino/PrimalItemArmor_RhinoSaddle_Apex.PrimalItemArmor_RhinoSaddle_Apex</t>
  </si>
  <si>
    <t>Rhynio Saddle Alpha</t>
  </si>
  <si>
    <t>PrimalItemArmor_RhynioSaddle_Alpha_C</t>
  </si>
  <si>
    <t>/PrimalNemesis/3Items/Saddles/1Alpha/Rhynio/PrimalItemArmor_RhynioSaddle_Alpha.PrimalItemArmor_RhynioSaddle_Alpha</t>
  </si>
  <si>
    <t>Rhynio Saddle Apex</t>
  </si>
  <si>
    <t>PrimalItemArmor_RhynioSaddle_Apex_C</t>
  </si>
  <si>
    <t>/PrimalNemesis/3Items/Saddles/2Apex/Rhynio/PrimalItemArmor_RhynioSaddle_Apex.PrimalItemArmor_RhynioSaddle_Apex</t>
  </si>
  <si>
    <t>Rock Golem Saddle Demonic</t>
  </si>
  <si>
    <t>PrimalItemArmor_RockGolemSaddle_Demonic_C</t>
  </si>
  <si>
    <t>/PrimalNemesis/3Items/Saddles/6DemonicAndCelestial/Demonic/Golem/PrimalItemArmor_RockGolemSaddle_Demonic.PrimalItemArmor_RockGolemSaddle_Demonic</t>
  </si>
  <si>
    <t>Saber Saddle Alpha</t>
  </si>
  <si>
    <t>PrimalItemArmor_SaberSaddle_Alpha_C</t>
  </si>
  <si>
    <t>/PrimalNemesis/3Items/Saddles/1Alpha/Sabertooth/PrimalItemArmor_SaberSaddle_Alpha.PrimalItemArmor_SaberSaddle_Alpha</t>
  </si>
  <si>
    <t>Saber Saddle Apex</t>
  </si>
  <si>
    <t>PrimalItemArmor_SaberSaddle_Apex_C</t>
  </si>
  <si>
    <t>/PrimalNemesis/3Items/Saddles/2Apex/Sabertooth/PrimalItemArmor_SaberSaddle_Apex.PrimalItemArmor_SaberSaddle_Apex</t>
  </si>
  <si>
    <t>Saber Saddle Storm</t>
  </si>
  <si>
    <t>PrimalItemArmor_SaberSaddle_Storm_C</t>
  </si>
  <si>
    <t>/PrimalNemesis/3Items/Saddles/3Elemental/Storm/Sabertooth/PrimalItemArmor_SaberSaddle_Storm.PrimalItemArmor_SaberSaddle_Storm</t>
  </si>
  <si>
    <t>Salmon Atlantic</t>
  </si>
  <si>
    <t>PrimalItemSaddle_Salmon_Atlantic_C</t>
  </si>
  <si>
    <t>/PrimalNemesis/3Items/Saddles/0WaterDinos/2Atlantic/Salmon/PrimalItemSaddle_Salmon_Atlantic.PrimalItemSaddle_Salmon_Atlantic</t>
  </si>
  <si>
    <t>Salmon Pacific</t>
  </si>
  <si>
    <t>PrimalItemSaddle_Salmon_Pacific_C</t>
  </si>
  <si>
    <t>/PrimalNemesis/3Items/Saddles/0WaterDinos/1Pacific/Salmon/PrimalItemSaddle_Salmon_Pacific.PrimalItemSaddle_Salmon_Pacific</t>
  </si>
  <si>
    <t>Sarco Saddle Alpha</t>
  </si>
  <si>
    <t>PrimalItemArmor_SarcoSaddle_Alpha_C</t>
  </si>
  <si>
    <t>/PrimalNemesis/3Items/Saddles/1Alpha/Sarco/PrimalItemArmor_SarcoSaddle_Alpha.PrimalItemArmor_SarcoSaddle_Alpha</t>
  </si>
  <si>
    <t>Sarco Saddle Apex</t>
  </si>
  <si>
    <t>PrimalItemArmor_SarcoSaddle_Apex_C</t>
  </si>
  <si>
    <t>/PrimalNemesis/3Items/Saddles/2Apex/Sarco/PrimalItemArmor_SarcoSaddle_Apex.PrimalItemArmor_SarcoSaddle_Apex</t>
  </si>
  <si>
    <t>Sarco Saddle Atlantic</t>
  </si>
  <si>
    <t>PrimalItemArmor_SarcoSaddle_Atlantic_C</t>
  </si>
  <si>
    <t>/PrimalNemesis/3Items/Saddles/0WaterDinos/2Atlantic/Sarco/PrimalItemArmor_SarcoSaddle_Atlantic.PrimalItemArmor_SarcoSaddle_Atlantic</t>
  </si>
  <si>
    <t>Sarco Saddle Hydro</t>
  </si>
  <si>
    <t>PrimalItemArmor_SarcoSaddle_Hydro_C</t>
  </si>
  <si>
    <t>/PrimalNemesis/3Items/Saddles/3Elemental/Hydro/Sarco/PrimalItemArmor_SarcoSaddle_Hydro.PrimalItemArmor_SarcoSaddle_Hydro</t>
  </si>
  <si>
    <t>Sarco Saddle Pacific</t>
  </si>
  <si>
    <t>PrimalItemArmor_SarcoSaddle_Pacific_C</t>
  </si>
  <si>
    <t>/PrimalNemesis/3Items/Saddles/0WaterDinos/1Pacific/Sarco/PrimalItemArmor_SarcoSaddle_Pacific.PrimalItemArmor_SarcoSaddle_Pacific</t>
  </si>
  <si>
    <t>Sauro Saddle Alpha</t>
  </si>
  <si>
    <t>PrimalItemArmor_SauroSaddle_Alpha_C</t>
  </si>
  <si>
    <t>/PrimalNemesis/3Items/Saddles/1Alpha/Brontosaurus/PrimalItemArmor_SauroSaddle_Alpha.PrimalItemArmor_SauroSaddle_Alpha</t>
  </si>
  <si>
    <t>Sauro Saddle Apex</t>
  </si>
  <si>
    <t>PrimalItemArmor_SauroSaddle_Apex_C</t>
  </si>
  <si>
    <t>/PrimalNemesis/3Items/Saddles/2Apex/Brontosaurus/PrimalItemArmor_SauroSaddle_Apex.PrimalItemArmor_SauroSaddle_Apex</t>
  </si>
  <si>
    <t>Sauro Saddle Earth</t>
  </si>
  <si>
    <t>PrimalItemArmor_SauroSaddle_Earth_C</t>
  </si>
  <si>
    <t>/PrimalNemesis/3Items/Saddles/3Elemental/Earth/Brontosaurus/PrimalItemArmor_SauroSaddle_Earth.PrimalItemArmor_SauroSaddle_Earth</t>
  </si>
  <si>
    <t>Scorpion Saddle Alpha</t>
  </si>
  <si>
    <t>PrimalItemArmor_ScorpionSaddle_Alpha_C</t>
  </si>
  <si>
    <t>/PrimalNemesis/3Items/Saddles/1Alpha/Pulmonoscorpius/PrimalItemArmor_ScorpionSaddle_Alpha.PrimalItemArmor_ScorpionSaddle_Alpha</t>
  </si>
  <si>
    <t>Scorpion Saddle Apex</t>
  </si>
  <si>
    <t>PrimalItemArmor_ScorpionSaddle_Apex_C</t>
  </si>
  <si>
    <t>/PrimalNemesis/3Items/Saddles/2Apex/Pulmonoscorpius/PrimalItemArmor_ScorpionSaddle_Apex.PrimalItemArmor_ScorpionSaddle_Apex</t>
  </si>
  <si>
    <t>Shasta Saddle Submarine Atlantic</t>
  </si>
  <si>
    <t>PrimalItemArmor_ShastaSaddle_Submarine_Atlantic_C</t>
  </si>
  <si>
    <t>/PrimalNemesis/3Items/Saddles/0WaterDinos/2Atlantic/Shasta/PrimalItemArmor_ShastaSaddle_Submarine_Atlantic.PrimalItemArmor_ShastaSaddle_Submarine_Atlantic</t>
  </si>
  <si>
    <t>Shasta Saddle Submarine Pacific</t>
  </si>
  <si>
    <t>PrimalItemArmor_ShastaSaddle_Submarine_Pacific_C</t>
  </si>
  <si>
    <t>/PrimalNemesis/3Items/Saddles/0WaterDinos/1Pacific/Shasta/PrimalItemArmor_ShastaSaddle_Submarine_Pacific.PrimalItemArmor_ShastaSaddle_Submarine_Pacific</t>
  </si>
  <si>
    <t>Snake Alpha</t>
  </si>
  <si>
    <t>PrimalItemSaddle_Snake_Alpha_C</t>
  </si>
  <si>
    <t>/PrimalNemesis/3Items/Saddles/1Alpha/Snake/PrimalItemSaddle_Snake_Alpha.PrimalItemSaddle_Snake_Alpha</t>
  </si>
  <si>
    <t>Snake Apex</t>
  </si>
  <si>
    <t>PrimalItemSaddle_Snake_Apex_C</t>
  </si>
  <si>
    <t>/PrimalNemesis/3Items/Saddles/2Apex/Snake/PrimalItemSaddle_Snake_Apex.PrimalItemSaddle_Snake_Apex</t>
  </si>
  <si>
    <t>Spider Saddle Alpha</t>
  </si>
  <si>
    <t>PrimalItemArmor_SpiderSaddle_Alpha_C</t>
  </si>
  <si>
    <t>/PrimalNemesis/3Items/Saddles/1Alpha/Araneo/PrimalItemArmor_SpiderSaddle_Alpha.PrimalItemArmor_SpiderSaddle_Alpha</t>
  </si>
  <si>
    <t>Spider Saddle Apex</t>
  </si>
  <si>
    <t>PrimalItemArmor_SpiderSaddle_Apex_C</t>
  </si>
  <si>
    <t>/PrimalNemesis/3Items/Saddles/2Apex/Araneo/PrimalItemArmor_SpiderSaddle_Apex.PrimalItemArmor_SpiderSaddle_Apex</t>
  </si>
  <si>
    <t>Spider Saddle Storm</t>
  </si>
  <si>
    <t>PrimalItemArmor_SpiderSaddle_Storm_C</t>
  </si>
  <si>
    <t>/PrimalNemesis/3Items/Saddles/3Elemental/Storm/Araneo/PrimalItemArmor_SpiderSaddle_Storm.PrimalItemArmor_SpiderSaddle_Storm</t>
  </si>
  <si>
    <t>Spine Croc Saddle Atlantic</t>
  </si>
  <si>
    <t>PrimalItemArmor_SpineCrocSaddle_Atlantic_C</t>
  </si>
  <si>
    <t>/PrimalNemesis/3Items/Saddles/0WaterDinos/2Atlantic/SpineCroc/PrimalItemArmor_SpineCrocSaddle_Atlantic.PrimalItemArmor_SpineCrocSaddle_Atlantic</t>
  </si>
  <si>
    <t>Spine Croc Saddle Pacific</t>
  </si>
  <si>
    <t>PrimalItemArmor_SpineCrocSaddle_Pacific_C</t>
  </si>
  <si>
    <t>/PrimalNemesis/3Items/Saddles/0WaterDinos/1Pacific/SpineCroc/PrimalItemArmor_SpineCrocSaddle_Pacific.PrimalItemArmor_SpineCrocSaddle_Pacific</t>
  </si>
  <si>
    <t>Spiney Lizard Saddle Celestial</t>
  </si>
  <si>
    <t>PrimalItemArmor_SpineyLizardSaddle_Celestial_C</t>
  </si>
  <si>
    <t>/PrimalNemesis/3Items/Saddles/6DemonicAndCelestial/Celestial/Thornydragon/PrimalItemArmor_SpineyLizardSaddle_Celestial.PrimalItemArmor_SpineyLizardSaddle_Celestial</t>
  </si>
  <si>
    <t>Spiney Lizard Saddle Volcanic</t>
  </si>
  <si>
    <t>PrimalItemArmor_SpineyLizardSaddle_Volcanic_C</t>
  </si>
  <si>
    <t>/PrimalNemesis/3Items/Saddles/3Elemental/Volcanic/Thorny/PrimalItemArmor_SpineyLizardSaddle_Volcanic.PrimalItemArmor_SpineyLizardSaddle_Volcanic</t>
  </si>
  <si>
    <t>Spino Saddle Alpha</t>
  </si>
  <si>
    <t>PrimalItemArmor_SpinoSaddle_Alpha_C</t>
  </si>
  <si>
    <t>/PrimalNemesis/3Items/Saddles/1Alpha/Spinosaurus/PrimalItemArmor_SpinoSaddle_Alpha.PrimalItemArmor_SpinoSaddle_Alpha</t>
  </si>
  <si>
    <t>Spino Saddle Apex</t>
  </si>
  <si>
    <t>PrimalItemArmor_SpinoSaddle_Apex_C</t>
  </si>
  <si>
    <t>/PrimalNemesis/3Items/Saddles/2Apex/Spinosaurus/PrimalItemArmor_SpinoSaddle_Apex.PrimalItemArmor_SpinoSaddle_Apex</t>
  </si>
  <si>
    <t>Spino Saddle Hydro</t>
  </si>
  <si>
    <t>PrimalItemArmor_SpinoSaddle_Hydro_C</t>
  </si>
  <si>
    <t>/PrimalNemesis/3Items/Saddles/3Elemental/Hydro/Spinosaurus/PrimalItemArmor_SpinoSaddle_Hydro.PrimalItemArmor_SpinoSaddle_Hydro</t>
  </si>
  <si>
    <t>Spino Saddle Volcanic</t>
  </si>
  <si>
    <t>PrimalItemArmor_SpinoSaddle_Volcanic_C</t>
  </si>
  <si>
    <t>/PrimalNemesis/3Items/Saddles/3Elemental/Volcanic/Spinosaurus/PrimalItemArmor_SpinoSaddle_Volcanic.PrimalItemArmor_SpinoSaddle_Volcanic</t>
  </si>
  <si>
    <t>Squid Saddle Atlantic</t>
  </si>
  <si>
    <t>PrimalItemArmor_SquidSaddle_Atlantic_C</t>
  </si>
  <si>
    <t>/PrimalNemesis/3Items/Saddles/0WaterDinos/2Atlantic/Squid/PrimalItemArmor_SquidSaddle_Atlantic.PrimalItemArmor_SquidSaddle_Atlantic</t>
  </si>
  <si>
    <t>Squid Saddle Pacific</t>
  </si>
  <si>
    <t>PrimalItemArmor_SquidSaddle_Pacific_C</t>
  </si>
  <si>
    <t>/PrimalNemesis/3Items/Saddles/0WaterDinos/1Pacific/Squid/PrimalItemArmor_SquidSaddle_Pacific.PrimalItemArmor_SquidSaddle_Pacific</t>
  </si>
  <si>
    <t>Stego Saddle Alpha</t>
  </si>
  <si>
    <t>PrimalItemArmor_StegoSaddle_Alpha_C</t>
  </si>
  <si>
    <t>/PrimalNemesis/3Items/Saddles/1Alpha/Stego/PrimalItemArmor_StegoSaddle_Alpha.PrimalItemArmor_StegoSaddle_Alpha</t>
  </si>
  <si>
    <t>Stego Saddle Apex</t>
  </si>
  <si>
    <t>PrimalItemArmor_StegoSaddle_Apex_C</t>
  </si>
  <si>
    <t>/PrimalNemesis/3Items/Saddles/2Apex/Stego/PrimalItemArmor_StegoSaddle_Apex.PrimalItemArmor_StegoSaddle_Apex</t>
  </si>
  <si>
    <t>Sword Fish Atlantic</t>
  </si>
  <si>
    <t>PrimalItemSaddle_SwordFish_Atlantic_C</t>
  </si>
  <si>
    <t>/PrimalNemesis/3Items/Saddles/0WaterDinos/2Atlantic/Swordfish/PrimalItemSaddle_SwordFish_Atlantic.PrimalItemSaddle_SwordFish_Atlantic</t>
  </si>
  <si>
    <t>Sword Fish Pacific</t>
  </si>
  <si>
    <t>PrimalItemSaddle_SwordFish_Pacific_C</t>
  </si>
  <si>
    <t>/PrimalNemesis/3Items/Saddles/0WaterDinos/1Pacific/Swordfish/PrimalItemSaddle_SwordFish_Pacific.PrimalItemSaddle_SwordFish_Pacific</t>
  </si>
  <si>
    <t>Tapejara Saddle Alpha</t>
  </si>
  <si>
    <t>PrimalItemArmor_TapejaraSaddle_Alpha_C</t>
  </si>
  <si>
    <t>/PrimalNemesis/3Items/Saddles/1Alpha/Tapejara/PrimalItemArmor_TapejaraSaddle_Alpha.PrimalItemArmor_TapejaraSaddle_Alpha</t>
  </si>
  <si>
    <t>Tapejara Saddle Apex</t>
  </si>
  <si>
    <t>PrimalItemArmor_TapejaraSaddle_Apex_C</t>
  </si>
  <si>
    <t>/PrimalNemesis/3Items/Saddles/2Apex/Tapejara/PrimalItemArmor_TapejaraSaddle_Apex.PrimalItemArmor_TapejaraSaddle_Apex</t>
  </si>
  <si>
    <t>Tapejara Saddle Volcanic</t>
  </si>
  <si>
    <t>PrimalItemArmor_TapejaraSaddle_Volcanic_C</t>
  </si>
  <si>
    <t>/PrimalNemesis/3Items/Saddles/3Elemental/Volcanic/Tapejara/PrimalItemArmor_TapejaraSaddle_Volcanic.PrimalItemArmor_TapejaraSaddle_Volcanic</t>
  </si>
  <si>
    <t>Terror Bird Saddle Alpha</t>
  </si>
  <si>
    <t>PrimalItemArmor_TerrorBirdSaddle_Alpha_C</t>
  </si>
  <si>
    <t>/PrimalNemesis/3Items/Saddles/1Alpha/TerrorBird/PrimalItemArmor_TerrorBirdSaddle_Alpha.PrimalItemArmor_TerrorBirdSaddle_Alpha</t>
  </si>
  <si>
    <t>Terror Bird Saddle Apex</t>
  </si>
  <si>
    <t>PrimalItemArmor_TerrorBirdSaddle_Apex_C</t>
  </si>
  <si>
    <t>/PrimalNemesis/3Items/Saddles/2Apex/TerrorBird/PrimalItemArmor_TerrorBirdSaddle_Apex.PrimalItemArmor_TerrorBirdSaddle_Apex</t>
  </si>
  <si>
    <t>Terror Bird Saddle Storm</t>
  </si>
  <si>
    <t>PrimalItemArmor_TerrorBirdSaddle_Storm_C</t>
  </si>
  <si>
    <t>/PrimalNemesis/3Items/Saddles/3Elemental/Storm/TerrorBird/PrimalItemArmor_TerrorBirdSaddle_Storm.PrimalItemArmor_TerrorBirdSaddle_Storm</t>
  </si>
  <si>
    <t>Therizinosaurus Saddle Alpha</t>
  </si>
  <si>
    <t>PrimalItemArmor_TherizinosaurusSaddle_Alpha_C</t>
  </si>
  <si>
    <t>/PrimalNemesis/3Items/Saddles/1Alpha/Therizinosaurus/PrimalItemArmor_TherizinosaurusSaddle_Alpha.PrimalItemArmor_TherizinosaurusSaddle_Alpha</t>
  </si>
  <si>
    <t>Therizinosaurus Saddle Apex</t>
  </si>
  <si>
    <t>PrimalItemArmor_TherizinosaurusSaddle_Apex_C</t>
  </si>
  <si>
    <t>/PrimalNemesis/3Items/Saddles/2Apex/Therizinosaurus/PrimalItemArmor_TherizinosaurusSaddle_Apex.PrimalItemArmor_TherizinosaurusSaddle_Apex</t>
  </si>
  <si>
    <t>Thylaco Saddle Alpha</t>
  </si>
  <si>
    <t>PrimalItemArmor_ThylacoSaddle_Alpha_C</t>
  </si>
  <si>
    <t>/PrimalNemesis/3Items/Saddles/1Alpha/Thyla/PrimalItemArmor_ThylacoSaddle_Alpha.PrimalItemArmor_ThylacoSaddle_Alpha</t>
  </si>
  <si>
    <t>Thylaco Saddle Apex</t>
  </si>
  <si>
    <t>PrimalItemArmor_ThylacoSaddle_Apex_C</t>
  </si>
  <si>
    <t>/PrimalNemesis/3Items/Saddles/2Apex/Thyla/PrimalItemArmor_ThylacoSaddle_Apex.PrimalItemArmor_ThylacoSaddle_Apex</t>
  </si>
  <si>
    <t>Thylaco Saddle Demonic</t>
  </si>
  <si>
    <t>PrimalItemArmor_ThylacoSaddle_Demonic_C</t>
  </si>
  <si>
    <t>/PrimalNemesis/3Items/Saddles/6DemonicAndCelestial/Demonic/Thyla/PrimalItemArmor_ThylacoSaddle_Demonic.PrimalItemArmor_ThylacoSaddle_Demonic</t>
  </si>
  <si>
    <t>Thylaco Saddle Storm</t>
  </si>
  <si>
    <t>PrimalItemArmor_ThylacoSaddle_Storm_C</t>
  </si>
  <si>
    <t>/PrimalNemesis/3Items/Saddles/3Elemental/Storm/Thyla/PrimalItemArmor_ThylacoSaddle_Storm.PrimalItemArmor_ThylacoSaddle_Storm</t>
  </si>
  <si>
    <t>Tiger Godly</t>
  </si>
  <si>
    <t>PrimalItemSaddle_Tiger_Godly_C</t>
  </si>
  <si>
    <t>/PrimalNemesis/3Items/Saddles/7Godly/Tiger/PrimalItemSaddle_Tiger_Godly.PrimalItemSaddle_Tiger_Godly</t>
  </si>
  <si>
    <t>Titan Frost</t>
  </si>
  <si>
    <t>PrimalItemSaddle_Titan_Frost_C</t>
  </si>
  <si>
    <t>/PrimalNemesis/3Items/Saddles/0Titans/Frost/PrimalItemSaddle_Titan_Frost.PrimalItemSaddle_Titan_Frost</t>
  </si>
  <si>
    <t>Titan Hydro</t>
  </si>
  <si>
    <t>PrimalItemSaddle_Titan_Hydro_C</t>
  </si>
  <si>
    <t>/PrimalNemesis/3Items/Saddles/0Titans/Hydro/PrimalItemSaddle_Titan_Hydro.PrimalItemSaddle_Titan_Hydro</t>
  </si>
  <si>
    <t>Titan Nature</t>
  </si>
  <si>
    <t>PrimalItemSaddle_Titan_Nature_C</t>
  </si>
  <si>
    <t>/PrimalNemesis/3Items/Saddles/0Titans/Nature/PrimalItemSaddle_Titan_Nature.PrimalItemSaddle_Titan_Nature</t>
  </si>
  <si>
    <t>Titan Storm</t>
  </si>
  <si>
    <t>PrimalItemSaddle_Titan_Storm_C</t>
  </si>
  <si>
    <t>/PrimalNemesis/3Items/Saddles/0Titans/Storm/PrimalItemSaddle_Titan_Storm.PrimalItemSaddle_Titan_Storm</t>
  </si>
  <si>
    <t>Titan Volcanic</t>
  </si>
  <si>
    <t>PrimalItemSaddle_Titan_Volcanic_C</t>
  </si>
  <si>
    <t>/PrimalNemesis/3Items/Saddles/0Titans/Volcanic/PrimalItemSaddle_Titan_Volcanic.PrimalItemSaddle_Titan_Volcanic</t>
  </si>
  <si>
    <t>Titanosaur Saddle Platform Alpha</t>
  </si>
  <si>
    <t>PrimalItemArmor_TitanSaddle_Platform_Alpha_C</t>
  </si>
  <si>
    <t>/PrimalNemesis/3Items/Saddles/1Alpha/Titanosaur/PrimalItemArmor_TitanSaddle_Platform_Alpha.PrimalItemArmor_TitanSaddle_Platform_Alpha</t>
  </si>
  <si>
    <t>Titanosaur Saddle Platform Apex</t>
  </si>
  <si>
    <t>PrimalItemArmor_TitanSaddle_Platform_Apex_C</t>
  </si>
  <si>
    <t>/PrimalNemesis/3Items/Saddles/2Apex/Titanosaur/PrimalItemArmor_TitanSaddle_Platform_Apex.PrimalItemArmor_TitanSaddle_Platform_Apex</t>
  </si>
  <si>
    <t>Toad Saddle Alpha</t>
  </si>
  <si>
    <t>PrimalItemArmor_ToadSaddle_Alpha_C</t>
  </si>
  <si>
    <t>/PrimalNemesis/3Items/Saddles/1Alpha/Frog/PrimalItemArmor_ToadSaddle_Alpha.PrimalItemArmor_ToadSaddle_Alpha</t>
  </si>
  <si>
    <t>Toad Saddle Apex</t>
  </si>
  <si>
    <t>PrimalItemArmor_ToadSaddle_Apex_C</t>
  </si>
  <si>
    <t>/PrimalNemesis/3Items/Saddles/2Apex/Frog/PrimalItemArmor_ToadSaddle_Apex.PrimalItemArmor_ToadSaddle_Apex</t>
  </si>
  <si>
    <t>Toad Saddle Hydro</t>
  </si>
  <si>
    <t>PrimalItemArmor_ToadSaddle_Hydro_C</t>
  </si>
  <si>
    <t>/PrimalNemesis/3Items/Saddles/3Elemental/Hydro/Frog/PrimalItemArmor_ToadSaddle_Hydro.PrimalItemArmor_ToadSaddle_Hydro</t>
  </si>
  <si>
    <t>Trike Godly</t>
  </si>
  <si>
    <t>PrimalItemSaddle_Trike_Godly_C</t>
  </si>
  <si>
    <t>/PrimalNemesis/3Items/Saddles/7Godly/Trike/PrimalItemSaddle_Trike_Godly.PrimalItemSaddle_Trike_Godly</t>
  </si>
  <si>
    <t>Trike Saddle Alpha</t>
  </si>
  <si>
    <t>PrimalItemArmor_TrikeSaddle_Alpha_C</t>
  </si>
  <si>
    <t>/PrimalNemesis/3Items/Saddles/1Alpha/Trike/PrimalItemArmor_TrikeSaddle_Alpha.PrimalItemArmor_TrikeSaddle_Alpha</t>
  </si>
  <si>
    <t>Trike Saddle Apex</t>
  </si>
  <si>
    <t>PrimalItemArmor_TrikeSaddle_Apex_C</t>
  </si>
  <si>
    <t>/PrimalNemesis/3Items/Saddles/2Apex/Trike/PrimalItemArmor_TrikeSaddle_Apex.PrimalItemArmor_TrikeSaddle_Apex</t>
  </si>
  <si>
    <t>Trike Saddle Volcanic</t>
  </si>
  <si>
    <t>PrimalItemArmor_TrikeSaddle_Volcanic_C</t>
  </si>
  <si>
    <t>/PrimalNemesis/3Items/Saddles/3Elemental/Volcanic/Trike/PrimalItemArmor_TrikeSaddle_Volcanic.PrimalItemArmor_TrikeSaddle_Volcanic</t>
  </si>
  <si>
    <t>Trilobite Atlantic</t>
  </si>
  <si>
    <t>PrimalItemSaddle_Trilobite_Atlantic_C</t>
  </si>
  <si>
    <t>/PrimalNemesis/3Items/Saddles/0WaterDinos/2Atlantic/Trilobite/PrimalItemSaddle_Trilobite_Atlantic.PrimalItemSaddle_Trilobite_Atlantic</t>
  </si>
  <si>
    <t>Trilobite Pacific</t>
  </si>
  <si>
    <t>PrimalItemSaddle_Trilobite_Pacific_C</t>
  </si>
  <si>
    <t>/PrimalNemesis/3Items/Saddles/0WaterDinos/1Pacific/Trilobite/PrimalItemSaddle_Trilobite_Pacific.PrimalItemSaddle_Trilobite_Pacific</t>
  </si>
  <si>
    <t>Troodon Alpha</t>
  </si>
  <si>
    <t>PrimalItemSaddle_Troodon_Alpha_C</t>
  </si>
  <si>
    <t>/PrimalNemesis/3Items/Saddles/1Alpha/Troodon/PrimalItemSaddle_Troodon_Alpha.PrimalItemSaddle_Troodon_Alpha</t>
  </si>
  <si>
    <t>Troodon Apex</t>
  </si>
  <si>
    <t>PrimalItemSaddle_Troodon_Apex_C</t>
  </si>
  <si>
    <t>/PrimalNemesis/3Items/Saddles/2Apex/Troodon/PrimalItemSaddle_Troodon_Apex.PrimalItemSaddle_Troodon_Apex</t>
  </si>
  <si>
    <t>Tuna Atlantic</t>
  </si>
  <si>
    <t>PrimalItemSaddle_Tuna_Atlantic_C</t>
  </si>
  <si>
    <t>/PrimalNemesis/3Items/Saddles/0WaterDinos/2Atlantic/Tuna/PrimalItemSaddle_Tuna_Atlantic.PrimalItemSaddle_Tuna_Atlantic</t>
  </si>
  <si>
    <t>Tuna Pacific</t>
  </si>
  <si>
    <t>PrimalItemSaddle_Tuna_Pacific_C</t>
  </si>
  <si>
    <t>/PrimalNemesis/3Items/Saddles/0WaterDinos/1Pacific/Tuna/PrimalItemSaddle_Tuna_Pacific.PrimalItemSaddle_Tuna_Pacific</t>
  </si>
  <si>
    <t>Turkey Alpha</t>
  </si>
  <si>
    <t>PrimalItemSaddle_Turkey_Alpha_C</t>
  </si>
  <si>
    <t>/PrimalNemesis/3Items/Saddles/1Alpha/Turkey/PrimalItemSaddle_Turkey_Alpha.PrimalItemSaddle_Turkey_Alpha</t>
  </si>
  <si>
    <t>Turkey Apex</t>
  </si>
  <si>
    <t>PrimalItemSaddle_Turkey_Apex_C</t>
  </si>
  <si>
    <t>/PrimalNemesis/3Items/Saddles/2Apex/Turkey/PrimalItemSaddle_Turkey_Apex.PrimalItemSaddle_Turkey_Apex</t>
  </si>
  <si>
    <t>Turtle Saddle Alpha</t>
  </si>
  <si>
    <t>PrimalItemArmor_TurtleSaddle_Alpha_C</t>
  </si>
  <si>
    <t>/PrimalNemesis/3Items/Saddles/1Alpha/Turtle/PrimalItemArmor_TurtleSaddle_Alpha.PrimalItemArmor_TurtleSaddle_Alpha</t>
  </si>
  <si>
    <t>Turtle Saddle Apex</t>
  </si>
  <si>
    <t>PrimalItemArmor_TurtleSaddle_Apex_C</t>
  </si>
  <si>
    <t>/PrimalNemesis/3Items/Saddles/2Apex/Turtle/PrimalItemArmor_TurtleSaddle_Apex.PrimalItemArmor_TurtleSaddle_Apex</t>
  </si>
  <si>
    <t>Turtle Saddle Hydro</t>
  </si>
  <si>
    <t>PrimalItemArmor_TurtleSaddle_Hydro_C</t>
  </si>
  <si>
    <t>/PrimalNemesis/3Items/Saddles/3Elemental/Hydro/Turtle/PrimalItemArmor_TurtleSaddle_Hydro.PrimalItemArmor_TurtleSaddle_Hydro</t>
  </si>
  <si>
    <t>Tuso Saddle Atlantic</t>
  </si>
  <si>
    <t>PrimalItemArmor_TusoSaddle_Atlantic_C</t>
  </si>
  <si>
    <t>/PrimalNemesis/3Items/Saddles/0WaterDinos/2Atlantic/tusoteuthis/PrimalItemArmor_TusoSaddle_Atlantic.PrimalItemArmor_TusoSaddle_Atlantic</t>
  </si>
  <si>
    <t>Tuso Saddle Pacific</t>
  </si>
  <si>
    <t>PrimalItemArmor_TusoSaddle_Pacific_C</t>
  </si>
  <si>
    <t>/PrimalNemesis/3Items/Saddles/0WaterDinos/1Pacific/tusoteuthis/PrimalItemArmor_TusoSaddle_Pacific.PrimalItemArmor_TusoSaddle_Pacific</t>
  </si>
  <si>
    <t>Wolf Frost</t>
  </si>
  <si>
    <t>PrimalItemSaddle_Wolf_Frost_C</t>
  </si>
  <si>
    <t>/PrimalNemesis/3Items/Saddles/3Elemental/Frost/Wolf/PrimalItemSaddle_Wolf_Frost.PrimalItemSaddle_Wolf_Frost</t>
  </si>
  <si>
    <t>Wyvern Demonic</t>
  </si>
  <si>
    <t>PrimalItemSaddle_Wyvern_Demonic_C</t>
  </si>
  <si>
    <t>/PrimalNemesis/3Items/Saddles/6DemonicAndCelestial/Demonic/Wyvern/PrimalItemSaddle_Wyvern_Demonic.PrimalItemSaddle_Wyvern_Demonic</t>
  </si>
  <si>
    <t>Wyvern Frost</t>
  </si>
  <si>
    <t>PrimalItemSaddle_Wyvern_Frost_C</t>
  </si>
  <si>
    <t>/PrimalNemesis/3Items/Saddles/3Elemental/Frost/Wyvern/PrimalItemSaddle_Wyvern_Frost.PrimalItemSaddle_Wyvern_Frost</t>
  </si>
  <si>
    <t>Xiph Saddle ASA Atlantic</t>
  </si>
  <si>
    <t>PrimalItemArmor_XiphSaddle_ASA_Atlantic_C</t>
  </si>
  <si>
    <t>/PrimalNemesis/3Items/Saddles/0WaterDinos/2Atlantic/Xiphactinus/PrimalItemArmor_XiphSaddle_ASA_Atlantic.PrimalItemArmor_XiphSaddle_ASA_Atlantic</t>
  </si>
  <si>
    <t>Xiph Saddle ASA Pacific</t>
  </si>
  <si>
    <t>PrimalItemArmor_XiphSaddle_ASA_Pacific_C</t>
  </si>
  <si>
    <t>/PrimalNemesis/3Items/Saddles/0WaterDinos/1Pacific/Xiphactinus/PrimalItemArmor_XiphSaddle_ASA_Pacific.PrimalItemArmor_XiphSaddle_ASA_Pacific</t>
  </si>
  <si>
    <t>Yuty Saddle Alpha</t>
  </si>
  <si>
    <t>PrimalItemArmor_YutySaddle_Alpha_C</t>
  </si>
  <si>
    <t>/PrimalNemesis/3Items/Saddles/1Alpha/Yuty/PrimalItemArmor_YutySaddle_Alpha.PrimalItemArmor_YutySaddle_Alpha</t>
  </si>
  <si>
    <t>Yuty Saddle Apex</t>
  </si>
  <si>
    <t>PrimalItemArmor_YutySaddle_Apex_C</t>
  </si>
  <si>
    <t>/PrimalNemesis/3Items/Saddles/2Apex/Yuty/PrimalItemArmor_YutySaddle_Apex.PrimalItemArmor_YutySaddle_Apex</t>
  </si>
  <si>
    <t>Yuty Saddle Frost</t>
  </si>
  <si>
    <t>PrimalItemArmor_YutySaddle_Frost_C</t>
  </si>
  <si>
    <t>/PrimalNemesis/3Items/Saddles/3Elemental/Frost/Yuty/PrimalItemArmor_YutySaddle_Frost.PrimalItemArmor_YutySaddle_Frost</t>
  </si>
  <si>
    <t>Eggs (Underwater)</t>
  </si>
  <si>
    <t>Underwater Egg Diplocaulus Atlantic</t>
  </si>
  <si>
    <t>PrimalItemConsumable_UnderwaterEgg_Diplocaulus_Atlantic_C</t>
  </si>
  <si>
    <t>/PrimalNemesis/1WaterDinos/2Atlantic/Diplocaulus/PrimalItemConsumable_UnderwaterEgg_Diplocaulus_Atlantic.PrimalItemConsumable_UnderwaterEgg_Diplocaulus_Atlantic</t>
  </si>
  <si>
    <t>Underwater Egg Diplocaulus Hydro</t>
  </si>
  <si>
    <t>PrimalItemConsumable_UnderwaterEgg_Diplocaulus_Hydro_C</t>
  </si>
  <si>
    <t>/PrimalNemesis/1Dinos/3Elemental/Hydro/Diplocaulus(Notfornow)/PrimalItemConsumable_UnderwaterEgg_Diplocaulus_Hydro.PrimalItemConsumable_UnderwaterEgg_Diplocaulus_Hydro</t>
  </si>
  <si>
    <t>Underwater Egg Diplocaulus Pacific</t>
  </si>
  <si>
    <t>PrimalItemConsumable_UnderwaterEgg_Diplocaulus_Pacific_C</t>
  </si>
  <si>
    <t>/PrimalNemesis/1WaterDinos/1Pacific/Diplocaulus/PrimalItemConsumable_UnderwaterEgg_Diplocaulus_Pacific.PrimalItemConsumable_UnderwaterEgg_Diplocaulus_Pacific</t>
  </si>
  <si>
    <t>Underwater Egg Eel Atlantic</t>
  </si>
  <si>
    <t>PrimalItemConsumable_UnderwaterEgg_Eel_Atlantic_C</t>
  </si>
  <si>
    <t>/PrimalNemesis/1WaterDinos/2Atlantic/Electrophorus/PrimalItemConsumable_UnderwaterEgg_Eel_Atlantic.PrimalItemConsumable_UnderwaterEgg_Eel_Atlantic</t>
  </si>
  <si>
    <t>Underwater Egg Eel Pacific</t>
  </si>
  <si>
    <t>PrimalItemConsumable_UnderwaterEgg_Eel_Pacific_C</t>
  </si>
  <si>
    <t>/PrimalNemesis/1WaterDinos/1Pacific/Electrophorus/PrimalItemConsumable_UnderwaterEgg_Eel_Pacific.PrimalItemConsumable_UnderwaterEgg_Eel_Pacific</t>
  </si>
  <si>
    <t>Underwater Egg Squid Atlantic</t>
  </si>
  <si>
    <t>PrimalItemConsumable_UnderwaterEgg_Squid_Atlantic_C</t>
  </si>
  <si>
    <t>/PrimalNemesis/1WaterDinos/2Atlantic/Squid/PrimalItemConsumable_UnderwaterEgg_Squid_Atlantic.PrimalItemConsumable_UnderwaterEgg_Squid_Atlantic</t>
  </si>
  <si>
    <t>Underwater Egg Squid Pacific</t>
  </si>
  <si>
    <t>PrimalItemConsumable_UnderwaterEgg_Squid_Pacific_C</t>
  </si>
  <si>
    <t>/PrimalNemesis/1WaterDinos/1Pacific/Squid/PrimalItemConsumable_UnderwaterEgg_Squid_Pacific.PrimalItemConsumable_UnderwaterEgg_Squid_Pacific</t>
  </si>
  <si>
    <t>Underwater Egg Toad Alpha</t>
  </si>
  <si>
    <t>PrimalItemConsumable_UnderwaterEgg_Toad_Alpha_C</t>
  </si>
  <si>
    <t>/PrimalNemesis/1Dinos/1Alpha/Frog/PrimalItemConsumable_UnderwaterEgg_Toad_Alpha.PrimalItemConsumable_UnderwaterEgg_Toad_Alpha</t>
  </si>
  <si>
    <t>Underwater Egg Toad Alpha C</t>
  </si>
  <si>
    <t>PrimalItemConsumable_UnderwaterEgg_Toad_Alpha_C_C</t>
  </si>
  <si>
    <t>/PrimalNemesis/0Core/Variant/1Alpha/Colossus/Frog/PrimalItemConsumable_UnderwaterEgg_Toad_Alpha_C.PrimalItemConsumable_UnderwaterEgg_Toad_Alpha_C</t>
  </si>
  <si>
    <t>Underwater Egg Toad Alpha P</t>
  </si>
  <si>
    <t>PrimalItemConsumable_UnderwaterEgg_Toad_Alpha_P_C</t>
  </si>
  <si>
    <t>/PrimalNemesis/0Core/Variant/1Alpha/Pigmy/Frog/PrimalItemConsumable_UnderwaterEgg_Toad_Alpha_P.PrimalItemConsumable_UnderwaterEgg_Toad_Alpha_P</t>
  </si>
  <si>
    <t>Underwater Egg Toad Apex</t>
  </si>
  <si>
    <t>PrimalItemConsumable_UnderwaterEgg_Toad_Apex_C</t>
  </si>
  <si>
    <t>/PrimalNemesis/0Core/Variant/2Apex/Pygmy/Frog/PrimalItemConsumable_UnderwaterEgg_Toad_Apex.PrimalItemConsumable_UnderwaterEgg_Toad_Apex</t>
  </si>
  <si>
    <t>Underwater Egg Toad Beta</t>
  </si>
  <si>
    <t>PrimalItemConsumable_UnderwaterEgg_Toad_Beta_C</t>
  </si>
  <si>
    <t>/PrimalNemesis/1Dinos/4ADVElemental/Plague/Frog/PrimalItemConsumable_UnderwaterEgg_Toad_Beta.PrimalItemConsumable_UnderwaterEgg_Toad_Beta</t>
  </si>
  <si>
    <t>Underwater Egg Toad Hydro</t>
  </si>
  <si>
    <t>PrimalItemConsumable_UnderwaterEgg_Toad_Hydro_C</t>
  </si>
  <si>
    <t>/PrimalNemesis/1Dinos/3Elemental/Hydro/Frog/PrimalItemConsumable_UnderwaterEgg_Toad_Hydro.PrimalItemConsumable_UnderwaterEgg_Toad_Hydro</t>
  </si>
  <si>
    <t>Underwater Egg Tuso Atlantic</t>
  </si>
  <si>
    <t>PrimalItemConsumable_UnderwaterEgg_Tuso_Atlantic_C</t>
  </si>
  <si>
    <t>/PrimalNemesis/1WaterDinos/2Atlantic/tusoteuthis/PrimalItemConsumable_UnderwaterEgg_Tuso_Atlantic.PrimalItemConsumable_UnderwaterEgg_Tuso_Atlantic</t>
  </si>
  <si>
    <t>Underwater Egg Tuso Pacific</t>
  </si>
  <si>
    <t>PrimalItemConsumable_UnderwaterEgg_Tuso_Pacific_C</t>
  </si>
  <si>
    <t>/PrimalNemesis/1WaterDinos/1Pacific/tusoteuthis/PrimalItemConsumable_UnderwaterEgg_Tuso_Pacific.PrimalItemConsumable_UnderwaterEgg_Tuso_Pacific</t>
  </si>
  <si>
    <t>Underwater Egg Xiphactinus ASA Atlantic</t>
  </si>
  <si>
    <t>PrimalItemConsumable_UnderwaterEgg_Xiphactinus_ASA_Atlantic_C</t>
  </si>
  <si>
    <t>/PrimalNemesis/1WaterDinos/2Atlantic/Xiphactinus/PrimalItemConsumable_UnderwaterEgg_Xiphactinus_ASA_Atlantic.PrimalItemConsumable_UnderwaterEgg_Xiphactinus_ASA_Atlantic</t>
  </si>
  <si>
    <t>Underwater Egg Xiphactinus ASA Pacific</t>
  </si>
  <si>
    <t>PrimalItemConsumable_UnderwaterEgg_Xiphactinus_ASA_Pacific_C</t>
  </si>
  <si>
    <t>/PrimalNemesis/1WaterDinos/1Pacific/Xiphactinus/PrimalItemConsumable_UnderwaterEgg_Xiphactinus_ASA_Pacific.PrimalItemConsumable_UnderwaterEgg_Xiphactinus_ASA_Pacific</t>
  </si>
  <si>
    <t>Eggs (Fertilized)</t>
  </si>
  <si>
    <t>Egg Allo Fertilized Alpha</t>
  </si>
  <si>
    <t>PrimalItemConsumable_Egg_Allo_Fertilized_Alpha_C</t>
  </si>
  <si>
    <t>/PrimalNemesis/1Dinos/1Alpha/Allo/PrimalItemConsumable_Egg_Allo_Fertilized_Alpha.PrimalItemConsumable_Egg_Allo_Fertilized_Alpha</t>
  </si>
  <si>
    <t>Egg Allo Fertilized Alpha C</t>
  </si>
  <si>
    <t>PrimalItemConsumable_Egg_Allo_Fertilized_Alpha_C_C</t>
  </si>
  <si>
    <t>/PrimalNemesis/0Core/Variant/1Alpha/Colossus/Allo/PrimalItemConsumable_Egg_Allo_Fertilized_Alpha_C.PrimalItemConsumable_Egg_Allo_Fertilized_Alpha_C</t>
  </si>
  <si>
    <t>Egg Allo Fertilized Alpha P</t>
  </si>
  <si>
    <t>PrimalItemConsumable_Egg_Allo_Fertilized_Alpha_P_C</t>
  </si>
  <si>
    <t>/PrimalNemesis/0Core/Variant/1Alpha/Pigmy/Allo/PrimalItemConsumable_Egg_Allo_Fertilized_Alpha_P.PrimalItemConsumable_Egg_Allo_Fertilized_Alpha_P</t>
  </si>
  <si>
    <t>Egg Allo Fertilized Apex</t>
  </si>
  <si>
    <t>PrimalItemConsumable_Egg_Allo_Fertilized_Apex_C</t>
  </si>
  <si>
    <t>/PrimalNemesis/0Core/Variant/2Apex/Pygmy/Allo/PrimalItemConsumable_Egg_Allo_Fertilized_Apex.PrimalItemConsumable_Egg_Allo_Fertilized_Apex</t>
  </si>
  <si>
    <t>Egg Allo Fertilized Electric</t>
  </si>
  <si>
    <t>PrimalItemConsumable_Egg_Allo_Fertilized_Electric_C</t>
  </si>
  <si>
    <t>/PrimalNemesis/1Dinos/3Elemental/Storm/Allo/PrimalItemConsumable_Egg_Allo_Fertilized_Electric.PrimalItemConsumable_Egg_Allo_Fertilized_Electric</t>
  </si>
  <si>
    <t>Egg Allo Fertilized Hydro</t>
  </si>
  <si>
    <t>PrimalItemConsumable_Egg_Allo_Fertilized_Hydro_C</t>
  </si>
  <si>
    <t>/PrimalNemesis/1Dinos/3Elemental/Hydro/Allo/PrimalItemConsumable_Egg_Allo_Fertilized_Hydro.PrimalItemConsumable_Egg_Allo_Fertilized_Hydro</t>
  </si>
  <si>
    <t>Egg Allo Fertilized Volcanic</t>
  </si>
  <si>
    <t>PrimalItemConsumable_Egg_Allo_Fertilized_Volcanic_C</t>
  </si>
  <si>
    <t>/PrimalNemesis/1Dinos/3Elemental/Volcanic/Allo/PrimalItemConsumable_Egg_Allo_Fertilized_Volcanic.PrimalItemConsumable_Egg_Allo_Fertilized_Volcanic</t>
  </si>
  <si>
    <t>Egg Ankylo Fertilized Alpha</t>
  </si>
  <si>
    <t>PrimalItemConsumable_Egg_Ankylo_Fertilized_Alpha_C</t>
  </si>
  <si>
    <t>/PrimalNemesis/1Dinos/1Alpha/Ankylosaurus/PrimalItemConsumable_Egg_Ankylo_Fertilized_Alpha.PrimalItemConsumable_Egg_Ankylo_Fertilized_Alpha</t>
  </si>
  <si>
    <t>Egg Ankylo Fertilized Alpha C</t>
  </si>
  <si>
    <t>PrimalItemConsumable_Egg_Ankylo_Fertilized_Alpha_C_C</t>
  </si>
  <si>
    <t>/PrimalNemesis/0Core/Variant/1Alpha/Colossus/Ankylosaurus/PrimalItemConsumable_Egg_Ankylo_Fertilized_Alpha_C.PrimalItemConsumable_Egg_Ankylo_Fertilized_Alpha_C</t>
  </si>
  <si>
    <t>Egg Ankylo Fertilized Alpha P</t>
  </si>
  <si>
    <t>PrimalItemConsumable_Egg_Ankylo_Fertilized_Alpha_P_C</t>
  </si>
  <si>
    <t>/PrimalNemesis/0Core/Variant/1Alpha/Pigmy/Ankylosaurus/PrimalItemConsumable_Egg_Ankylo_Fertilized_Alpha_P.PrimalItemConsumable_Egg_Ankylo_Fertilized_Alpha_P</t>
  </si>
  <si>
    <t>Egg Ankylo Fertilized Apex</t>
  </si>
  <si>
    <t>PrimalItemConsumable_Egg_Ankylo_Fertilized_Apex_C</t>
  </si>
  <si>
    <t>/PrimalNemesis/0Core/Variant/2Apex/Pygmy/Ankylosaurus/PrimalItemConsumable_Egg_Ankylo_Fertilized_Apex.PrimalItemConsumable_Egg_Ankylo_Fertilized_Apex</t>
  </si>
  <si>
    <t>Egg Ankylo Fertilized Volcanic</t>
  </si>
  <si>
    <t>PrimalItemConsumable_Egg_Ankylo_Fertilized_Volcanic_C</t>
  </si>
  <si>
    <t>/PrimalNemesis/1Dinos/3Elemental/Volcanic/Ankylosaurus/PrimalItemConsumable_Egg_Ankylo_Fertilized_Volcanic.PrimalItemConsumable_Egg_Ankylo_Fertilized_Volcanic</t>
  </si>
  <si>
    <t>Egg Archa Fertilized Alpha</t>
  </si>
  <si>
    <t>PrimalItemConsumable_Egg_Archa_Fertilized_Alpha_C</t>
  </si>
  <si>
    <t>/PrimalNemesis/1Dinos/1Alpha/Archaeopteryx/PrimalItemConsumable_Egg_Archa_Fertilized_Alpha.PrimalItemConsumable_Egg_Archa_Fertilized_Alpha</t>
  </si>
  <si>
    <t>Egg Archa Fertilized Alpha C</t>
  </si>
  <si>
    <t>PrimalItemConsumable_Egg_Archa_Fertilized_Alpha_C_C</t>
  </si>
  <si>
    <t>/PrimalNemesis/0Core/Variant/1Alpha/Colossus/Archaeopteryx/PrimalItemConsumable_Egg_Archa_Fertilized_Alpha_C.PrimalItemConsumable_Egg_Archa_Fertilized_Alpha_C</t>
  </si>
  <si>
    <t>Egg Archa Fertilized Alpha P</t>
  </si>
  <si>
    <t>PrimalItemConsumable_Egg_Archa_Fertilized_Alpha_P_C</t>
  </si>
  <si>
    <t>/PrimalNemesis/0Core/Variant/1Alpha/Pigmy/Archaeopteryx/PrimalItemConsumable_Egg_Archa_Fertilized_Alpha_P.PrimalItemConsumable_Egg_Archa_Fertilized_Alpha_P</t>
  </si>
  <si>
    <t>Egg Archa Fertilized Apex</t>
  </si>
  <si>
    <t>PrimalItemConsumable_Egg_Archa_Fertilized_Apex_C</t>
  </si>
  <si>
    <t>/PrimalNemesis/0Core/Variant/2Apex/Pygmy/Archaeopteryx/PrimalItemConsumable_Egg_Archa_Fertilized_Apex.PrimalItemConsumable_Egg_Archa_Fertilized_Apex</t>
  </si>
  <si>
    <t>Egg Argent Fertilized Alpha</t>
  </si>
  <si>
    <t>PrimalItemConsumable_Egg_Argent_Fertilized_Alpha_C</t>
  </si>
  <si>
    <t>/PrimalNemesis/1Dinos/1Alpha/Argentavis/PrimalItemConsumable_Egg_Argent_Fertilized_Alpha.PrimalItemConsumable_Egg_Argent_Fertilized_Alpha</t>
  </si>
  <si>
    <t>Egg Argent Fertilized Alpha C</t>
  </si>
  <si>
    <t>PrimalItemConsumable_Egg_Argent_Fertilized_Alpha_C_C</t>
  </si>
  <si>
    <t>/PrimalNemesis/0Core/Variant/1Alpha/Colossus/Argentavis/PrimalItemConsumable_Egg_Argent_Fertilized_Alpha_C.PrimalItemConsumable_Egg_Argent_Fertilized_Alpha_C</t>
  </si>
  <si>
    <t>Egg Argent Fertilized Alpha P</t>
  </si>
  <si>
    <t>PrimalItemConsumable_Egg_Argent_Fertilized_Alpha_P_C</t>
  </si>
  <si>
    <t>/PrimalNemesis/0Core/Variant/1Alpha/Pigmy/Argentavis/PrimalItemConsumable_Egg_Argent_Fertilized_Alpha_P.PrimalItemConsumable_Egg_Argent_Fertilized_Alpha_P</t>
  </si>
  <si>
    <t>Egg Argent Fertilized Apex</t>
  </si>
  <si>
    <t>PrimalItemConsumable_Egg_Argent_Fertilized_Apex_C</t>
  </si>
  <si>
    <t>/PrimalNemesis/0Core/Variant/2Apex/Pygmy/Argentavis/PrimalItemConsumable_Egg_Argent_Fertilized_Apex.PrimalItemConsumable_Egg_Argent_Fertilized_Apex</t>
  </si>
  <si>
    <t>Egg Argent Fertilized Celestial</t>
  </si>
  <si>
    <t>PrimalItemConsumable_Egg_Argent_Fertilized_Celestial_C</t>
  </si>
  <si>
    <t>/PrimalNemesis/1Dinos/6DemonicAndCelestial/5Celestial/Argy/PrimalItemConsumable_Egg_Argent_Fertilized_Celestial.PrimalItemConsumable_Egg_Argent_Fertilized_Celestial</t>
  </si>
  <si>
    <t>Egg Argent Fertilized Electric</t>
  </si>
  <si>
    <t>PrimalItemConsumable_Egg_Argent_Fertilized_Electric_C</t>
  </si>
  <si>
    <t>/PrimalNemesis/1Dinos/3Elemental/Storm/Argent/PrimalItemConsumable_Egg_Argent_Fertilized_Electric.PrimalItemConsumable_Egg_Argent_Fertilized_Electric</t>
  </si>
  <si>
    <t>Egg Arthro Fertilized Alpha</t>
  </si>
  <si>
    <t>PrimalItemConsumable_Egg_Arthro_Fertilized_Alpha_C</t>
  </si>
  <si>
    <t>/PrimalNemesis/1Dinos/1Alpha/Arthropluera/PrimalItemConsumable_Egg_Arthro_Fertilized_Alpha.PrimalItemConsumable_Egg_Arthro_Fertilized_Alpha</t>
  </si>
  <si>
    <t>Egg Arthro Fertilized Alpha C</t>
  </si>
  <si>
    <t>PrimalItemConsumable_Egg_Arthro_Fertilized_Alpha_C_C</t>
  </si>
  <si>
    <t>/PrimalNemesis/0Core/Variant/1Alpha/Colossus/Arthropluera/PrimalItemConsumable_Egg_Arthro_Fertilized_Alpha_C.PrimalItemConsumable_Egg_Arthro_Fertilized_Alpha_C</t>
  </si>
  <si>
    <t>Egg Arthro Fertilized Alpha P</t>
  </si>
  <si>
    <t>PrimalItemConsumable_Egg_Arthro_Fertilized_Alpha_P_C</t>
  </si>
  <si>
    <t>/PrimalNemesis/0Core/Variant/1Alpha/Pigmy/Arthropluera/PrimalItemConsumable_Egg_Arthro_Fertilized_Alpha_P.PrimalItemConsumable_Egg_Arthro_Fertilized_Alpha_P</t>
  </si>
  <si>
    <t>Egg Arthro Fertilized Apex</t>
  </si>
  <si>
    <t>PrimalItemConsumable_Egg_Arthro_Fertilized_Apex_C</t>
  </si>
  <si>
    <t>/PrimalNemesis/0Core/Variant/2Apex/Pygmy/Arthropluera/PrimalItemConsumable_Egg_Arthro_Fertilized_Apex.PrimalItemConsumable_Egg_Arthro_Fertilized_Apex</t>
  </si>
  <si>
    <t>Egg Arthro Fertilized Volcanic</t>
  </si>
  <si>
    <t>PrimalItemConsumable_Egg_Arthro_Fertilized_Volcanic_C</t>
  </si>
  <si>
    <t>/PrimalNemesis/1Dinos/3Elemental/Volcanic/Arthropluera/PrimalItemConsumable_Egg_Arthro_Fertilized_Volcanic.PrimalItemConsumable_Egg_Arthro_Fertilized_Volcanic</t>
  </si>
  <si>
    <t>Egg Baryonyx Fertilized Alpha</t>
  </si>
  <si>
    <t>PrimalItemConsumable_Egg_Baryonyx_Fertilized_Alpha_C</t>
  </si>
  <si>
    <t>/PrimalNemesis/1Dinos/1Alpha/Baryonyx/PrimalItemConsumable_Egg_Baryonyx_Fertilized_Alpha.PrimalItemConsumable_Egg_Baryonyx_Fertilized_Alpha</t>
  </si>
  <si>
    <t>Egg Baryonyx Fertilized Alpha C</t>
  </si>
  <si>
    <t>PrimalItemConsumable_Egg_Baryonyx_Fertilized_Alpha_C_C</t>
  </si>
  <si>
    <t>/PrimalNemesis/0Core/Variant/1Alpha/Colossus/Baryonyx/PrimalItemConsumable_Egg_Baryonyx_Fertilized_Alpha_C.PrimalItemConsumable_Egg_Baryonyx_Fertilized_Alpha_C</t>
  </si>
  <si>
    <t>Egg Baryonyx Fertilized Alpha P</t>
  </si>
  <si>
    <t>PrimalItemConsumable_Egg_Baryonyx_Fertilized_Alpha_P_C</t>
  </si>
  <si>
    <t>/PrimalNemesis/0Core/Variant/1Alpha/Pigmy/Baryonyx/PrimalItemConsumable_Egg_Baryonyx_Fertilized_Alpha_P.PrimalItemConsumable_Egg_Baryonyx_Fertilized_Alpha_P</t>
  </si>
  <si>
    <t>Egg Baryonyx Fertilized Apex</t>
  </si>
  <si>
    <t>PrimalItemConsumable_Egg_Baryonyx_Fertilized_Apex_C</t>
  </si>
  <si>
    <t>/PrimalNemesis/0Core/Variant/2Apex/Pygmy/Baryonyx/PrimalItemConsumable_Egg_Baryonyx_Fertilized_Apex.PrimalItemConsumable_Egg_Baryonyx_Fertilized_Apex</t>
  </si>
  <si>
    <t>Egg Baryonyx Fertilized Bionic</t>
  </si>
  <si>
    <t>PrimalItemConsumable_Egg_Baryonyx_Fertilized_Bionic_C</t>
  </si>
  <si>
    <t>/PrimalNemesis/1Dinos/5BionicAndGrenadier/Bionic/Baryonyx/PrimalItemConsumable_Egg_Baryonyx_Fertilized_Bionic.PrimalItemConsumable_Egg_Baryonyx_Fertilized_Bionic</t>
  </si>
  <si>
    <t>Egg Baryonyx Fertilized Hydro</t>
  </si>
  <si>
    <t>PrimalItemConsumable_Egg_Baryonyx_Fertilized_Hydro_C</t>
  </si>
  <si>
    <t>/PrimalNemesis/1Dinos/3Elemental/Hydro/Bary/PrimalItemConsumable_Egg_Baryonyx_Fertilized_Hydro.PrimalItemConsumable_Egg_Baryonyx_Fertilized_Hydro</t>
  </si>
  <si>
    <t>Egg Berserk Dragon Fertilized Frost</t>
  </si>
  <si>
    <t>PrimalItemConsumable_Egg_BerserkDragon_Fertilized_Frost_C</t>
  </si>
  <si>
    <t>/PrimalNemesis/1Dinos/3Elemental/Ice/Berserk_dragon/PrimalItemConsumable_Egg_BerserkDragon_Fertilized_Frost.PrimalItemConsumable_Egg_BerserkDragon_Fertilized_Frost</t>
  </si>
  <si>
    <t>Egg Bronto Fertilized Alpha</t>
  </si>
  <si>
    <t>PrimalItemConsumable_Egg_Bronto_Fertilized_Alpha_C</t>
  </si>
  <si>
    <t>/PrimalNemesis/1Dinos/1Alpha/Brontosaurus/PrimalItemConsumable_Egg_Bronto_Fertilized_Alpha.PrimalItemConsumable_Egg_Bronto_Fertilized_Alpha</t>
  </si>
  <si>
    <t>Egg Bronto Fertilized Alpha C</t>
  </si>
  <si>
    <t>PrimalItemConsumable_Egg_Bronto_Fertilized_Alpha_C_C</t>
  </si>
  <si>
    <t>/PrimalNemesis/0Core/Variant/1Alpha/Colossus/Brontosaurus/PrimalItemConsumable_Egg_Bronto_Fertilized_Alpha_C.PrimalItemConsumable_Egg_Bronto_Fertilized_Alpha_C</t>
  </si>
  <si>
    <t>Egg Bronto Fertilized Alpha P</t>
  </si>
  <si>
    <t>PrimalItemConsumable_Egg_Bronto_Fertilized_Alpha_P_C</t>
  </si>
  <si>
    <t>/PrimalNemesis/0Core/Variant/1Alpha/Pigmy/Brontosaurus/PrimalItemConsumable_Egg_Bronto_Fertilized_Alpha_P.PrimalItemConsumable_Egg_Bronto_Fertilized_Alpha_P</t>
  </si>
  <si>
    <t>Egg Bronto Fertilized Apex</t>
  </si>
  <si>
    <t>PrimalItemConsumable_Egg_Bronto_Fertilized_Apex_C</t>
  </si>
  <si>
    <t>/PrimalNemesis/0Core/Variant/2Apex/Pygmy/Brontosaurus/PrimalItemConsumable_Egg_Bronto_Fertilized_Apex.PrimalItemConsumable_Egg_Bronto_Fertilized_Apex</t>
  </si>
  <si>
    <t>Egg Bronto Fertilized Earth</t>
  </si>
  <si>
    <t>PrimalItemConsumable_Egg_Bronto_Fertilized_Earth_C</t>
  </si>
  <si>
    <t>/PrimalNemesis/1Dinos/3Elemental/Earth/Bronto/PrimalItemConsumable_Egg_Bronto_Fertilized_Earth.PrimalItemConsumable_Egg_Bronto_Fertilized_Earth</t>
  </si>
  <si>
    <t>Egg Broodmother Fertilized Frost</t>
  </si>
  <si>
    <t>PrimalItemConsumable_Egg_Broodmother_Fertilized_Frost_C</t>
  </si>
  <si>
    <t>/PrimalNemesis/1Dinos/3Elemental/Ice/Broodmother/PrimalItemConsumable_Egg_Broodmother_Fertilized_Frost.PrimalItemConsumable_Egg_Broodmother_Fertilized_Frost</t>
  </si>
  <si>
    <t>Egg Carcha Fertilized Alpha</t>
  </si>
  <si>
    <t>PrimalItemConsumable_Egg_Carcha_Fertilized_Alpha_C</t>
  </si>
  <si>
    <t>/PrimalNemesis/1Dinos/1Alpha/Carcha/PrimalItemConsumable_Egg_Carcha_Fertilized_Alpha.PrimalItemConsumable_Egg_Carcha_Fertilized_Alpha</t>
  </si>
  <si>
    <t>Egg Carcha Fertilized Alpha C</t>
  </si>
  <si>
    <t>PrimalItemConsumable_Egg_Carcha_Fertilized_Alpha_C_C</t>
  </si>
  <si>
    <t>/PrimalNemesis/0Core/Variant/1Alpha/Colossus/Carcha/PrimalItemConsumable_Egg_Carcha_Fertilized_Alpha_C.PrimalItemConsumable_Egg_Carcha_Fertilized_Alpha_C</t>
  </si>
  <si>
    <t>Egg Carcha Fertilized Alpha P</t>
  </si>
  <si>
    <t>PrimalItemConsumable_Egg_Carcha_Fertilized_Alpha_P_C</t>
  </si>
  <si>
    <t>/PrimalNemesis/0Core/Variant/1Alpha/Pigmy/Carcha/PrimalItemConsumable_Egg_Carcha_Fertilized_Alpha_P.PrimalItemConsumable_Egg_Carcha_Fertilized_Alpha_P</t>
  </si>
  <si>
    <t>Egg Carcha Fertilized Apex</t>
  </si>
  <si>
    <t>PrimalItemConsumable_Egg_Carcha_Fertilized_Apex_C</t>
  </si>
  <si>
    <t>/PrimalNemesis/0Core/Variant/2Apex/Pygmy/Carcha/PrimalItemConsumable_Egg_Carcha_Fertilized_Apex.PrimalItemConsumable_Egg_Carcha_Fertilized_Apex</t>
  </si>
  <si>
    <t>Egg Carno Fertilized Alpha</t>
  </si>
  <si>
    <t>PrimalItemConsumable_Egg_Carno_Fertilized_Alpha_C</t>
  </si>
  <si>
    <t>/PrimalNemesis/1Dinos/1Alpha/Carno/PrimalItemConsumable_Egg_Carno_Fertilized_Alpha.PrimalItemConsumable_Egg_Carno_Fertilized_Alpha</t>
  </si>
  <si>
    <t>Egg Carno Fertilized Alpha C</t>
  </si>
  <si>
    <t>PrimalItemConsumable_Egg_Carno_Fertilized_Alpha_C_C</t>
  </si>
  <si>
    <t>/PrimalNemesis/0Core/Variant/1Alpha/Colossus/Carno/PrimalItemConsumable_Egg_Carno_Fertilized_Alpha_C.PrimalItemConsumable_Egg_Carno_Fertilized_Alpha_C</t>
  </si>
  <si>
    <t>Egg Carno Fertilized Alpha P</t>
  </si>
  <si>
    <t>PrimalItemConsumable_Egg_Carno_Fertilized_Alpha_P_C</t>
  </si>
  <si>
    <t>/PrimalNemesis/0Core/Variant/1Alpha/Pigmy/Carno/PrimalItemConsumable_Egg_Carno_Fertilized_Alpha_P.PrimalItemConsumable_Egg_Carno_Fertilized_Alpha_P</t>
  </si>
  <si>
    <t>Egg Carno Fertilized Apex</t>
  </si>
  <si>
    <t>PrimalItemConsumable_Egg_Carno_Fertilized_Apex_C</t>
  </si>
  <si>
    <t>/PrimalNemesis/0Core/Variant/2Apex/Pygmy/Carno/PrimalItemConsumable_Egg_Carno_Fertilized_Apex.PrimalItemConsumable_Egg_Carno_Fertilized_Apex</t>
  </si>
  <si>
    <t>Egg Carno Fertilized Electric</t>
  </si>
  <si>
    <t>PrimalItemConsumable_Egg_Carno_Fertilized_Electric_C</t>
  </si>
  <si>
    <t>/PrimalNemesis/1Dinos/3Elemental/Storm/Carno/PrimalItemConsumable_Egg_Carno_Fertilized_Electric.PrimalItemConsumable_Egg_Carno_Fertilized_Electric</t>
  </si>
  <si>
    <t>Egg Cerato Fertilized ASA Celestial</t>
  </si>
  <si>
    <t>PrimalItemConsumable_Egg_Cerato_Fertilized_ASA_Celestial_C</t>
  </si>
  <si>
    <t>/PrimalNemesis/1Dinos/6DemonicAndCelestial/5Celestial/Cerato/PrimalItemConsumable_Egg_Cerato_Fertilized_ASA_Celestial.PrimalItemConsumable_Egg_Cerato_Fertilized_ASA_Celestial</t>
  </si>
  <si>
    <t>Egg Cherufe Fertilized Earth</t>
  </si>
  <si>
    <t>PrimalItemConsumable_Egg_Cherufe_Fertilized_Earth_C</t>
  </si>
  <si>
    <t>/PrimalNemesis/1Dinos/3Elemental/Earth/Earthosaur/PrimalItemConsumable_Egg_Cherufe_Fertilized_Earth.PrimalItemConsumable_Egg_Cherufe_Fertilized_Earth</t>
  </si>
  <si>
    <t>Egg Compy Fertilized Alpha</t>
  </si>
  <si>
    <t>PrimalItemConsumable_Egg_Compy_Fertilized_Alpha_C</t>
  </si>
  <si>
    <t>/PrimalNemesis/1Dinos/1Alpha/Compy/PrimalItemConsumable_Egg_Compy_Fertilized_Alpha.PrimalItemConsumable_Egg_Compy_Fertilized_Alpha</t>
  </si>
  <si>
    <t>Egg Compy Fertilized Alpha C</t>
  </si>
  <si>
    <t>PrimalItemConsumable_Egg_Compy_Fertilized_Alpha_C_C</t>
  </si>
  <si>
    <t>/PrimalNemesis/0Core/Variant/1Alpha/Colossus/Compy/PrimalItemConsumable_Egg_Compy_Fertilized_Alpha_C.PrimalItemConsumable_Egg_Compy_Fertilized_Alpha_C</t>
  </si>
  <si>
    <t>Egg Compy Fertilized Alpha P</t>
  </si>
  <si>
    <t>PrimalItemConsumable_Egg_Compy_Fertilized_Alpha_P_C</t>
  </si>
  <si>
    <t>/PrimalNemesis/0Core/Variant/1Alpha/Pigmy/Compy/PrimalItemConsumable_Egg_Compy_Fertilized_Alpha_P.PrimalItemConsumable_Egg_Compy_Fertilized_Alpha_P</t>
  </si>
  <si>
    <t>Egg Compy Fertilized Apex</t>
  </si>
  <si>
    <t>PrimalItemConsumable_Egg_Compy_Fertilized_Apex_C</t>
  </si>
  <si>
    <t>/PrimalNemesis/0Core/Variant/2Apex/Pygmy/Compy/PrimalItemConsumable_Egg_Compy_Fertilized_Apex.PrimalItemConsumable_Egg_Compy_Fertilized_Apex</t>
  </si>
  <si>
    <t>Egg Crab Fertilized Frost</t>
  </si>
  <si>
    <t>PrimalItemConsumable_Egg_Crab_Fertilized_Frost_C</t>
  </si>
  <si>
    <t>/PrimalNemesis/1Dinos/3Elemental/Ice/Crab/PrimalItemConsumable_Egg_Crab_Fertilized_Frost.PrimalItemConsumable_Egg_Crab_Fertilized_Frost</t>
  </si>
  <si>
    <t>Egg Croc Fertilized Atlantic</t>
  </si>
  <si>
    <t>PrimalItemConsumable_Egg_Croc_Fertilized_Atlantic_C</t>
  </si>
  <si>
    <t>/PrimalNemesis/1WaterDinos/2Atlantic/Croc/PrimalItemConsumable_Egg_Croc_Fertilized_Atlantic.PrimalItemConsumable_Egg_Croc_Fertilized_Atlantic</t>
  </si>
  <si>
    <t>Egg Croc Fertilized Pacific</t>
  </si>
  <si>
    <t>PrimalItemConsumable_Egg_Croc_Fertilized_Pacific_C</t>
  </si>
  <si>
    <t>/PrimalNemesis/1WaterDinos/1Pacific/Croc/PrimalItemConsumable_Egg_Croc_Fertilized_Pacific.PrimalItemConsumable_Egg_Croc_Fertilized_Pacific</t>
  </si>
  <si>
    <t>Egg Deino Fertilized ASA Atlantic</t>
  </si>
  <si>
    <t>PrimalItemConsumable_Egg_Deino_Fertilized_ASA_Atlantic_C</t>
  </si>
  <si>
    <t>/PrimalNemesis/1WaterDinos/2Atlantic/deino/PrimalItemConsumable_Egg_Deino_Fertilized_ASA_Atlantic.PrimalItemConsumable_Egg_Deino_Fertilized_ASA_Atlantic</t>
  </si>
  <si>
    <t>Egg Deino Fertilized ASA Pacific</t>
  </si>
  <si>
    <t>PrimalItemConsumable_Egg_Deino_Fertilized_ASA_Pacific_C</t>
  </si>
  <si>
    <t>/PrimalNemesis/1WaterDinos/1Pacific/deino/PrimalItemConsumable_Egg_Deino_Fertilized_ASA_Pacific.PrimalItemConsumable_Egg_Deino_Fertilized_ASA_Pacific</t>
  </si>
  <si>
    <t>Egg Dilo Fertilized Alpha</t>
  </si>
  <si>
    <t>PrimalItemConsumable_Egg_Dilo_Fertilized_Alpha_C</t>
  </si>
  <si>
    <t>/PrimalNemesis/1Dinos/1Alpha/Dilo/PrimalItemConsumable_Egg_Dilo_Fertilized_Alpha.PrimalItemConsumable_Egg_Dilo_Fertilized_Alpha</t>
  </si>
  <si>
    <t>Egg Dilo Fertilized Alpha C</t>
  </si>
  <si>
    <t>PrimalItemConsumable_Egg_Dilo_Fertilized_Alpha_C_C</t>
  </si>
  <si>
    <t>/PrimalNemesis/0Core/Variant/1Alpha/Colossus/Dilo/PrimalItemConsumable_Egg_Dilo_Fertilized_Alpha_C.PrimalItemConsumable_Egg_Dilo_Fertilized_Alpha_C</t>
  </si>
  <si>
    <t>Egg Dilo Fertilized Alpha P</t>
  </si>
  <si>
    <t>PrimalItemConsumable_Egg_Dilo_Fertilized_Alpha_P_C</t>
  </si>
  <si>
    <t>/PrimalNemesis/0Core/Variant/1Alpha/Pigmy/Dilo/PrimalItemConsumable_Egg_Dilo_Fertilized_Alpha_P.PrimalItemConsumable_Egg_Dilo_Fertilized_Alpha_P</t>
  </si>
  <si>
    <t>Egg Dilo Fertilized Apex</t>
  </si>
  <si>
    <t>PrimalItemConsumable_Egg_Dilo_Fertilized_Apex_C</t>
  </si>
  <si>
    <t>/PrimalNemesis/0Core/Variant/2Apex/Pygmy/Dilo/PrimalItemConsumable_Egg_Dilo_Fertilized_Apex.PrimalItemConsumable_Egg_Dilo_Fertilized_Apex</t>
  </si>
  <si>
    <t>Egg Dilo Fertilized Nature</t>
  </si>
  <si>
    <t>PrimalItemConsumable_Egg_Dilo_Fertilized_Nature_C</t>
  </si>
  <si>
    <t>/PrimalNemesis/1Dinos/3Elemental/Nature/Dilo/PrimalItemConsumable_Egg_Dilo_Fertilized_Nature.PrimalItemConsumable_Egg_Dilo_Fertilized_Nature</t>
  </si>
  <si>
    <t>Egg Dimetrodon Fertilized Alpha</t>
  </si>
  <si>
    <t>PrimalItemConsumable_Egg_Dimetrodon_Fertilized_Alpha_C</t>
  </si>
  <si>
    <t>/PrimalNemesis/1Dinos/1Alpha/Dimetrodon/PrimalItemConsumable_Egg_Dimetrodon_Fertilized_Alpha.PrimalItemConsumable_Egg_Dimetrodon_Fertilized_Alpha</t>
  </si>
  <si>
    <t>Egg Dimetrodon Fertilized Alpha C</t>
  </si>
  <si>
    <t>PrimalItemConsumable_Egg_Dimetrodon_Fertilized_Alpha_C_C</t>
  </si>
  <si>
    <t>/PrimalNemesis/0Core/Variant/1Alpha/Colossus/Dimetrodon/PrimalItemConsumable_Egg_Dimetrodon_Fertilized_Alpha_C.PrimalItemConsumable_Egg_Dimetrodon_Fertilized_Alpha_C</t>
  </si>
  <si>
    <t>Egg Dimetrodon Fertilized Alpha P</t>
  </si>
  <si>
    <t>PrimalItemConsumable_Egg_Dimetrodon_Fertilized_Alpha_P_C</t>
  </si>
  <si>
    <t>/PrimalNemesis/0Core/Variant/1Alpha/Pigmy/Dimetrodon/PrimalItemConsumable_Egg_Dimetrodon_Fertilized_Alpha_P.PrimalItemConsumable_Egg_Dimetrodon_Fertilized_Alpha_P</t>
  </si>
  <si>
    <t>Egg Dimetrodon Fertilized Apex</t>
  </si>
  <si>
    <t>PrimalItemConsumable_Egg_Dimetrodon_Fertilized_Apex_C</t>
  </si>
  <si>
    <t>/PrimalNemesis/0Core/Variant/2Apex/Pygmy/Dimetrodon/PrimalItemConsumable_Egg_Dimetrodon_Fertilized_Apex.PrimalItemConsumable_Egg_Dimetrodon_Fertilized_Apex</t>
  </si>
  <si>
    <t>Egg Dimorph Fertilized Alpha</t>
  </si>
  <si>
    <t>PrimalItemConsumable_Egg_Dimorph_Fertilized_Alpha_C</t>
  </si>
  <si>
    <t>/PrimalNemesis/1Dinos/1Alpha/Dimorphodon/PrimalItemConsumable_Egg_Dimorph_Fertilized_Alpha.PrimalItemConsumable_Egg_Dimorph_Fertilized_Alpha</t>
  </si>
  <si>
    <t>Egg Dimorph Fertilized Alpha C</t>
  </si>
  <si>
    <t>PrimalItemConsumable_Egg_Dimorph_Fertilized_Alpha_C_C</t>
  </si>
  <si>
    <t>/PrimalNemesis/0Core/Variant/1Alpha/Colossus/Dimorphodon/PrimalItemConsumable_Egg_Dimorph_Fertilized_Alpha_C.PrimalItemConsumable_Egg_Dimorph_Fertilized_Alpha_C</t>
  </si>
  <si>
    <t>Egg Dimorph Fertilized Alpha P</t>
  </si>
  <si>
    <t>PrimalItemConsumable_Egg_Dimorph_Fertilized_Alpha_P_C</t>
  </si>
  <si>
    <t>/PrimalNemesis/0Core/Variant/1Alpha/Pigmy/Dimorphodon/PrimalItemConsumable_Egg_Dimorph_Fertilized_Alpha_P.PrimalItemConsumable_Egg_Dimorph_Fertilized_Alpha_P</t>
  </si>
  <si>
    <t>Egg Dimorph Fertilized Apex</t>
  </si>
  <si>
    <t>PrimalItemConsumable_Egg_Dimorph_Fertilized_Apex_C</t>
  </si>
  <si>
    <t>/PrimalNemesis/0Core/Variant/2Apex/Pygmy/Dimorphodon/PrimalItemConsumable_Egg_Dimorph_Fertilized_Apex.PrimalItemConsumable_Egg_Dimorph_Fertilized_Apex</t>
  </si>
  <si>
    <t>Egg Diplo Fertilized Alpha</t>
  </si>
  <si>
    <t>PrimalItemConsumable_Egg_Diplo_Fertilized_Alpha_C</t>
  </si>
  <si>
    <t>/PrimalNemesis/1Dinos/1Alpha/Diplodocus/PrimalItemConsumable_Egg_Diplo_Fertilized_Alpha.PrimalItemConsumable_Egg_Diplo_Fertilized_Alpha</t>
  </si>
  <si>
    <t>Egg Diplo Fertilized Alpha C</t>
  </si>
  <si>
    <t>PrimalItemConsumable_Egg_Diplo_Fertilized_Alpha_C_C</t>
  </si>
  <si>
    <t>/PrimalNemesis/0Core/Variant/1Alpha/Colossus/Diplodocus/PrimalItemConsumable_Egg_Diplo_Fertilized_Alpha_C.PrimalItemConsumable_Egg_Diplo_Fertilized_Alpha_C</t>
  </si>
  <si>
    <t>Egg Diplo Fertilized Alpha P</t>
  </si>
  <si>
    <t>PrimalItemConsumable_Egg_Diplo_Fertilized_Alpha_P_C</t>
  </si>
  <si>
    <t>/PrimalNemesis/0Core/Variant/1Alpha/Pigmy/Diplodocus/PrimalItemConsumable_Egg_Diplo_Fertilized_Alpha_P.PrimalItemConsumable_Egg_Diplo_Fertilized_Alpha_P</t>
  </si>
  <si>
    <t>Egg Diplo Fertilized Apex</t>
  </si>
  <si>
    <t>PrimalItemConsumable_Egg_Diplo_Fertilized_Apex_C</t>
  </si>
  <si>
    <t>/PrimalNemesis/0Core/Variant/2Apex/Pygmy/Diplodocus/PrimalItemConsumable_Egg_Diplo_Fertilized_Apex.PrimalItemConsumable_Egg_Diplo_Fertilized_Apex</t>
  </si>
  <si>
    <t>Egg Dodo Fertilized Alpha</t>
  </si>
  <si>
    <t>PrimalItemConsumable_Egg_Dodo_Fertilized_Alpha_C</t>
  </si>
  <si>
    <t>/PrimalNemesis/1Dinos/1Alpha/Dodo/PrimalItemConsumable_Egg_Dodo_Fertilized_Alpha.PrimalItemConsumable_Egg_Dodo_Fertilized_Alpha</t>
  </si>
  <si>
    <t>Egg Dodo Fertilized Alpha C</t>
  </si>
  <si>
    <t>PrimalItemConsumable_Egg_Dodo_Fertilized_Alpha_C_C</t>
  </si>
  <si>
    <t>/PrimalNemesis/0Core/Variant/1Alpha/Colossus/Dodo/PrimalItemConsumable_Egg_Dodo_Fertilized_Alpha_C.PrimalItemConsumable_Egg_Dodo_Fertilized_Alpha_C</t>
  </si>
  <si>
    <t>Egg Dodo Fertilized Alpha P</t>
  </si>
  <si>
    <t>PrimalItemConsumable_Egg_Dodo_Fertilized_Alpha_P_C</t>
  </si>
  <si>
    <t>/PrimalNemesis/0Core/Variant/1Alpha/Pigmy/Dodo/PrimalItemConsumable_Egg_Dodo_Fertilized_Alpha_P.PrimalItemConsumable_Egg_Dodo_Fertilized_Alpha_P</t>
  </si>
  <si>
    <t>Egg Dodo Fertilized Apex</t>
  </si>
  <si>
    <t>PrimalItemConsumable_Egg_Dodo_Fertilized_Apex_C</t>
  </si>
  <si>
    <t>/PrimalNemesis/0Core/Variant/2Apex/Pygmy/Dodo/PrimalItemConsumable_Egg_Dodo_Fertilized_Apex.PrimalItemConsumable_Egg_Dodo_Fertilized_Apex</t>
  </si>
  <si>
    <t>Egg Dodo Fertilized Beta</t>
  </si>
  <si>
    <t>PrimalItemConsumable_Egg_Dodo_Fertilized_Beta_C</t>
  </si>
  <si>
    <t>/PrimalNemesis/1Dinos/4ADVElemental/Plague/dodo/PrimalItemConsumable_Egg_Dodo_Fertilized_Beta.PrimalItemConsumable_Egg_Dodo_Fertilized_Beta</t>
  </si>
  <si>
    <t>Egg Dodo Fertilized Nature</t>
  </si>
  <si>
    <t>PrimalItemConsumable_Egg_Dodo_Fertilized_Nature_C</t>
  </si>
  <si>
    <t>/PrimalNemesis/1Dinos/3Elemental/Nature/Dodo/PrimalItemConsumable_Egg_Dodo_Fertilized_Nature.PrimalItemConsumable_Egg_Dodo_Fertilized_Nature</t>
  </si>
  <si>
    <t>Egg Dodo Fertilized Volcanic</t>
  </si>
  <si>
    <t>PrimalItemConsumable_Egg_Dodo_Fertilized_Volcanic_C</t>
  </si>
  <si>
    <t>/PrimalNemesis/1Dinos/3Elemental/Volcanic/Dodo/PrimalItemConsumable_Egg_Dodo_Fertilized_Volcanic.PrimalItemConsumable_Egg_Dodo_Fertilized_Volcanic</t>
  </si>
  <si>
    <t>Egg Fertilized Volcanic Dragon</t>
  </si>
  <si>
    <t>PrimalItemConsumable_Egg_Fertilized_VolcanicDragon_C</t>
  </si>
  <si>
    <t>/PrimalNemesis/1Dinos/7Godly/Dragon/PrimalItemConsumable_Egg_Fertilized_VolcanicDragon.PrimalItemConsumable_Egg_Fertilized_VolcanicDragon</t>
  </si>
  <si>
    <t>Egg Galli Fertilized Alpha</t>
  </si>
  <si>
    <t>PrimalItemConsumable_Egg_Galli_Fertilized_Alpha_C</t>
  </si>
  <si>
    <t>/PrimalNemesis/1Dinos/1Alpha/Gallimimus/PrimalItemConsumable_Egg_Galli_Fertilized_Alpha.PrimalItemConsumable_Egg_Galli_Fertilized_Alpha</t>
  </si>
  <si>
    <t>Egg Galli Fertilized Alpha C</t>
  </si>
  <si>
    <t>PrimalItemConsumable_Egg_Galli_Fertilized_Alpha_C_C</t>
  </si>
  <si>
    <t>/PrimalNemesis/0Core/Variant/1Alpha/Colossus/Gallimimus/PrimalItemConsumable_Egg_Galli_Fertilized_Alpha_C.PrimalItemConsumable_Egg_Galli_Fertilized_Alpha_C</t>
  </si>
  <si>
    <t>Egg Galli Fertilized Alpha P</t>
  </si>
  <si>
    <t>PrimalItemConsumable_Egg_Galli_Fertilized_Alpha_P_C</t>
  </si>
  <si>
    <t>/PrimalNemesis/0Core/Variant/1Alpha/Pigmy/Gallimimus/PrimalItemConsumable_Egg_Galli_Fertilized_Alpha_P.PrimalItemConsumable_Egg_Galli_Fertilized_Alpha_P</t>
  </si>
  <si>
    <t>Egg Galli Fertilized Apex</t>
  </si>
  <si>
    <t>PrimalItemConsumable_Egg_Galli_Fertilized_Apex_C</t>
  </si>
  <si>
    <t>/PrimalNemesis/0Core/Variant/2Apex/Pygmy/Gallimimus/PrimalItemConsumable_Egg_Galli_Fertilized_Apex.PrimalItemConsumable_Egg_Galli_Fertilized_Apex</t>
  </si>
  <si>
    <t>Egg Gigant Fertilized Alpha</t>
  </si>
  <si>
    <t>PrimalItemConsumable_Egg_Gigant_Fertilized_Alpha_C</t>
  </si>
  <si>
    <t>/PrimalNemesis/1Dinos/1Alpha/Giga/PrimalItemConsumable_Egg_Gigant_Fertilized_Alpha.PrimalItemConsumable_Egg_Gigant_Fertilized_Alpha</t>
  </si>
  <si>
    <t>Egg Gigant Fertilized Alpha C</t>
  </si>
  <si>
    <t>PrimalItemConsumable_Egg_Gigant_Fertilized_Alpha_C_C</t>
  </si>
  <si>
    <t>/PrimalNemesis/0Core/Variant/1Alpha/Colossus/Giga/PrimalItemConsumable_Egg_Gigant_Fertilized_Alpha_C.PrimalItemConsumable_Egg_Gigant_Fertilized_Alpha_C</t>
  </si>
  <si>
    <t>Egg Gigant Fertilized Alpha P</t>
  </si>
  <si>
    <t>PrimalItemConsumable_Egg_Gigant_Fertilized_Alpha_P_C</t>
  </si>
  <si>
    <t>/PrimalNemesis/0Core/Variant/1Alpha/Pigmy/Giga/PrimalItemConsumable_Egg_Gigant_Fertilized_Alpha_P.PrimalItemConsumable_Egg_Gigant_Fertilized_Alpha_P</t>
  </si>
  <si>
    <t>Egg Gigant Fertilized Apex</t>
  </si>
  <si>
    <t>PrimalItemConsumable_Egg_Gigant_Fertilized_Apex_C</t>
  </si>
  <si>
    <t>/PrimalNemesis/0Core/Variant/2Apex/Pygmy/Giga/PrimalItemConsumable_Egg_Gigant_Fertilized_Apex.PrimalItemConsumable_Egg_Gigant_Fertilized_Apex</t>
  </si>
  <si>
    <t>Egg Gigant Fertilized Electric</t>
  </si>
  <si>
    <t>PrimalItemConsumable_Egg_Gigant_Fertilized_Electric_C</t>
  </si>
  <si>
    <t>/PrimalNemesis/1Dinos/3Elemental/Storm/Giga/PrimalItemConsumable_Egg_Gigant_Fertilized_Electric.PrimalItemConsumable_Egg_Gigant_Fertilized_Electric</t>
  </si>
  <si>
    <t>Egg Gigantoraptor Fertilized Celestial</t>
  </si>
  <si>
    <t>PrimalItemConsumable_Egg_Gigantoraptor_Fertilized_Celestial_C</t>
  </si>
  <si>
    <t>/PrimalNemesis/1Dinos/6DemonicAndCelestial/5Celestial/GigantoRaptor/PrimalItemConsumable_Egg_Gigantoraptor_Fertilized_Celestial.PrimalItemConsumable_Egg_Gigantoraptor_Fertilized_Celestial</t>
  </si>
  <si>
    <t>Egg Griffin Fertilized Demonic</t>
  </si>
  <si>
    <t>PrimalItemConsumable_Egg_Griffin_Fertilized_Demonic_C</t>
  </si>
  <si>
    <t>/PrimalNemesis/1Dinos/6DemonicAndCelestial/5Demonic/Griffin/PrimalItemConsumable_Egg_Griffin_Fertilized_Demonic.PrimalItemConsumable_Egg_Griffin_Fertilized_Demonic</t>
  </si>
  <si>
    <t>Egg Griffin Fertilized Electric</t>
  </si>
  <si>
    <t>PrimalItemConsumable_Egg_Griffin_Fertilized_Electric_C</t>
  </si>
  <si>
    <t>/PrimalNemesis/1Dinos/3Elemental/Storm/Griffin/PrimalItemConsumable_Egg_Griffin_Fertilized_Electric.PrimalItemConsumable_Egg_Griffin_Fertilized_Electric</t>
  </si>
  <si>
    <t>Egg Hesperonis Fertilized Alpha</t>
  </si>
  <si>
    <t>PrimalItemConsumable_Egg_Hesperonis_Fertilized_Alpha_C</t>
  </si>
  <si>
    <t>/PrimalNemesis/1Dinos/1Alpha/Hesperornis/PrimalItemConsumable_Egg_Hesperonis_Fertilized_Alpha.PrimalItemConsumable_Egg_Hesperonis_Fertilized_Alpha</t>
  </si>
  <si>
    <t>Egg Hesperonis Fertilized Alpha C</t>
  </si>
  <si>
    <t>PrimalItemConsumable_Egg_Hesperonis_Fertilized_Alpha_C_C</t>
  </si>
  <si>
    <t>/PrimalNemesis/0Core/Variant/1Alpha/Colossus/Hesperornis/PrimalItemConsumable_Egg_Hesperonis_Fertilized_Alpha_C.PrimalItemConsumable_Egg_Hesperonis_Fertilized_Alpha_C</t>
  </si>
  <si>
    <t>Egg Hesperonis Fertilized Alpha P</t>
  </si>
  <si>
    <t>PrimalItemConsumable_Egg_Hesperonis_Fertilized_Alpha_P_C</t>
  </si>
  <si>
    <t>/PrimalNemesis/0Core/Variant/1Alpha/Pigmy/Hesperornis/PrimalItemConsumable_Egg_Hesperonis_Fertilized_Alpha_P.PrimalItemConsumable_Egg_Hesperonis_Fertilized_Alpha_P</t>
  </si>
  <si>
    <t>Egg Hesperonis Fertilized Apex</t>
  </si>
  <si>
    <t>PrimalItemConsumable_Egg_Hesperonis_Fertilized_Apex_C</t>
  </si>
  <si>
    <t>/PrimalNemesis/0Core/Variant/2Apex/Pygmy/Hesperornis/PrimalItemConsumable_Egg_Hesperonis_Fertilized_Apex.PrimalItemConsumable_Egg_Hesperonis_Fertilized_Apex</t>
  </si>
  <si>
    <t>Egg Iguanodon Fertilized Alpha</t>
  </si>
  <si>
    <t>PrimalItemConsumable_Egg_Iguanodon_Fertilized_Alpha_C</t>
  </si>
  <si>
    <t>/PrimalNemesis/1Dinos/1Alpha/Iguanodon/PrimalItemConsumable_Egg_Iguanodon_Fertilized_Alpha.PrimalItemConsumable_Egg_Iguanodon_Fertilized_Alpha</t>
  </si>
  <si>
    <t>Egg Iguanodon Fertilized Alpha C</t>
  </si>
  <si>
    <t>PrimalItemConsumable_Egg_Iguanodon_Fertilized_Alpha_C_C</t>
  </si>
  <si>
    <t>/PrimalNemesis/0Core/Variant/1Alpha/Colossus/Iguanodon/PrimalItemConsumable_Egg_Iguanodon_Fertilized_Alpha_C.PrimalItemConsumable_Egg_Iguanodon_Fertilized_Alpha_C</t>
  </si>
  <si>
    <t>Egg Iguanodon Fertilized Alpha P</t>
  </si>
  <si>
    <t>PrimalItemConsumable_Egg_Iguanodon_Fertilized_Alpha_P_C</t>
  </si>
  <si>
    <t>/PrimalNemesis/0Core/Variant/1Alpha/Pigmy/Iguanodon/PrimalItemConsumable_Egg_Iguanodon_Fertilized_Alpha_P.PrimalItemConsumable_Egg_Iguanodon_Fertilized_Alpha_P</t>
  </si>
  <si>
    <t>Egg Iguanodon Fertilized Apex</t>
  </si>
  <si>
    <t>PrimalItemConsumable_Egg_Iguanodon_Fertilized_Apex_C</t>
  </si>
  <si>
    <t>/PrimalNemesis/0Core/Variant/2Apex/Pygmy/Iguanodon/PrimalItemConsumable_Egg_Iguanodon_Fertilized_Apex.PrimalItemConsumable_Egg_Iguanodon_Fertilized_Apex</t>
  </si>
  <si>
    <t>Egg Kairuku Fertilized Alpha</t>
  </si>
  <si>
    <t>PrimalItemConsumable_Egg_Kairuku_Fertilized_Alpha_C</t>
  </si>
  <si>
    <t>/PrimalNemesis/1Dinos/1Alpha/Kairuku/PrimalItemConsumable_Egg_Kairuku_Fertilized_Alpha.PrimalItemConsumable_Egg_Kairuku_Fertilized_Alpha</t>
  </si>
  <si>
    <t>Egg Kairuku Fertilized Alpha C</t>
  </si>
  <si>
    <t>PrimalItemConsumable_Egg_Kairuku_Fertilized_Alpha_C_C</t>
  </si>
  <si>
    <t>/PrimalNemesis/0Core/Variant/1Alpha/Colossus/Kairuku/PrimalItemConsumable_Egg_Kairuku_Fertilized_Alpha_C.PrimalItemConsumable_Egg_Kairuku_Fertilized_Alpha_C</t>
  </si>
  <si>
    <t>Egg Kairuku Fertilized Alpha P</t>
  </si>
  <si>
    <t>PrimalItemConsumable_Egg_Kairuku_Fertilized_Alpha_P_C</t>
  </si>
  <si>
    <t>/PrimalNemesis/0Core/Variant/1Alpha/Pigmy/Kairuku/PrimalItemConsumable_Egg_Kairuku_Fertilized_Alpha_P.PrimalItemConsumable_Egg_Kairuku_Fertilized_Alpha_P</t>
  </si>
  <si>
    <t>Egg Kairuku Fertilized Apex</t>
  </si>
  <si>
    <t>PrimalItemConsumable_Egg_Kairuku_Fertilized_Apex_C</t>
  </si>
  <si>
    <t>/PrimalNemesis/0Core/Variant/2Apex/Pygmy/Kairuku/PrimalItemConsumable_Egg_Kairuku_Fertilized_Apex.PrimalItemConsumable_Egg_Kairuku_Fertilized_Apex</t>
  </si>
  <si>
    <t>Egg Kairuku Fertilized Hydro</t>
  </si>
  <si>
    <t>PrimalItemConsumable_Egg_Kairuku_Fertilized_Hydro_C</t>
  </si>
  <si>
    <t>/PrimalNemesis/1Dinos/3Elemental/Hydro/Kairuku/PrimalItemConsumable_Egg_Kairuku_Fertilized_Hydro.PrimalItemConsumable_Egg_Kairuku_Fertilized_Hydro</t>
  </si>
  <si>
    <t>Egg Kaprosuchus Fertilized Alpha</t>
  </si>
  <si>
    <t>PrimalItemConsumable_Egg_Kaprosuchus_Fertilized_Alpha_C</t>
  </si>
  <si>
    <t>/PrimalNemesis/1Dinos/1Alpha/Kaprosuchus/PrimalItemConsumable_Egg_Kaprosuchus_Fertilized_Alpha.PrimalItemConsumable_Egg_Kaprosuchus_Fertilized_Alpha</t>
  </si>
  <si>
    <t>Egg Kaprosuchus Fertilized Alpha C</t>
  </si>
  <si>
    <t>PrimalItemConsumable_Egg_Kaprosuchus_Fertilized_Alpha_C_C</t>
  </si>
  <si>
    <t>/PrimalNemesis/0Core/Variant/1Alpha/Colossus/Kaprosuchus/PrimalItemConsumable_Egg_Kaprosuchus_Fertilized_Alpha_C.PrimalItemConsumable_Egg_Kaprosuchus_Fertilized_Alpha_C</t>
  </si>
  <si>
    <t>Egg Kaprosuchus Fertilized Alpha P</t>
  </si>
  <si>
    <t>PrimalItemConsumable_Egg_Kaprosuchus_Fertilized_Alpha_P_C</t>
  </si>
  <si>
    <t>/PrimalNemesis/0Core/Variant/1Alpha/Pigmy/Kaprosuchus/PrimalItemConsumable_Egg_Kaprosuchus_Fertilized_Alpha_P.PrimalItemConsumable_Egg_Kaprosuchus_Fertilized_Alpha_P</t>
  </si>
  <si>
    <t>Egg Kaprosuchus Fertilized Apex</t>
  </si>
  <si>
    <t>PrimalItemConsumable_Egg_Kaprosuchus_Fertilized_Apex_C</t>
  </si>
  <si>
    <t>/PrimalNemesis/0Core/Variant/2Apex/Pygmy/Kaprosuchus/PrimalItemConsumable_Egg_Kaprosuchus_Fertilized_Apex.PrimalItemConsumable_Egg_Kaprosuchus_Fertilized_Apex</t>
  </si>
  <si>
    <t>Egg Kaprosuchus Fertilized Atlantic</t>
  </si>
  <si>
    <t>PrimalItemConsumable_Egg_Kaprosuchus_Fertilized_Atlantic_C</t>
  </si>
  <si>
    <t>/PrimalNemesis/1WaterDinos/2Atlantic/Kapro/PrimalItemConsumable_Egg_Kaprosuchus_Fertilized_Atlantic.PrimalItemConsumable_Egg_Kaprosuchus_Fertilized_Atlantic</t>
  </si>
  <si>
    <t>Egg Kaprosuchus Fertilized Hydro</t>
  </si>
  <si>
    <t>PrimalItemConsumable_Egg_Kaprosuchus_Fertilized_Hydro_C</t>
  </si>
  <si>
    <t>/PrimalNemesis/1Dinos/3Elemental/Hydro/Kapro/PrimalItemConsumable_Egg_Kaprosuchus_Fertilized_Hydro.PrimalItemConsumable_Egg_Kaprosuchus_Fertilized_Hydro</t>
  </si>
  <si>
    <t>Egg Kaprosuchus Fertilized Pacific</t>
  </si>
  <si>
    <t>PrimalItemConsumable_Egg_Kaprosuchus_Fertilized_Pacific_C</t>
  </si>
  <si>
    <t>/PrimalNemesis/1WaterDinos/1Pacific/Kapro/PrimalItemConsumable_Egg_Kaprosuchus_Fertilized_Pacific.PrimalItemConsumable_Egg_Kaprosuchus_Fertilized_Pacific</t>
  </si>
  <si>
    <t>Egg Kentro Fertilized Alpha</t>
  </si>
  <si>
    <t>PrimalItemConsumable_Egg_Kentro_Fertilized_Alpha_C</t>
  </si>
  <si>
    <t>/PrimalNemesis/1Dinos/1Alpha/Kentro/PrimalItemConsumable_Egg_Kentro_Fertilized_Alpha.PrimalItemConsumable_Egg_Kentro_Fertilized_Alpha</t>
  </si>
  <si>
    <t>Egg Kentro Fertilized Alpha C</t>
  </si>
  <si>
    <t>PrimalItemConsumable_Egg_Kentro_Fertilized_Alpha_C_C</t>
  </si>
  <si>
    <t>/PrimalNemesis/0Core/Variant/1Alpha/Colossus/Kentro/PrimalItemConsumable_Egg_Kentro_Fertilized_Alpha_C.PrimalItemConsumable_Egg_Kentro_Fertilized_Alpha_C</t>
  </si>
  <si>
    <t>Egg Kentro Fertilized Alpha P</t>
  </si>
  <si>
    <t>PrimalItemConsumable_Egg_Kentro_Fertilized_Alpha_P_C</t>
  </si>
  <si>
    <t>/PrimalNemesis/0Core/Variant/1Alpha/Pigmy/Kentro/PrimalItemConsumable_Egg_Kentro_Fertilized_Alpha_P.PrimalItemConsumable_Egg_Kentro_Fertilized_Alpha_P</t>
  </si>
  <si>
    <t>Egg Kentro Fertilized Apex</t>
  </si>
  <si>
    <t>PrimalItemConsumable_Egg_Kentro_Fertilized_Apex_C</t>
  </si>
  <si>
    <t>/PrimalNemesis/0Core/Variant/2Apex/Pygmy/Kentro/PrimalItemConsumable_Egg_Kentro_Fertilized_Apex.PrimalItemConsumable_Egg_Kentro_Fertilized_Apex</t>
  </si>
  <si>
    <t>Egg Lantern Bird Fertilized Celestial</t>
  </si>
  <si>
    <t>PrimalItemConsumable_Egg_LanternBird_Fertilized_Celestial_C</t>
  </si>
  <si>
    <t>/PrimalNemesis/1Dinos/6DemonicAndCelestial/5Celestial/Featherlight/PrimalItemConsumable_Egg_LanternBird_Fertilized_Celestial.PrimalItemConsumable_Egg_LanternBird_Fertilized_Celestial</t>
  </si>
  <si>
    <t>Egg Lystro Fertilized Alpha</t>
  </si>
  <si>
    <t>PrimalItemConsumable_Egg_Lystro_Fertilized_Alpha_C</t>
  </si>
  <si>
    <t>/PrimalNemesis/1Dinos/1Alpha/Lystro/PrimalItemConsumable_Egg_Lystro_Fertilized_Alpha.PrimalItemConsumable_Egg_Lystro_Fertilized_Alpha</t>
  </si>
  <si>
    <t>Egg Lystro Fertilized Alpha C</t>
  </si>
  <si>
    <t>PrimalItemConsumable_Egg_Lystro_Fertilized_Alpha_C_C</t>
  </si>
  <si>
    <t>/PrimalNemesis/0Core/Variant/1Alpha/Colossus/Lystro/PrimalItemConsumable_Egg_Lystro_Fertilized_Alpha_C.PrimalItemConsumable_Egg_Lystro_Fertilized_Alpha_C</t>
  </si>
  <si>
    <t>Egg Lystro Fertilized Alpha P</t>
  </si>
  <si>
    <t>PrimalItemConsumable_Egg_Lystro_Fertilized_Alpha_P_C</t>
  </si>
  <si>
    <t>/PrimalNemesis/0Core/Variant/1Alpha/Pigmy/Lystro/PrimalItemConsumable_Egg_Lystro_Fertilized_Alpha_P.PrimalItemConsumable_Egg_Lystro_Fertilized_Alpha_P</t>
  </si>
  <si>
    <t>Egg Lystro Fertilized Apex</t>
  </si>
  <si>
    <t>PrimalItemConsumable_Egg_Lystro_Fertilized_Apex_C</t>
  </si>
  <si>
    <t>/PrimalNemesis/0Core/Variant/2Apex/Pygmy/Lystro/PrimalItemConsumable_Egg_Lystro_Fertilized_Apex.PrimalItemConsumable_Egg_Lystro_Fertilized_Apex</t>
  </si>
  <si>
    <t>Egg Megalania Fertilized Alpha</t>
  </si>
  <si>
    <t>PrimalItemConsumable_Egg_Megalania_Fertilized_Alpha_C</t>
  </si>
  <si>
    <t>/PrimalNemesis/1Dinos/1Alpha/Megalania/PrimalItemConsumable_Egg_Megalania_Fertilized_Alpha.PrimalItemConsumable_Egg_Megalania_Fertilized_Alpha</t>
  </si>
  <si>
    <t>Egg Megalania Fertilized Alpha C</t>
  </si>
  <si>
    <t>PrimalItemConsumable_Egg_Megalania_Fertilized_Alpha_C_C</t>
  </si>
  <si>
    <t>/PrimalNemesis/0Core/Variant/1Alpha/Colossus/Megalania/PrimalItemConsumable_Egg_Megalania_Fertilized_Alpha_C.PrimalItemConsumable_Egg_Megalania_Fertilized_Alpha_C</t>
  </si>
  <si>
    <t>Egg Megalania Fertilized Alpha P</t>
  </si>
  <si>
    <t>PrimalItemConsumable_Egg_Megalania_Fertilized_Alpha_P_C</t>
  </si>
  <si>
    <t>/PrimalNemesis/0Core/Variant/1Alpha/Pigmy/Megalania/PrimalItemConsumable_Egg_Megalania_Fertilized_Alpha_P.PrimalItemConsumable_Egg_Megalania_Fertilized_Alpha_P</t>
  </si>
  <si>
    <t>Egg Megalania Fertilized Apex</t>
  </si>
  <si>
    <t>PrimalItemConsumable_Egg_Megalania_Fertilized_Apex_C</t>
  </si>
  <si>
    <t>/PrimalNemesis/0Core/Variant/2Apex/Pygmy/Megalania/PrimalItemConsumable_Egg_Megalania_Fertilized_Apex.PrimalItemConsumable_Egg_Megalania_Fertilized_Apex</t>
  </si>
  <si>
    <t>Egg Megalosaurus Fertilized Alpha</t>
  </si>
  <si>
    <t>PrimalItemConsumable_Egg_Megalosaurus_Fertilized_Alpha_C</t>
  </si>
  <si>
    <t>/PrimalNemesis/1Dinos/1Alpha/Megalo/PrimalItemConsumable_Egg_Megalosaurus_Fertilized_Alpha.PrimalItemConsumable_Egg_Megalosaurus_Fertilized_Alpha</t>
  </si>
  <si>
    <t>Egg Megalosaurus Fertilized Alpha C</t>
  </si>
  <si>
    <t>PrimalItemConsumable_Egg_Megalosaurus_Fertilized_Alpha_C_C</t>
  </si>
  <si>
    <t>/PrimalNemesis/0Core/Variant/1Alpha/Colossus/Megalo/PrimalItemConsumable_Egg_Megalosaurus_Fertilized_Alpha_C.PrimalItemConsumable_Egg_Megalosaurus_Fertilized_Alpha_C</t>
  </si>
  <si>
    <t>Egg Megalosaurus Fertilized Alpha P</t>
  </si>
  <si>
    <t>PrimalItemConsumable_Egg_Megalosaurus_Fertilized_Alpha_P_C</t>
  </si>
  <si>
    <t>/PrimalNemesis/0Core/Variant/1Alpha/Pigmy/Megalo/PrimalItemConsumable_Egg_Megalosaurus_Fertilized_Alpha_P.PrimalItemConsumable_Egg_Megalosaurus_Fertilized_Alpha_P</t>
  </si>
  <si>
    <t>Egg Megalosaurus Fertilized Apex</t>
  </si>
  <si>
    <t>PrimalItemConsumable_Egg_Megalosaurus_Fertilized_Apex_C</t>
  </si>
  <si>
    <t>/PrimalNemesis/0Core/Variant/2Apex/Pygmy/Megalo/PrimalItemConsumable_Egg_Megalosaurus_Fertilized_Apex.PrimalItemConsumable_Egg_Megalosaurus_Fertilized_Apex</t>
  </si>
  <si>
    <t>Egg Moschops Fertilized Alpha</t>
  </si>
  <si>
    <t>PrimalItemConsumable_Egg_Moschops_Fertilized_Alpha_C</t>
  </si>
  <si>
    <t>/PrimalNemesis/1Dinos/1Alpha/Moschops/PrimalItemConsumable_Egg_Moschops_Fertilized_Alpha.PrimalItemConsumable_Egg_Moschops_Fertilized_Alpha</t>
  </si>
  <si>
    <t>Egg Moschops Fertilized Alpha C</t>
  </si>
  <si>
    <t>PrimalItemConsumable_Egg_Moschops_Fertilized_Alpha_C_C</t>
  </si>
  <si>
    <t>/PrimalNemesis/0Core/Variant/1Alpha/Colossus/Moschops/PrimalItemConsumable_Egg_Moschops_Fertilized_Alpha_C.PrimalItemConsumable_Egg_Moschops_Fertilized_Alpha_C</t>
  </si>
  <si>
    <t>Egg Moschops Fertilized Alpha P</t>
  </si>
  <si>
    <t>PrimalItemConsumable_Egg_Moschops_Fertilized_Alpha_P_C</t>
  </si>
  <si>
    <t>/PrimalNemesis/0Core/Variant/1Alpha/Pigmy/Moschops/PrimalItemConsumable_Egg_Moschops_Fertilized_Alpha_P.PrimalItemConsumable_Egg_Moschops_Fertilized_Alpha_P</t>
  </si>
  <si>
    <t>Egg Moschops Fertilized Apex</t>
  </si>
  <si>
    <t>PrimalItemConsumable_Egg_Moschops_Fertilized_Apex_C</t>
  </si>
  <si>
    <t>/PrimalNemesis/0Core/Variant/2Apex/Pygmy/Moschops/PrimalItemConsumable_Egg_Moschops_Fertilized_Apex.PrimalItemConsumable_Egg_Moschops_Fertilized_Apex</t>
  </si>
  <si>
    <t>Egg Moth Fertilized Nature</t>
  </si>
  <si>
    <t>PrimalItemConsumable_Egg_Moth_Fertilized_Nature_C</t>
  </si>
  <si>
    <t>/PrimalNemesis/1Dinos/3Elemental/Nature/Lymantria/PrimalItemConsumable_Egg_Moth_Fertilized_Nature.PrimalItemConsumable_Egg_Moth_Fertilized_Nature</t>
  </si>
  <si>
    <t>Egg Oviraptor Fertilized Alpha</t>
  </si>
  <si>
    <t>PrimalItemConsumable_Egg_Oviraptor_Fertilized_Alpha_C</t>
  </si>
  <si>
    <t>/PrimalNemesis/1Dinos/1Alpha/Oviraptor/PrimalItemConsumable_Egg_Oviraptor_Fertilized_Alpha.PrimalItemConsumable_Egg_Oviraptor_Fertilized_Alpha</t>
  </si>
  <si>
    <t>Egg Oviraptor Fertilized Alpha C</t>
  </si>
  <si>
    <t>PrimalItemConsumable_Egg_Oviraptor_Fertilized_Alpha_C_C</t>
  </si>
  <si>
    <t>/PrimalNemesis/0Core/Variant/1Alpha/Colossus/Oviraptor/PrimalItemConsumable_Egg_Oviraptor_Fertilized_Alpha_C.PrimalItemConsumable_Egg_Oviraptor_Fertilized_Alpha_C</t>
  </si>
  <si>
    <t>Egg Oviraptor Fertilized Alpha P</t>
  </si>
  <si>
    <t>PrimalItemConsumable_Egg_Oviraptor_Fertilized_Alpha_P_C</t>
  </si>
  <si>
    <t>/PrimalNemesis/0Core/Variant/1Alpha/Pigmy/Oviraptor/PrimalItemConsumable_Egg_Oviraptor_Fertilized_Alpha_P.PrimalItemConsumable_Egg_Oviraptor_Fertilized_Alpha_P</t>
  </si>
  <si>
    <t>Egg Oviraptor Fertilized Apex</t>
  </si>
  <si>
    <t>PrimalItemConsumable_Egg_Oviraptor_Fertilized_Apex_C</t>
  </si>
  <si>
    <t>/PrimalNemesis/0Core/Variant/2Apex/Pygmy/Oviraptor/PrimalItemConsumable_Egg_Oviraptor_Fertilized_Apex.PrimalItemConsumable_Egg_Oviraptor_Fertilized_Apex</t>
  </si>
  <si>
    <t>Egg Pachy Fertilized Alpha</t>
  </si>
  <si>
    <t>PrimalItemConsumable_Egg_Pachy_Fertilized_Alpha_C</t>
  </si>
  <si>
    <t>/PrimalNemesis/0Core/Variant/1Alpha/Pigmy/Pachy/PrimalItemConsumable_Egg_Pachy_Fertilized_Alpha.PrimalItemConsumable_Egg_Pachy_Fertilized_Alpha</t>
  </si>
  <si>
    <t>Egg Pachy Fertilized Apex</t>
  </si>
  <si>
    <t>PrimalItemConsumable_Egg_Pachy_Fertilized_Apex_C</t>
  </si>
  <si>
    <t>/PrimalNemesis/0Core/Variant/2Apex/Pygmy/Pachy/PrimalItemConsumable_Egg_Pachy_Fertilized_Apex.PrimalItemConsumable_Egg_Pachy_Fertilized_Apex</t>
  </si>
  <si>
    <t>Egg Pachy Fertilized Earth</t>
  </si>
  <si>
    <t>PrimalItemConsumable_Egg_Pachy_Fertilized_Earth_C</t>
  </si>
  <si>
    <t>/PrimalNemesis/1Dinos/3Elemental/Earth/Pachy/PrimalItemConsumable_Egg_Pachy_Fertilized_Earth.PrimalItemConsumable_Egg_Pachy_Fertilized_Earth</t>
  </si>
  <si>
    <t>Egg Pachy Rhino Fertilized Alpha</t>
  </si>
  <si>
    <t>PrimalItemConsumable_Egg_PachyRhino_Fertilized_Alpha_C</t>
  </si>
  <si>
    <t>/PrimalNemesis/1Dinos/1Alpha/Pachyrhino/PrimalItemConsumable_Egg_PachyRhino_Fertilized_Alpha.PrimalItemConsumable_Egg_PachyRhino_Fertilized_Alpha</t>
  </si>
  <si>
    <t>Egg Pachy Rhino Fertilized Alpha C</t>
  </si>
  <si>
    <t>PrimalItemConsumable_Egg_PachyRhino_Fertilized_Alpha_C_C</t>
  </si>
  <si>
    <t>/PrimalNemesis/0Core/Variant/1Alpha/Colossus/Pachyrhino/PrimalItemConsumable_Egg_PachyRhino_Fertilized_Alpha_C.PrimalItemConsumable_Egg_PachyRhino_Fertilized_Alpha_C</t>
  </si>
  <si>
    <t>Egg Pachy Rhino Fertilized Alpha P</t>
  </si>
  <si>
    <t>PrimalItemConsumable_Egg_PachyRhino_Fertilized_Alpha_P_C</t>
  </si>
  <si>
    <t>/PrimalNemesis/0Core/Variant/1Alpha/Pigmy/Pachyrhino/PrimalItemConsumable_Egg_PachyRhino_Fertilized_Alpha_P.PrimalItemConsumable_Egg_PachyRhino_Fertilized_Alpha_P</t>
  </si>
  <si>
    <t>Egg Pachy Rhino Fertilized Apex</t>
  </si>
  <si>
    <t>PrimalItemConsumable_Egg_PachyRhino_Fertilized_Apex_C</t>
  </si>
  <si>
    <t>/PrimalNemesis/0Core/Variant/2Apex/Pygmy/Pachyrhino/PrimalItemConsumable_Egg_PachyRhino_Fertilized_Apex.PrimalItemConsumable_Egg_PachyRhino_Fertilized_Apex</t>
  </si>
  <si>
    <t>Egg Para Fertilized Alpha</t>
  </si>
  <si>
    <t>PrimalItemConsumable_Egg_Para_Fertilized_Alpha_C</t>
  </si>
  <si>
    <t>/PrimalNemesis/1Dinos/1Alpha/Parasaur/PrimalItemConsumable_Egg_Para_Fertilized_Alpha.PrimalItemConsumable_Egg_Para_Fertilized_Alpha</t>
  </si>
  <si>
    <t>Egg Para Fertilized Alpha C</t>
  </si>
  <si>
    <t>PrimalItemConsumable_Egg_Para_Fertilized_Alpha_C_C</t>
  </si>
  <si>
    <t>/PrimalNemesis/0Core/Variant/1Alpha/Colossus/Parasaur/PrimalItemConsumable_Egg_Para_Fertilized_Alpha_C.PrimalItemConsumable_Egg_Para_Fertilized_Alpha_C</t>
  </si>
  <si>
    <t>Egg Para Fertilized Alpha P</t>
  </si>
  <si>
    <t>PrimalItemConsumable_Egg_Para_Fertilized_Alpha_P_C</t>
  </si>
  <si>
    <t>/PrimalNemesis/0Core/Variant/1Alpha/Pigmy/Parasaur/PrimalItemConsumable_Egg_Para_Fertilized_Alpha_P.PrimalItemConsumable_Egg_Para_Fertilized_Alpha_P</t>
  </si>
  <si>
    <t>Egg Para Fertilized Apex</t>
  </si>
  <si>
    <t>PrimalItemConsumable_Egg_Para_Fertilized_Apex_C</t>
  </si>
  <si>
    <t>/PrimalNemesis/0Core/Variant/2Apex/Pygmy/Parasaur/PrimalItemConsumable_Egg_Para_Fertilized_Apex.PrimalItemConsumable_Egg_Para_Fertilized_Apex</t>
  </si>
  <si>
    <t>Egg Pegasus Fertilized Celestial</t>
  </si>
  <si>
    <t>PrimalItemConsumable_Egg_Pegasus_Fertilized_Celestial_C</t>
  </si>
  <si>
    <t>/PrimalNemesis/1Dinos/6DemonicAndCelestial/5Celestial/Pegasus/PrimalItemConsumable_Egg_Pegasus_Fertilized_Celestial.PrimalItemConsumable_Egg_Pegasus_Fertilized_Celestial</t>
  </si>
  <si>
    <t>Egg Pegomastax Fertilized Alpha</t>
  </si>
  <si>
    <t>PrimalItemConsumable_Egg_Pegomastax_Fertilized_Alpha_C</t>
  </si>
  <si>
    <t>/PrimalNemesis/1Dinos/1Alpha/Pegomastax/PrimalItemConsumable_Egg_Pegomastax_Fertilized_Alpha.PrimalItemConsumable_Egg_Pegomastax_Fertilized_Alpha</t>
  </si>
  <si>
    <t>Egg Pegomastax Fertilized Alpha C</t>
  </si>
  <si>
    <t>PrimalItemConsumable_Egg_Pegomastax_Fertilized_Alpha_C_C</t>
  </si>
  <si>
    <t>/PrimalNemesis/0Core/Variant/1Alpha/Colossus/Pegomastax/PrimalItemConsumable_Egg_Pegomastax_Fertilized_Alpha_C.PrimalItemConsumable_Egg_Pegomastax_Fertilized_Alpha_C</t>
  </si>
  <si>
    <t>Egg Pegomastax Fertilized Alpha P</t>
  </si>
  <si>
    <t>PrimalItemConsumable_Egg_Pegomastax_Fertilized_Alpha_P_C</t>
  </si>
  <si>
    <t>/PrimalNemesis/0Core/Variant/1Alpha/Pigmy/Pegomastax/PrimalItemConsumable_Egg_Pegomastax_Fertilized_Alpha_P.PrimalItemConsumable_Egg_Pegomastax_Fertilized_Alpha_P</t>
  </si>
  <si>
    <t>Egg Pegomastax Fertilized Apex</t>
  </si>
  <si>
    <t>PrimalItemConsumable_Egg_Pegomastax_Fertilized_Apex_C</t>
  </si>
  <si>
    <t>/PrimalNemesis/0Core/Variant/2Apex/Pygmy/Pegomastax/PrimalItemConsumable_Egg_Pegomastax_Fertilized_Apex.PrimalItemConsumable_Egg_Pegomastax_Fertilized_Apex</t>
  </si>
  <si>
    <t>Egg Pela Fertilized Alpha</t>
  </si>
  <si>
    <t>PrimalItemConsumable_Egg_Pela_Fertilized_Alpha_C</t>
  </si>
  <si>
    <t>/PrimalNemesis/1Dinos/1Alpha/Pelagornis/PrimalItemConsumable_Egg_Pela_Fertilized_Alpha.PrimalItemConsumable_Egg_Pela_Fertilized_Alpha</t>
  </si>
  <si>
    <t>Egg Pela Fertilized Alpha C</t>
  </si>
  <si>
    <t>PrimalItemConsumable_Egg_Pela_Fertilized_Alpha_C_C</t>
  </si>
  <si>
    <t>/PrimalNemesis/0Core/Variant/1Alpha/Colossus/Pelagornis/PrimalItemConsumable_Egg_Pela_Fertilized_Alpha_C.PrimalItemConsumable_Egg_Pela_Fertilized_Alpha_C</t>
  </si>
  <si>
    <t>Egg Pela Fertilized Alpha P</t>
  </si>
  <si>
    <t>PrimalItemConsumable_Egg_Pela_Fertilized_Alpha_P_C</t>
  </si>
  <si>
    <t>/PrimalNemesis/0Core/Variant/1Alpha/Pigmy/Pelagornis/PrimalItemConsumable_Egg_Pela_Fertilized_Alpha_P.PrimalItemConsumable_Egg_Pela_Fertilized_Alpha_P</t>
  </si>
  <si>
    <t>Egg Pela Fertilized Apex</t>
  </si>
  <si>
    <t>PrimalItemConsumable_Egg_Pela_Fertilized_Apex_C</t>
  </si>
  <si>
    <t>/PrimalNemesis/0Core/Variant/2Apex/Pygmy/Pelagornis/PrimalItemConsumable_Egg_Pela_Fertilized_Apex.PrimalItemConsumable_Egg_Pela_Fertilized_Apex</t>
  </si>
  <si>
    <t>Egg Ptero Fertilized Alpha</t>
  </si>
  <si>
    <t>PrimalItemConsumable_Egg_Ptero_Fertilized_Alpha_C</t>
  </si>
  <si>
    <t>/PrimalNemesis/1Dinos/1Alpha/Ptera/PrimalItemConsumable_Egg_Ptero_Fertilized_Alpha.PrimalItemConsumable_Egg_Ptero_Fertilized_Alpha</t>
  </si>
  <si>
    <t>Egg Ptero Fertilized Alpha C</t>
  </si>
  <si>
    <t>PrimalItemConsumable_Egg_Ptero_Fertilized_Alpha_C_C</t>
  </si>
  <si>
    <t>/PrimalNemesis/0Core/Variant/1Alpha/Colossus/Ptera/PrimalItemConsumable_Egg_Ptero_Fertilized_Alpha_C.PrimalItemConsumable_Egg_Ptero_Fertilized_Alpha_C</t>
  </si>
  <si>
    <t>Egg Ptero Fertilized Alpha P</t>
  </si>
  <si>
    <t>PrimalItemConsumable_Egg_Ptero_Fertilized_Alpha_P_C</t>
  </si>
  <si>
    <t>/PrimalNemesis/0Core/Variant/1Alpha/Pigmy/Ptera/PrimalItemConsumable_Egg_Ptero_Fertilized_Alpha_P.PrimalItemConsumable_Egg_Ptero_Fertilized_Alpha_P</t>
  </si>
  <si>
    <t>Egg Ptero Fertilized Apex</t>
  </si>
  <si>
    <t>PrimalItemConsumable_Egg_Ptero_Fertilized_Apex_C</t>
  </si>
  <si>
    <t>/PrimalNemesis/0Core/Variant/2Apex/Pygmy/Ptera/PrimalItemConsumable_Egg_Ptero_Fertilized_Apex.PrimalItemConsumable_Egg_Ptero_Fertilized_Apex</t>
  </si>
  <si>
    <t>Egg Ptero Fertilized Nature</t>
  </si>
  <si>
    <t>PrimalItemConsumable_Egg_Ptero_Fertilized_Nature_C</t>
  </si>
  <si>
    <t>/PrimalNemesis/1Dinos/3Elemental/Nature/Pteradon/PrimalItemConsumable_Egg_Ptero_Fertilized_Nature.PrimalItemConsumable_Egg_Ptero_Fertilized_Nature</t>
  </si>
  <si>
    <t>Egg Quetz Fertilized Alpha</t>
  </si>
  <si>
    <t>PrimalItemConsumable_Egg_Quetz_Fertilized_Alpha_C</t>
  </si>
  <si>
    <t>/PrimalNemesis/1Dinos/1Alpha/Quetzal/PrimalItemConsumable_Egg_Quetz_Fertilized_Alpha.PrimalItemConsumable_Egg_Quetz_Fertilized_Alpha</t>
  </si>
  <si>
    <t>Egg Quetz Fertilized Alpha C</t>
  </si>
  <si>
    <t>PrimalItemConsumable_Egg_Quetz_Fertilized_Alpha_C_C</t>
  </si>
  <si>
    <t>/PrimalNemesis/0Core/Variant/1Alpha/Colossus/Quetzal/PrimalItemConsumable_Egg_Quetz_Fertilized_Alpha_C.PrimalItemConsumable_Egg_Quetz_Fertilized_Alpha_C</t>
  </si>
  <si>
    <t>Egg Quetz Fertilized Alpha P</t>
  </si>
  <si>
    <t>PrimalItemConsumable_Egg_Quetz_Fertilized_Alpha_P_C</t>
  </si>
  <si>
    <t>/PrimalNemesis/0Core/Variant/1Alpha/Pigmy/Quetzal/PrimalItemConsumable_Egg_Quetz_Fertilized_Alpha_P.PrimalItemConsumable_Egg_Quetz_Fertilized_Alpha_P</t>
  </si>
  <si>
    <t>Egg Quetz Fertilized Apex</t>
  </si>
  <si>
    <t>PrimalItemConsumable_Egg_Quetz_Fertilized_Apex_C</t>
  </si>
  <si>
    <t>/PrimalNemesis/0Core/Variant/2Apex/Pygmy/Quetzal/PrimalItemConsumable_Egg_Quetz_Fertilized_Apex.PrimalItemConsumable_Egg_Quetz_Fertilized_Apex</t>
  </si>
  <si>
    <t>Egg Raptor Fertilized Alpha</t>
  </si>
  <si>
    <t>PrimalItemConsumable_Egg_Raptor_Fertilized_Alpha_C</t>
  </si>
  <si>
    <t>/PrimalNemesis/1Dinos/1Alpha/Raptor/PrimalItemConsumable_Egg_Raptor_Fertilized_Alpha.PrimalItemConsumable_Egg_Raptor_Fertilized_Alpha</t>
  </si>
  <si>
    <t>Egg Raptor Fertilized Alpha C</t>
  </si>
  <si>
    <t>PrimalItemConsumable_Egg_Raptor_Fertilized_Alpha_C_C</t>
  </si>
  <si>
    <t>/PrimalNemesis/0Core/Variant/1Alpha/Colossus/Raptor/PrimalItemConsumable_Egg_Raptor_Fertilized_Alpha_C.PrimalItemConsumable_Egg_Raptor_Fertilized_Alpha_C</t>
  </si>
  <si>
    <t>Egg Raptor Fertilized Alpha P</t>
  </si>
  <si>
    <t>PrimalItemConsumable_Egg_Raptor_Fertilized_Alpha_P_C</t>
  </si>
  <si>
    <t>/PrimalNemesis/0Core/Variant/1Alpha/Pigmy/Raptor/PrimalItemConsumable_Egg_Raptor_Fertilized_Alpha_P.PrimalItemConsumable_Egg_Raptor_Fertilized_Alpha_P</t>
  </si>
  <si>
    <t>Egg Raptor Fertilized Apex</t>
  </si>
  <si>
    <t>PrimalItemConsumable_Egg_Raptor_Fertilized_Apex_C</t>
  </si>
  <si>
    <t>/PrimalNemesis/0Core/Variant/2Apex/Pygmy/Raptor/PrimalItemConsumable_Egg_Raptor_Fertilized_Apex.PrimalItemConsumable_Egg_Raptor_Fertilized_Apex</t>
  </si>
  <si>
    <t>Egg Raptor Fertilized Electric</t>
  </si>
  <si>
    <t>PrimalItemConsumable_Egg_Raptor_Fertilized_Electric_C</t>
  </si>
  <si>
    <t>/PrimalNemesis/1Dinos/3Elemental/Storm/Raptor/PrimalItemConsumable_Egg_Raptor_Fertilized_Electric.PrimalItemConsumable_Egg_Raptor_Fertilized_Electric</t>
  </si>
  <si>
    <t>Egg Raptor Fertilized Volcanic</t>
  </si>
  <si>
    <t>PrimalItemConsumable_Egg_Raptor_Fertilized_Volcanic_C</t>
  </si>
  <si>
    <t>/PrimalNemesis/1Dinos/3Elemental/Volcanic/Raptor/PrimalItemConsumable_Egg_Raptor_Fertilized_Volcanic.PrimalItemConsumable_Egg_Raptor_Fertilized_Volcanic</t>
  </si>
  <si>
    <t>Egg Rex Fertilized Alpha</t>
  </si>
  <si>
    <t>PrimalItemConsumable_Egg_Rex_Fertilized_Alpha_C</t>
  </si>
  <si>
    <t>/PrimalNemesis/1Dinos/1Alpha/Rex/PrimalItemConsumable_Egg_Rex_Fertilized_Alpha.PrimalItemConsumable_Egg_Rex_Fertilized_Alpha</t>
  </si>
  <si>
    <t>Egg Rex Fertilized Alpha C</t>
  </si>
  <si>
    <t>PrimalItemConsumable_Egg_Rex_Fertilized_Alpha_C_C</t>
  </si>
  <si>
    <t>/PrimalNemesis/0Core/Variant/1Alpha/Colossus/Rex/PrimalItemConsumable_Egg_Rex_Fertilized_Alpha_C.PrimalItemConsumable_Egg_Rex_Fertilized_Alpha_C</t>
  </si>
  <si>
    <t>Egg Rex Fertilized Alpha P</t>
  </si>
  <si>
    <t>PrimalItemConsumable_Egg_Rex_Fertilized_Alpha_P_C</t>
  </si>
  <si>
    <t>/PrimalNemesis/0Core/Variant/1Alpha/Pigmy/Rex/PrimalItemConsumable_Egg_Rex_Fertilized_Alpha_P.PrimalItemConsumable_Egg_Rex_Fertilized_Alpha_P</t>
  </si>
  <si>
    <t>Egg Rex Fertilized Apex</t>
  </si>
  <si>
    <t>PrimalItemConsumable_Egg_Rex_Fertilized_Apex_C</t>
  </si>
  <si>
    <t>/PrimalNemesis/0Core/Variant/2Apex/Pygmy/Rex/PrimalItemConsumable_Egg_Rex_Fertilized_Apex.PrimalItemConsumable_Egg_Rex_Fertilized_Apex</t>
  </si>
  <si>
    <t>Egg Rex Fertilized Beta</t>
  </si>
  <si>
    <t>PrimalItemConsumable_Egg_Rex_Fertilized_Beta_C</t>
  </si>
  <si>
    <t>/PrimalNemesis/1Dinos/4ADVElemental/Plague/rex/PrimalItemConsumable_Egg_Rex_Fertilized_Beta.PrimalItemConsumable_Egg_Rex_Fertilized_Beta</t>
  </si>
  <si>
    <t>Egg Rex Fertilized Bionic</t>
  </si>
  <si>
    <t>PrimalItemConsumable_Egg_Rex_Fertilized_Bionic_C</t>
  </si>
  <si>
    <t>/PrimalNemesis/1Dinos/5BionicAndGrenadier/Bionic/Rex/PrimalItemConsumable_Egg_Rex_Fertilized_Bionic.PrimalItemConsumable_Egg_Rex_Fertilized_Bionic</t>
  </si>
  <si>
    <t>Egg Rex Fertilized Electric</t>
  </si>
  <si>
    <t>PrimalItemConsumable_Egg_Rex_Fertilized_Electric_C</t>
  </si>
  <si>
    <t>/PrimalNemesis/1Dinos/3Elemental/Storm/Rex/PrimalItemConsumable_Egg_Rex_Fertilized_Electric.PrimalItemConsumable_Egg_Rex_Fertilized_Electric</t>
  </si>
  <si>
    <t>Egg Rex Fertilized Hydro</t>
  </si>
  <si>
    <t>PrimalItemConsumable_Egg_Rex_Fertilized_Hydro_C</t>
  </si>
  <si>
    <t>/PrimalNemesis/1Dinos/3Elemental/Hydro/Rex/PrimalItemConsumable_Egg_Rex_Fertilized_Hydro.PrimalItemConsumable_Egg_Rex_Fertilized_Hydro</t>
  </si>
  <si>
    <t>Egg Rex Fertilized Volcanic</t>
  </si>
  <si>
    <t>PrimalItemConsumable_Egg_Rex_Fertilized_Volcanic_C</t>
  </si>
  <si>
    <t>/PrimalNemesis/1Dinos/3Elemental/Volcanic/Rex/PrimalItemConsumable_Egg_Rex_Fertilized_Volcanic.PrimalItemConsumable_Egg_Rex_Fertilized_Volcanic</t>
  </si>
  <si>
    <t>Egg Sarco Fertilized Alpha</t>
  </si>
  <si>
    <t>PrimalItemConsumable_Egg_Sarco_Fertilized_Alpha_C</t>
  </si>
  <si>
    <t>/PrimalNemesis/1Dinos/1Alpha/Sarco/PrimalItemConsumable_Egg_Sarco_Fertilized_Alpha.PrimalItemConsumable_Egg_Sarco_Fertilized_Alpha</t>
  </si>
  <si>
    <t>Egg Sarco Fertilized Alpha C</t>
  </si>
  <si>
    <t>PrimalItemConsumable_Egg_Sarco_Fertilized_Alpha_C_C</t>
  </si>
  <si>
    <t>/PrimalNemesis/0Core/Variant/1Alpha/Colossus/Sarco/PrimalItemConsumable_Egg_Sarco_Fertilized_Alpha_C.PrimalItemConsumable_Egg_Sarco_Fertilized_Alpha_C</t>
  </si>
  <si>
    <t>Egg Sarco Fertilized Alpha P</t>
  </si>
  <si>
    <t>PrimalItemConsumable_Egg_Sarco_Fertilized_Alpha_P_C</t>
  </si>
  <si>
    <t>/PrimalNemesis/0Core/Variant/1Alpha/Pigmy/Sarco/PrimalItemConsumable_Egg_Sarco_Fertilized_Alpha_P.PrimalItemConsumable_Egg_Sarco_Fertilized_Alpha_P</t>
  </si>
  <si>
    <t>Egg Sarco Fertilized Apex</t>
  </si>
  <si>
    <t>PrimalItemConsumable_Egg_Sarco_Fertilized_Apex_C</t>
  </si>
  <si>
    <t>/PrimalNemesis/0Core/Variant/2Apex/Pygmy/Sarco/PrimalItemConsumable_Egg_Sarco_Fertilized_Apex.PrimalItemConsumable_Egg_Sarco_Fertilized_Apex</t>
  </si>
  <si>
    <t>Egg Sarco Fertilized Atlantic</t>
  </si>
  <si>
    <t>PrimalItemConsumable_Egg_Sarco_Fertilized_Atlantic_C</t>
  </si>
  <si>
    <t>/PrimalNemesis/1WaterDinos/2Atlantic/Sarco/PrimalItemConsumable_Egg_Sarco_Fertilized_Atlantic.PrimalItemConsumable_Egg_Sarco_Fertilized_Atlantic</t>
  </si>
  <si>
    <t>Egg Sarco Fertilized Beta</t>
  </si>
  <si>
    <t>PrimalItemConsumable_Egg_Sarco_Fertilized_Beta_C</t>
  </si>
  <si>
    <t>/PrimalNemesis/1Dinos/4ADVElemental/Plague/Sarco/PrimalItemConsumable_Egg_Sarco_Fertilized_Beta.PrimalItemConsumable_Egg_Sarco_Fertilized_Beta</t>
  </si>
  <si>
    <t>Egg Sarco Fertilized Hydro</t>
  </si>
  <si>
    <t>PrimalItemConsumable_Egg_Sarco_Fertilized_Hydro_C</t>
  </si>
  <si>
    <t>/PrimalNemesis/1Dinos/3Elemental/Hydro/Sarco/PrimalItemConsumable_Egg_Sarco_Fertilized_Hydro.PrimalItemConsumable_Egg_Sarco_Fertilized_Hydro</t>
  </si>
  <si>
    <t>Egg Sarco Fertilized Pacific</t>
  </si>
  <si>
    <t>PrimalItemConsumable_Egg_Sarco_Fertilized_Pacific_C</t>
  </si>
  <si>
    <t>/PrimalNemesis/1WaterDinos/1Pacific/Sarco/PrimalItemConsumable_Egg_Sarco_Fertilized_Pacific.PrimalItemConsumable_Egg_Sarco_Fertilized_Pacific</t>
  </si>
  <si>
    <t>Egg Scorpion Fertilized Alpha</t>
  </si>
  <si>
    <t>PrimalItemConsumable_Egg_Scorpion_Fertilized_Alpha_C</t>
  </si>
  <si>
    <t>/PrimalNemesis/1Dinos/1Alpha/Pulmonoscorpius/PrimalItemConsumable_Egg_Scorpion_Fertilized_Alpha.PrimalItemConsumable_Egg_Scorpion_Fertilized_Alpha</t>
  </si>
  <si>
    <t>Egg Scorpion Fertilized Alpha C</t>
  </si>
  <si>
    <t>PrimalItemConsumable_Egg_Scorpion_Fertilized_Alpha_C_C</t>
  </si>
  <si>
    <t>/PrimalNemesis/0Core/Variant/1Alpha/Colossus/Pulmonoscorpius/PrimalItemConsumable_Egg_Scorpion_Fertilized_Alpha_C.PrimalItemConsumable_Egg_Scorpion_Fertilized_Alpha_C</t>
  </si>
  <si>
    <t>Egg Scorpion Fertilized Alpha P</t>
  </si>
  <si>
    <t>PrimalItemConsumable_Egg_Scorpion_Fertilized_Alpha_P_C</t>
  </si>
  <si>
    <t>/PrimalNemesis/0Core/Variant/1Alpha/Pigmy/Pulmonoscorpius/PrimalItemConsumable_Egg_Scorpion_Fertilized_Alpha_P.PrimalItemConsumable_Egg_Scorpion_Fertilized_Alpha_P</t>
  </si>
  <si>
    <t>Egg Scorpion Fertilized Apex</t>
  </si>
  <si>
    <t>PrimalItemConsumable_Egg_Scorpion_Fertilized_Apex_C</t>
  </si>
  <si>
    <t>/PrimalNemesis/0Core/Variant/2Apex/Pygmy/Pulmonoscorpius/PrimalItemConsumable_Egg_Scorpion_Fertilized_Apex.PrimalItemConsumable_Egg_Scorpion_Fertilized_Apex</t>
  </si>
  <si>
    <t>Egg Spider Fertilized Alpha</t>
  </si>
  <si>
    <t>PrimalItemConsumable_Egg_Spider_Fertilized_Alpha_C</t>
  </si>
  <si>
    <t>/PrimalNemesis/1Dinos/1Alpha/Araneo/PrimalItemConsumable_Egg_Spider_Fertilized_Alpha.PrimalItemConsumable_Egg_Spider_Fertilized_Alpha</t>
  </si>
  <si>
    <t>Egg Spider Fertilized Alpha C</t>
  </si>
  <si>
    <t>PrimalItemConsumable_Egg_Spider_Fertilized_Alpha_C_C</t>
  </si>
  <si>
    <t>/PrimalNemesis/0Core/Variant/1Alpha/Colossus/Araneo/PrimalItemConsumable_Egg_Spider_Fertilized_Alpha_C.PrimalItemConsumable_Egg_Spider_Fertilized_Alpha_C</t>
  </si>
  <si>
    <t>Egg Spider Fertilized Alpha P</t>
  </si>
  <si>
    <t>PrimalItemConsumable_Egg_Spider_Fertilized_Alpha_P_C</t>
  </si>
  <si>
    <t>/PrimalNemesis/0Core/Variant/1Alpha/Pigmy/Araneo/PrimalItemConsumable_Egg_Spider_Fertilized_Alpha_P.PrimalItemConsumable_Egg_Spider_Fertilized_Alpha_P</t>
  </si>
  <si>
    <t>Egg Spider Fertilized Apex</t>
  </si>
  <si>
    <t>PrimalItemConsumable_Egg_Spider_Fertilized_Apex_C</t>
  </si>
  <si>
    <t>/PrimalNemesis/0Core/Variant/2Apex/Pygmy/Araneo/PrimalItemConsumable_Egg_Spider_Fertilized_Apex.PrimalItemConsumable_Egg_Spider_Fertilized_Apex</t>
  </si>
  <si>
    <t>Egg Spider Fertilized Bionic</t>
  </si>
  <si>
    <t>PrimalItemConsumable_Egg_Spider_Fertilized_Bionic_C</t>
  </si>
  <si>
    <t>/PrimalNemesis/1Dinos/5BionicAndGrenadier/Bionic/Araneo/PrimalItemConsumable_Egg_Spider_Fertilized_Bionic.PrimalItemConsumable_Egg_Spider_Fertilized_Bionic</t>
  </si>
  <si>
    <t>Egg Spider Fertilized Electric</t>
  </si>
  <si>
    <t>PrimalItemConsumable_Egg_Spider_Fertilized_Electric_C</t>
  </si>
  <si>
    <t>/PrimalNemesis/1Dinos/3Elemental/Storm/Araneo/PrimalItemConsumable_Egg_Spider_Fertilized_Electric.PrimalItemConsumable_Egg_Spider_Fertilized_Electric</t>
  </si>
  <si>
    <t>Egg Spine Croc Fertilized Atlantic</t>
  </si>
  <si>
    <t>PrimalItemConsumable_Egg_SpineCroc_Fertilized_Atlantic_C</t>
  </si>
  <si>
    <t>/PrimalNemesis/1WaterDinos/2Atlantic/SpineCroc/PrimalItemConsumable_Egg_SpineCroc_Fertilized_Atlantic.PrimalItemConsumable_Egg_SpineCroc_Fertilized_Atlantic</t>
  </si>
  <si>
    <t>Egg Spine Croc Fertilized Pacific</t>
  </si>
  <si>
    <t>PrimalItemConsumable_Egg_SpineCroc_Fertilized_Pacific_C</t>
  </si>
  <si>
    <t>/PrimalNemesis/1WaterDinos/1Pacific/SpineCroc/PrimalItemConsumable_Egg_SpineCroc_Fertilized_Pacific.PrimalItemConsumable_Egg_SpineCroc_Fertilized_Pacific</t>
  </si>
  <si>
    <t>Egg Spiney Lizard Fertilized Volcanic</t>
  </si>
  <si>
    <t>PrimalItemConsumable_Egg_SpineyLizard_Fertilized_Volcanic_C</t>
  </si>
  <si>
    <t>/PrimalNemesis/1Dinos/3Elemental/Volcanic/Thorny/PrimalItemConsumable_Egg_SpineyLizard_Fertilized_Volcanic.PrimalItemConsumable_Egg_SpineyLizard_Fertilized_Volcanic</t>
  </si>
  <si>
    <t>Egg Spino Fertilized Alpha</t>
  </si>
  <si>
    <t>PrimalItemConsumable_Egg_Spino_Fertilized_Alpha_C</t>
  </si>
  <si>
    <t>/PrimalNemesis/1Dinos/1Alpha/Spinosaurus/PrimalItemConsumable_Egg_Spino_Fertilized_Alpha.PrimalItemConsumable_Egg_Spino_Fertilized_Alpha</t>
  </si>
  <si>
    <t>Egg Spino Fertilized Alpha C</t>
  </si>
  <si>
    <t>PrimalItemConsumable_Egg_Spino_Fertilized_Alpha_C_C</t>
  </si>
  <si>
    <t>/PrimalNemesis/0Core/Variant/1Alpha/Colossus/Spinosaurus/PrimalItemConsumable_Egg_Spino_Fertilized_Alpha_C.PrimalItemConsumable_Egg_Spino_Fertilized_Alpha_C</t>
  </si>
  <si>
    <t>Egg Spino Fertilized Alpha P</t>
  </si>
  <si>
    <t>PrimalItemConsumable_Egg_Spino_Fertilized_Alpha_P_C</t>
  </si>
  <si>
    <t>/PrimalNemesis/0Core/Variant/1Alpha/Pigmy/Spinosaurus/PrimalItemConsumable_Egg_Spino_Fertilized_Alpha_P.PrimalItemConsumable_Egg_Spino_Fertilized_Alpha_P</t>
  </si>
  <si>
    <t>Egg Spino Fertilized Apex</t>
  </si>
  <si>
    <t>PrimalItemConsumable_Egg_Spino_Fertilized_Apex_C</t>
  </si>
  <si>
    <t>/PrimalNemesis/0Core/Variant/2Apex/Pygmy/Spinosaurus/PrimalItemConsumable_Egg_Spino_Fertilized_Apex.PrimalItemConsumable_Egg_Spino_Fertilized_Apex</t>
  </si>
  <si>
    <t>Egg Spino Fertilized Hydro</t>
  </si>
  <si>
    <t>PrimalItemConsumable_Egg_Spino_Fertilized_Hydro_C</t>
  </si>
  <si>
    <t>/PrimalNemesis/1Dinos/3Elemental/Hydro/Spino/PrimalItemConsumable_Egg_Spino_Fertilized_Hydro.PrimalItemConsumable_Egg_Spino_Fertilized_Hydro</t>
  </si>
  <si>
    <t>Egg Spino Fertilized Volcanic</t>
  </si>
  <si>
    <t>PrimalItemConsumable_Egg_Spino_Fertilized_Volcanic_C</t>
  </si>
  <si>
    <t>/PrimalNemesis/1Dinos/3Elemental/Volcanic/Spino/PrimalItemConsumable_Egg_Spino_Fertilized_Volcanic.PrimalItemConsumable_Egg_Spino_Fertilized_Volcanic</t>
  </si>
  <si>
    <t>Egg Stego Fertilized Alpha</t>
  </si>
  <si>
    <t>PrimalItemConsumable_Egg_Stego_Fertilized_Alpha_C</t>
  </si>
  <si>
    <t>/PrimalNemesis/1Dinos/1Alpha/Stego/PrimalItemConsumable_Egg_Stego_Fertilized_Alpha.PrimalItemConsumable_Egg_Stego_Fertilized_Alpha</t>
  </si>
  <si>
    <t>Egg Stego Fertilized Alpha C</t>
  </si>
  <si>
    <t>PrimalItemConsumable_Egg_Stego_Fertilized_Alpha_C_C</t>
  </si>
  <si>
    <t>/PrimalNemesis/0Core/Variant/1Alpha/Colossus/Stego/PrimalItemConsumable_Egg_Stego_Fertilized_Alpha_C.PrimalItemConsumable_Egg_Stego_Fertilized_Alpha_C</t>
  </si>
  <si>
    <t>Egg Stego Fertilized Alpha P</t>
  </si>
  <si>
    <t>PrimalItemConsumable_Egg_Stego_Fertilized_Alpha_P_C</t>
  </si>
  <si>
    <t>/PrimalNemesis/0Core/Variant/1Alpha/Pigmy/Stego/PrimalItemConsumable_Egg_Stego_Fertilized_Alpha_P.PrimalItemConsumable_Egg_Stego_Fertilized_Alpha_P</t>
  </si>
  <si>
    <t>Egg Stego Fertilized Apex</t>
  </si>
  <si>
    <t>PrimalItemConsumable_Egg_Stego_Fertilized_Apex_C</t>
  </si>
  <si>
    <t>/PrimalNemesis/0Core/Variant/2Apex/Pygmy/Stego/PrimalItemConsumable_Egg_Stego_Fertilized_Apex.PrimalItemConsumable_Egg_Stego_Fertilized_Apex</t>
  </si>
  <si>
    <t>Egg Tapejara Fertilized Alpha</t>
  </si>
  <si>
    <t>PrimalItemConsumable_Egg_Tapejara_Fertilized_Alpha_C</t>
  </si>
  <si>
    <t>/PrimalNemesis/1Dinos/1Alpha/Tapejara/PrimalItemConsumable_Egg_Tapejara_Fertilized_Alpha.PrimalItemConsumable_Egg_Tapejara_Fertilized_Alpha</t>
  </si>
  <si>
    <t>Egg Tapejara Fertilized Alpha C</t>
  </si>
  <si>
    <t>PrimalItemConsumable_Egg_Tapejara_Fertilized_Alpha_C_C</t>
  </si>
  <si>
    <t>/PrimalNemesis/0Core/Variant/1Alpha/Colossus/Tapejara/PrimalItemConsumable_Egg_Tapejara_Fertilized_Alpha_C.PrimalItemConsumable_Egg_Tapejara_Fertilized_Alpha_C</t>
  </si>
  <si>
    <t>Egg Tapejara Fertilized Alpha P</t>
  </si>
  <si>
    <t>PrimalItemConsumable_Egg_Tapejara_Fertilized_Alpha_P_C</t>
  </si>
  <si>
    <t>/PrimalNemesis/0Core/Variant/1Alpha/Pigmy/Tapejara/PrimalItemConsumable_Egg_Tapejara_Fertilized_Alpha_P.PrimalItemConsumable_Egg_Tapejara_Fertilized_Alpha_P</t>
  </si>
  <si>
    <t>Egg Tapejara Fertilized Apex</t>
  </si>
  <si>
    <t>PrimalItemConsumable_Egg_Tapejara_Fertilized_Apex_C</t>
  </si>
  <si>
    <t>/PrimalNemesis/0Core/Variant/2Apex/Pygmy/Tapejara/PrimalItemConsumable_Egg_Tapejara_Fertilized_Apex.PrimalItemConsumable_Egg_Tapejara_Fertilized_Apex</t>
  </si>
  <si>
    <t>Egg Tapejara Fertilized Volcanic</t>
  </si>
  <si>
    <t>PrimalItemConsumable_Egg_Tapejara_Fertilized_Volcanic_C</t>
  </si>
  <si>
    <t>/PrimalNemesis/1Dinos/3Elemental/Volcanic/Tapejara/PrimalItemConsumable_Egg_Tapejara_Fertilized_Volcanic.PrimalItemConsumable_Egg_Tapejara_Fertilized_Volcanic</t>
  </si>
  <si>
    <t>Egg Terror Bird Fertilized Alpha</t>
  </si>
  <si>
    <t>PrimalItemConsumable_Egg_TerrorBird_Fertilized_Alpha_C</t>
  </si>
  <si>
    <t>/PrimalNemesis/1Dinos/1Alpha/TerrorBird/PrimalItemConsumable_Egg_TerrorBird_Fertilized_Alpha.PrimalItemConsumable_Egg_TerrorBird_Fertilized_Alpha</t>
  </si>
  <si>
    <t>Egg Terror Bird Fertilized Alpha C</t>
  </si>
  <si>
    <t>PrimalItemConsumable_Egg_TerrorBird_Fertilized_Alpha_C_C</t>
  </si>
  <si>
    <t>/PrimalNemesis/0Core/Variant/1Alpha/Colossus/TerrorBird/PrimalItemConsumable_Egg_TerrorBird_Fertilized_Alpha_C.PrimalItemConsumable_Egg_TerrorBird_Fertilized_Alpha_C</t>
  </si>
  <si>
    <t>Egg Terror Bird Fertilized Alpha P</t>
  </si>
  <si>
    <t>PrimalItemConsumable_Egg_TerrorBird_Fertilized_Alpha_P_C</t>
  </si>
  <si>
    <t>/PrimalNemesis/0Core/Variant/1Alpha/Pigmy/TerrorBird/PrimalItemConsumable_Egg_TerrorBird_Fertilized_Alpha_P.PrimalItemConsumable_Egg_TerrorBird_Fertilized_Alpha_P</t>
  </si>
  <si>
    <t>Egg Terror Bird Fertilized Apex</t>
  </si>
  <si>
    <t>PrimalItemConsumable_Egg_TerrorBird_Fertilized_Apex_C</t>
  </si>
  <si>
    <t>/PrimalNemesis/0Core/Variant/2Apex/Pygmy/TerrorBird/PrimalItemConsumable_Egg_TerrorBird_Fertilized_Apex.PrimalItemConsumable_Egg_TerrorBird_Fertilized_Apex</t>
  </si>
  <si>
    <t>Egg Terror Bird Fertilized Electric</t>
  </si>
  <si>
    <t>PrimalItemConsumable_Egg_TerrorBird_Fertilized_Electric_C</t>
  </si>
  <si>
    <t>/PrimalNemesis/1Dinos/3Elemental/Storm/TerrorBird/PrimalItemConsumable_Egg_TerrorBird_Fertilized_Electric.PrimalItemConsumable_Egg_TerrorBird_Fertilized_Electric</t>
  </si>
  <si>
    <t>Egg Therizino Fertilized Alpha</t>
  </si>
  <si>
    <t>PrimalItemConsumable_Egg_Therizino_Fertilized_Alpha_C</t>
  </si>
  <si>
    <t>/PrimalNemesis/1Dinos/1Alpha/Therizinosaurus/PrimalItemConsumable_Egg_Therizino_Fertilized_Alpha.PrimalItemConsumable_Egg_Therizino_Fertilized_Alpha</t>
  </si>
  <si>
    <t>Egg Therizino Fertilized Alpha C</t>
  </si>
  <si>
    <t>PrimalItemConsumable_Egg_Therizino_Fertilized_Alpha_C_C</t>
  </si>
  <si>
    <t>/PrimalNemesis/0Core/Variant/1Alpha/Colossus/Therizinosaurus/PrimalItemConsumable_Egg_Therizino_Fertilized_Alpha_C.PrimalItemConsumable_Egg_Therizino_Fertilized_Alpha_C</t>
  </si>
  <si>
    <t>Egg Therizino Fertilized Alpha P</t>
  </si>
  <si>
    <t>PrimalItemConsumable_Egg_Therizino_Fertilized_Alpha_P_C</t>
  </si>
  <si>
    <t>/PrimalNemesis/0Core/Variant/1Alpha/Pigmy/Therizinosaurus/PrimalItemConsumable_Egg_Therizino_Fertilized_Alpha_P.PrimalItemConsumable_Egg_Therizino_Fertilized_Alpha_P</t>
  </si>
  <si>
    <t>Egg Therizino Fertilized Apex</t>
  </si>
  <si>
    <t>PrimalItemConsumable_Egg_Therizino_Fertilized_Apex_C</t>
  </si>
  <si>
    <t>/PrimalNemesis/0Core/Variant/2Apex/Pygmy/Therizinosaurus/PrimalItemConsumable_Egg_Therizino_Fertilized_Apex.PrimalItemConsumable_Egg_Therizino_Fertilized_Apex</t>
  </si>
  <si>
    <t>Titan EGG Earth</t>
  </si>
  <si>
    <t>PrimalItemStructure_TitanEGG_Earth_C</t>
  </si>
  <si>
    <t>/PrimalNemesis/2Structures/YounglingEGG/Earth/PrimalItemStructure_TitanEGG_Earth.PrimalItemStructure_TitanEGG_Earth</t>
  </si>
  <si>
    <t>Titan EGG Frost</t>
  </si>
  <si>
    <t>PrimalItemStructure_TitanEGG_Frost_C</t>
  </si>
  <si>
    <t>/PrimalNemesis/2Structures/YounglingEGG/Frost/PrimalItemStructure_TitanEGG_Frost.PrimalItemStructure_TitanEGG_Frost</t>
  </si>
  <si>
    <t>Titan EGG Hydro</t>
  </si>
  <si>
    <t>PrimalItemStructure_TitanEGG_Hydro_C</t>
  </si>
  <si>
    <t>/PrimalNemesis/2Structures/YounglingEGG/Hydro/PrimalItemStructure_TitanEGG_Hydro.PrimalItemStructure_TitanEGG_Hydro</t>
  </si>
  <si>
    <t>Titan EGG Nature</t>
  </si>
  <si>
    <t>PrimalItemStructure_TitanEGG_Nature_C</t>
  </si>
  <si>
    <t>/PrimalNemesis/2Structures/YounglingEGG/Nature/PrimalItemStructure_TitanEGG_Nature.PrimalItemStructure_TitanEGG_Nature</t>
  </si>
  <si>
    <t>Titan EGG Storm</t>
  </si>
  <si>
    <t>PrimalItemStructure_TitanEGG_Storm_C</t>
  </si>
  <si>
    <t>/PrimalNemesis/2Structures/YounglingEGG/Storm/PrimalItemStructure_TitanEGG_Storm.PrimalItemStructure_TitanEGG_Storm</t>
  </si>
  <si>
    <t>Titan EGG Volcanic</t>
  </si>
  <si>
    <t>PrimalItemStructure_TitanEGG_Volcanic_C</t>
  </si>
  <si>
    <t>/PrimalNemesis/2Structures/YounglingEGG/Volcanic/PrimalItemStructure_TitanEGG_Volcanic.PrimalItemStructure_TitanEGG_Volcanic</t>
  </si>
  <si>
    <t>Egg Trike Fertilized Alpha</t>
  </si>
  <si>
    <t>PrimalItemConsumable_Egg_Trike_Fertilized_Alpha_C</t>
  </si>
  <si>
    <t>/PrimalNemesis/1Dinos/1Alpha/Trike/PrimalItemConsumable_Egg_Trike_Fertilized_Alpha.PrimalItemConsumable_Egg_Trike_Fertilized_Alpha</t>
  </si>
  <si>
    <t>Egg Trike Fertilized Alpha C</t>
  </si>
  <si>
    <t>PrimalItemConsumable_Egg_Trike_Fertilized_Alpha_C_C</t>
  </si>
  <si>
    <t>/PrimalNemesis/0Core/Variant/1Alpha/Colossus/Trike/PrimalItemConsumable_Egg_Trike_Fertilized_Alpha_C.PrimalItemConsumable_Egg_Trike_Fertilized_Alpha_C</t>
  </si>
  <si>
    <t>Egg Trike Fertilized Alpha P</t>
  </si>
  <si>
    <t>PrimalItemConsumable_Egg_Trike_Fertilized_Alpha_P_C</t>
  </si>
  <si>
    <t>/PrimalNemesis/0Core/Variant/1Alpha/Pigmy/Trike/PrimalItemConsumable_Egg_Trike_Fertilized_Alpha_P.PrimalItemConsumable_Egg_Trike_Fertilized_Alpha_P</t>
  </si>
  <si>
    <t>Egg Trike Fertilized Apex</t>
  </si>
  <si>
    <t>PrimalItemConsumable_Egg_Trike_Fertilized_Apex_C</t>
  </si>
  <si>
    <t>/PrimalNemesis/0Core/Variant/2Apex/Pygmy/Trike/PrimalItemConsumable_Egg_Trike_Fertilized_Apex.PrimalItemConsumable_Egg_Trike_Fertilized_Apex</t>
  </si>
  <si>
    <t>Egg Trike Fertilized Volcanic</t>
  </si>
  <si>
    <t>PrimalItemConsumable_Egg_Trike_Fertilized_Volcanic_C</t>
  </si>
  <si>
    <t>/PrimalNemesis/1Dinos/3Elemental/Volcanic/Trike/PrimalItemConsumable_Egg_Trike_Fertilized_Volcanic.PrimalItemConsumable_Egg_Trike_Fertilized_Volcanic</t>
  </si>
  <si>
    <t>Egg Troodon Fertilized Alpha</t>
  </si>
  <si>
    <t>PrimalItemConsumable_Egg_Troodon_Fertilized_Alpha_C</t>
  </si>
  <si>
    <t>/PrimalNemesis/1Dinos/1Alpha/Troodon/PrimalItemConsumable_Egg_Troodon_Fertilized_Alpha.PrimalItemConsumable_Egg_Troodon_Fertilized_Alpha</t>
  </si>
  <si>
    <t>Egg Troodon Fertilized Alpha C</t>
  </si>
  <si>
    <t>PrimalItemConsumable_Egg_Troodon_Fertilized_Alpha_C_C</t>
  </si>
  <si>
    <t>/PrimalNemesis/0Core/Variant/1Alpha/Colossus/Troodon/PrimalItemConsumable_Egg_Troodon_Fertilized_Alpha_C.PrimalItemConsumable_Egg_Troodon_Fertilized_Alpha_C</t>
  </si>
  <si>
    <t>Egg Troodon Fertilized Alpha P</t>
  </si>
  <si>
    <t>PrimalItemConsumable_Egg_Troodon_Fertilized_Alpha_P_C</t>
  </si>
  <si>
    <t>/PrimalNemesis/0Core/Variant/1Alpha/Pigmy/Troodon/PrimalItemConsumable_Egg_Troodon_Fertilized_Alpha_P.PrimalItemConsumable_Egg_Troodon_Fertilized_Alpha_P</t>
  </si>
  <si>
    <t>Egg Troodon Fertilized Apex</t>
  </si>
  <si>
    <t>PrimalItemConsumable_Egg_Troodon_Fertilized_Apex_C</t>
  </si>
  <si>
    <t>/PrimalNemesis/0Core/Variant/2Apex/Pygmy/Troodon/PrimalItemConsumable_Egg_Troodon_Fertilized_Apex.PrimalItemConsumable_Egg_Troodon_Fertilized_Apex</t>
  </si>
  <si>
    <t>Egg Turtle Fertilized Alpha</t>
  </si>
  <si>
    <t>PrimalItemConsumable_Egg_Turtle_Fertilized_Alpha_C</t>
  </si>
  <si>
    <t>/PrimalNemesis/1Dinos/1Alpha/Turtle/PrimalItemConsumable_Egg_Turtle_Fertilized_Alpha.PrimalItemConsumable_Egg_Turtle_Fertilized_Alpha</t>
  </si>
  <si>
    <t>Egg Turtle Fertilized Alpha C</t>
  </si>
  <si>
    <t>PrimalItemConsumable_Egg_Turtle_Fertilized_Alpha_C_C</t>
  </si>
  <si>
    <t>/PrimalNemesis/0Core/Variant/1Alpha/Colossus/Turtle/PrimalItemConsumable_Egg_Turtle_Fertilized_Alpha_C.PrimalItemConsumable_Egg_Turtle_Fertilized_Alpha_C</t>
  </si>
  <si>
    <t>Egg Turtle Fertilized Alpha P</t>
  </si>
  <si>
    <t>PrimalItemConsumable_Egg_Turtle_Fertilized_Alpha_P_C</t>
  </si>
  <si>
    <t>/PrimalNemesis/0Core/Variant/1Alpha/Pigmy/Turtle/PrimalItemConsumable_Egg_Turtle_Fertilized_Alpha_P.PrimalItemConsumable_Egg_Turtle_Fertilized_Alpha_P</t>
  </si>
  <si>
    <t>Egg Turtle Fertilized Apex</t>
  </si>
  <si>
    <t>PrimalItemConsumable_Egg_Turtle_Fertilized_Apex_C</t>
  </si>
  <si>
    <t>/PrimalNemesis/0Core/Variant/2Apex/Pygmy/Turtle/PrimalItemConsumable_Egg_Turtle_Fertilized_Apex.PrimalItemConsumable_Egg_Turtle_Fertilized_Apex</t>
  </si>
  <si>
    <t>Egg Turtle Fertilized Hydro</t>
  </si>
  <si>
    <t>PrimalItemConsumable_Egg_Turtle_Fertilized_Hydro_C</t>
  </si>
  <si>
    <t>/PrimalNemesis/1Dinos/3Elemental/Hydro/Turtle/PrimalItemConsumable_Egg_Turtle_Fertilized_Hydro.PrimalItemConsumable_Egg_Turtle_Fertilized_Hydro</t>
  </si>
  <si>
    <t>Egg Wyvern Fertilized Demonic</t>
  </si>
  <si>
    <t>PrimalItemConsumable_Egg_Wyvern_Fertilized_Demonic_C</t>
  </si>
  <si>
    <t>/PrimalNemesis/1Dinos/6DemonicAndCelestial/5Demonic/Wyvern/PrimalItemConsumable_Egg_Wyvern_Fertilized_Demonic.PrimalItemConsumable_Egg_Wyvern_Fertilized_Demonic</t>
  </si>
  <si>
    <t>Egg Wyvern Fertilized Frost</t>
  </si>
  <si>
    <t>PrimalItemConsumable_Egg_Wyvern_Fertilized_Frost_C</t>
  </si>
  <si>
    <t>/PrimalNemesis/1Dinos/3Elemental/Ice/Wyvern/PrimalItemConsumable_Egg_Wyvern_Fertilized_Frost.PrimalItemConsumable_Egg_Wyvern_Fertilized_Frost</t>
  </si>
  <si>
    <t>Egg Yuty Fertilized Alpha</t>
  </si>
  <si>
    <t>PrimalItemConsumable_Egg_Yuty_Fertilized_Alpha_C</t>
  </si>
  <si>
    <t>/PrimalNemesis/1Dinos/1Alpha/Yuty/PrimalItemConsumable_Egg_Yuty_Fertilized_Alpha.PrimalItemConsumable_Egg_Yuty_Fertilized_Alpha</t>
  </si>
  <si>
    <t>Egg Yuty Fertilized Alpha C</t>
  </si>
  <si>
    <t>PrimalItemConsumable_Egg_Yuty_Fertilized_Alpha_C_C</t>
  </si>
  <si>
    <t>/PrimalNemesis/0Core/Variant/1Alpha/Colossus/Yuty/PrimalItemConsumable_Egg_Yuty_Fertilized_Alpha_C.PrimalItemConsumable_Egg_Yuty_Fertilized_Alpha_C</t>
  </si>
  <si>
    <t>Egg Yuty Fertilized Alpha P</t>
  </si>
  <si>
    <t>PrimalItemConsumable_Egg_Yuty_Fertilized_Alpha_P_C</t>
  </si>
  <si>
    <t>/PrimalNemesis/0Core/Variant/1Alpha/Pigmy/Yuty/PrimalItemConsumable_Egg_Yuty_Fertilized_Alpha_P.PrimalItemConsumable_Egg_Yuty_Fertilized_Alpha_P</t>
  </si>
  <si>
    <t>Egg Yuty Fertilized Apex</t>
  </si>
  <si>
    <t>PrimalItemConsumable_Egg_Yuty_Fertilized_Apex_C</t>
  </si>
  <si>
    <t>/PrimalNemesis/0Core/Variant/2Apex/Pygmy/Yuty/PrimalItemConsumable_Egg_Yuty_Fertilized_Apex.PrimalItemConsumable_Egg_Yuty_Fertilized_Apex</t>
  </si>
  <si>
    <t>Egg Yuty Fertilized Frost</t>
  </si>
  <si>
    <t>PrimalItemConsumable_Egg_Yuty_Fertilized_Frost_C</t>
  </si>
  <si>
    <t>/PrimalNemesis/1Dinos/3Elemental/Ice/Yuty/PrimalItemConsumable_Egg_Yuty_Fertilized_Frost.PrimalItemConsumable_Egg_Yuty_Fertilized_Frost</t>
  </si>
  <si>
    <t>Variants/Traits</t>
  </si>
  <si>
    <t>Extra Info</t>
  </si>
  <si>
    <t>Colossus</t>
  </si>
  <si>
    <t>Pygmy</t>
  </si>
  <si>
    <t>Is much faster than normal and has a 10% chance to dodge incoming damage</t>
  </si>
  <si>
    <t>upon receiving damage, a timer will go off killing everything in the area with a massive nuclear explosion if not killed during the timer</t>
  </si>
  <si>
    <t>Has a chance to randomly hit much harder than normal</t>
  </si>
  <si>
    <t>Volatile</t>
  </si>
  <si>
    <t>will explode on death</t>
  </si>
  <si>
    <t>Guardian</t>
  </si>
  <si>
    <t>Random chance to block incoming damage</t>
  </si>
  <si>
    <t>Nightmare</t>
  </si>
  <si>
    <t>Gains 2x stats during the night but is weaker during the day</t>
  </si>
  <si>
    <t>NightHunter</t>
  </si>
  <si>
    <t>Very aggressive at night, has increased aggro range during the night</t>
  </si>
  <si>
    <t>RiderProtection</t>
  </si>
  <si>
    <t>When applied on a dino it will protect you on its saddle!</t>
  </si>
  <si>
    <t>EXTRA INFO</t>
  </si>
  <si>
    <t>All these traits are able to be taken off a dino and applied to whatever dino you want, basically you can build your own dino with these traits!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</si>
</sst>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14.0"/>
      <color theme="1"/>
      <name val="Arial"/>
      <scheme val="minor"/>
    </font>
    <font/>
    <font>
      <color rgb="FF000000"/>
      <name val="Arial"/>
      <scheme val="minor"/>
    </font>
    <font>
      <b/>
      <sz val="11.0"/>
      <color rgb="FF000000"/>
      <name val="Calibri"/>
    </font>
    <font>
      <color theme="1"/>
      <name val="Arial"/>
    </font>
    <font>
      <b/>
      <sz val="15.0"/>
      <color theme="1"/>
      <name val="Arial"/>
      <scheme val="minor"/>
    </font>
    <font>
      <sz val="12.0"/>
      <color rgb="FF000000"/>
      <name val="Arial"/>
      <scheme val="minor"/>
    </font>
    <font>
      <sz val="13.0"/>
      <color rgb="FF000000"/>
      <name val="Arial"/>
      <scheme val="minor"/>
    </font>
    <font>
      <sz val="13.0"/>
      <color theme="1"/>
      <name val="Arial"/>
      <scheme val="minor"/>
    </font>
    <font>
      <b/>
      <sz val="15.0"/>
      <color rgb="FF000000"/>
      <name val="Arial"/>
      <scheme val="minor"/>
    </font>
    <font>
      <b/>
      <sz val="13.0"/>
      <color rgb="FF000000"/>
      <name val="Arial"/>
      <scheme val="minor"/>
    </font>
  </fonts>
  <fills count="3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CC0000"/>
        <bgColor rgb="FFCC0000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783F04"/>
        <bgColor rgb="FF783F04"/>
      </patternFill>
    </fill>
    <fill>
      <patternFill patternType="solid">
        <fgColor theme="9"/>
        <bgColor theme="9"/>
      </patternFill>
    </fill>
    <fill>
      <patternFill patternType="solid">
        <fgColor rgb="FF4A86E8"/>
        <bgColor rgb="FF4A86E8"/>
      </patternFill>
    </fill>
    <fill>
      <patternFill patternType="solid">
        <fgColor rgb="FF980000"/>
        <bgColor rgb="FF980000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351C75"/>
        <bgColor rgb="FF351C75"/>
      </patternFill>
    </fill>
    <fill>
      <patternFill patternType="solid">
        <fgColor rgb="FF1C4587"/>
        <bgColor rgb="FF1C4587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C27BA0"/>
        <bgColor rgb="FFC27BA0"/>
      </patternFill>
    </fill>
    <fill>
      <patternFill patternType="solid">
        <fgColor rgb="FFCCCCCC"/>
        <bgColor rgb="FFCCCCCC"/>
      </patternFill>
    </fill>
    <fill>
      <patternFill patternType="solid">
        <fgColor rgb="FF8E7CC3"/>
        <bgColor rgb="FF8E7CC3"/>
      </patternFill>
    </fill>
    <fill>
      <patternFill patternType="solid">
        <fgColor rgb="FFF1C232"/>
        <bgColor rgb="FFF1C232"/>
      </patternFill>
    </fill>
    <fill>
      <patternFill patternType="solid">
        <fgColor rgb="FF666666"/>
        <bgColor rgb="FF666666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3" fontId="2" numFmtId="0" xfId="0" applyAlignment="1" applyBorder="1" applyFill="1" applyFont="1">
      <alignment horizontal="center" readingOrder="0" textRotation="90" vertical="center"/>
    </xf>
    <xf borderId="2" fillId="0" fontId="1" numFmtId="0" xfId="0" applyBorder="1" applyFont="1"/>
    <xf borderId="2" fillId="4" fontId="3" numFmtId="0" xfId="0" applyBorder="1" applyFill="1" applyFont="1"/>
    <xf borderId="2" fillId="4" fontId="3" numFmtId="0" xfId="0" applyAlignment="1" applyBorder="1" applyFont="1">
      <alignment readingOrder="0"/>
    </xf>
    <xf borderId="3" fillId="0" fontId="4" numFmtId="0" xfId="0" applyBorder="1" applyFont="1"/>
    <xf borderId="2" fillId="5" fontId="1" numFmtId="0" xfId="0" applyAlignment="1" applyBorder="1" applyFill="1" applyFont="1">
      <alignment readingOrder="0"/>
    </xf>
    <xf borderId="2" fillId="5" fontId="5" numFmtId="0" xfId="0" applyAlignment="1" applyBorder="1" applyFont="1">
      <alignment readingOrder="0"/>
    </xf>
    <xf borderId="2" fillId="5" fontId="5" numFmtId="0" xfId="0" applyBorder="1" applyFont="1"/>
    <xf borderId="2" fillId="6" fontId="1" numFmtId="0" xfId="0" applyAlignment="1" applyBorder="1" applyFill="1" applyFont="1">
      <alignment readingOrder="0"/>
    </xf>
    <xf borderId="2" fillId="6" fontId="5" numFmtId="0" xfId="0" applyAlignment="1" applyBorder="1" applyFont="1">
      <alignment readingOrder="0"/>
    </xf>
    <xf borderId="2" fillId="6" fontId="5" numFmtId="0" xfId="0" applyBorder="1" applyFont="1"/>
    <xf borderId="2" fillId="5" fontId="5" numFmtId="0" xfId="0" applyBorder="1" applyFont="1"/>
    <xf borderId="0" fillId="6" fontId="1" numFmtId="0" xfId="0" applyFont="1"/>
    <xf borderId="0" fillId="6" fontId="1" numFmtId="0" xfId="0" applyAlignment="1" applyFont="1">
      <alignment readingOrder="0"/>
    </xf>
    <xf borderId="2" fillId="6" fontId="6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textRotation="90" vertical="center"/>
    </xf>
    <xf borderId="2" fillId="2" fontId="1" numFmtId="0" xfId="0" applyBorder="1" applyFont="1"/>
    <xf borderId="2" fillId="2" fontId="5" numFmtId="0" xfId="0" applyAlignment="1" applyBorder="1" applyFont="1">
      <alignment readingOrder="0"/>
    </xf>
    <xf borderId="2" fillId="2" fontId="5" numFmtId="0" xfId="0" applyBorder="1" applyFont="1"/>
    <xf borderId="1" fillId="7" fontId="2" numFmtId="0" xfId="0" applyAlignment="1" applyBorder="1" applyFill="1" applyFont="1">
      <alignment horizontal="center" readingOrder="0" textRotation="90" vertical="center"/>
    </xf>
    <xf borderId="3" fillId="2" fontId="2" numFmtId="0" xfId="0" applyAlignment="1" applyBorder="1" applyFont="1">
      <alignment horizontal="center" readingOrder="0" textRotation="90" vertical="center"/>
    </xf>
    <xf borderId="3" fillId="8" fontId="2" numFmtId="0" xfId="0" applyAlignment="1" applyBorder="1" applyFill="1" applyFont="1">
      <alignment horizontal="center" readingOrder="0" textRotation="90" vertical="center"/>
    </xf>
    <xf borderId="3" fillId="9" fontId="2" numFmtId="0" xfId="0" applyAlignment="1" applyBorder="1" applyFill="1" applyFont="1">
      <alignment horizontal="center" readingOrder="0" textRotation="90" vertical="center"/>
    </xf>
    <xf borderId="1" fillId="10" fontId="2" numFmtId="0" xfId="0" applyAlignment="1" applyBorder="1" applyFill="1" applyFont="1">
      <alignment horizontal="center" readingOrder="0" textRotation="90" vertical="center"/>
    </xf>
    <xf borderId="0" fillId="5" fontId="1" numFmtId="0" xfId="0" applyFont="1"/>
    <xf borderId="0" fillId="5" fontId="1" numFmtId="0" xfId="0" applyAlignment="1" applyFont="1">
      <alignment readingOrder="0"/>
    </xf>
    <xf borderId="4" fillId="0" fontId="4" numFmtId="0" xfId="0" applyBorder="1" applyFont="1"/>
    <xf borderId="1" fillId="11" fontId="2" numFmtId="0" xfId="0" applyAlignment="1" applyBorder="1" applyFill="1" applyFont="1">
      <alignment horizontal="center" readingOrder="0" textRotation="90" vertical="center"/>
    </xf>
    <xf borderId="1" fillId="12" fontId="2" numFmtId="0" xfId="0" applyAlignment="1" applyBorder="1" applyFill="1" applyFont="1">
      <alignment horizontal="center" readingOrder="0" textRotation="90" vertical="center"/>
    </xf>
    <xf borderId="1" fillId="13" fontId="2" numFmtId="0" xfId="0" applyAlignment="1" applyBorder="1" applyFill="1" applyFont="1">
      <alignment horizontal="center" readingOrder="0" textRotation="90" vertical="center"/>
    </xf>
    <xf borderId="1" fillId="14" fontId="2" numFmtId="0" xfId="0" applyAlignment="1" applyBorder="1" applyFill="1" applyFont="1">
      <alignment horizontal="center" readingOrder="0" textRotation="90" vertical="center"/>
    </xf>
    <xf borderId="1" fillId="15" fontId="2" numFmtId="0" xfId="0" applyAlignment="1" applyBorder="1" applyFill="1" applyFont="1">
      <alignment horizontal="center" readingOrder="0" textRotation="90" vertical="center"/>
    </xf>
    <xf borderId="2" fillId="5" fontId="6" numFmtId="0" xfId="0" applyAlignment="1" applyBorder="1" applyFont="1">
      <alignment horizontal="center" readingOrder="0" shrinkToFit="0" vertical="center" wrapText="1"/>
    </xf>
    <xf borderId="1" fillId="16" fontId="2" numFmtId="0" xfId="0" applyAlignment="1" applyBorder="1" applyFill="1" applyFont="1">
      <alignment horizontal="center" readingOrder="0" textRotation="90" vertical="center"/>
    </xf>
    <xf borderId="1" fillId="17" fontId="2" numFmtId="0" xfId="0" applyAlignment="1" applyBorder="1" applyFill="1" applyFont="1">
      <alignment horizontal="center" readingOrder="0" textRotation="90" vertical="center"/>
    </xf>
    <xf borderId="1" fillId="18" fontId="2" numFmtId="0" xfId="0" applyAlignment="1" applyBorder="1" applyFill="1" applyFont="1">
      <alignment horizontal="center" readingOrder="0" textRotation="90" vertical="center"/>
    </xf>
    <xf borderId="0" fillId="19" fontId="2" numFmtId="0" xfId="0" applyAlignment="1" applyFill="1" applyFont="1">
      <alignment horizontal="center" readingOrder="0" textRotation="90" vertical="center"/>
    </xf>
    <xf borderId="5" fillId="2" fontId="1" numFmtId="0" xfId="0" applyAlignment="1" applyBorder="1" applyFont="1">
      <alignment readingOrder="0"/>
    </xf>
    <xf borderId="6" fillId="0" fontId="4" numFmtId="0" xfId="0" applyBorder="1" applyFont="1"/>
    <xf borderId="7" fillId="0" fontId="4" numFmtId="0" xfId="0" applyBorder="1" applyFont="1"/>
    <xf borderId="1" fillId="2" fontId="1" numFmtId="0" xfId="0" applyAlignment="1" applyBorder="1" applyFont="1">
      <alignment readingOrder="0"/>
    </xf>
    <xf borderId="1" fillId="20" fontId="2" numFmtId="0" xfId="0" applyAlignment="1" applyBorder="1" applyFill="1" applyFont="1">
      <alignment horizontal="center" readingOrder="0" textRotation="90" vertical="center"/>
    </xf>
    <xf borderId="2" fillId="5" fontId="1" numFmtId="0" xfId="0" applyBorder="1" applyFont="1"/>
    <xf borderId="2" fillId="6" fontId="1" numFmtId="0" xfId="0" applyBorder="1" applyFont="1"/>
    <xf borderId="1" fillId="21" fontId="2" numFmtId="0" xfId="0" applyAlignment="1" applyBorder="1" applyFill="1" applyFont="1">
      <alignment horizontal="center" readingOrder="0" textRotation="90" vertical="center"/>
    </xf>
    <xf borderId="1" fillId="22" fontId="2" numFmtId="0" xfId="0" applyAlignment="1" applyBorder="1" applyFill="1" applyFont="1">
      <alignment horizontal="center" readingOrder="0" textRotation="90" vertical="center"/>
    </xf>
    <xf borderId="1" fillId="23" fontId="2" numFmtId="0" xfId="0" applyAlignment="1" applyBorder="1" applyFill="1" applyFont="1">
      <alignment horizontal="center" readingOrder="0" textRotation="90" vertical="center"/>
    </xf>
    <xf borderId="1" fillId="24" fontId="2" numFmtId="0" xfId="0" applyAlignment="1" applyBorder="1" applyFill="1" applyFont="1">
      <alignment horizontal="center" readingOrder="0" textRotation="90" vertical="center"/>
    </xf>
    <xf borderId="2" fillId="2" fontId="1" numFmtId="0" xfId="0" applyAlignment="1" applyBorder="1" applyFont="1">
      <alignment readingOrder="0"/>
    </xf>
    <xf borderId="1" fillId="25" fontId="2" numFmtId="0" xfId="0" applyAlignment="1" applyBorder="1" applyFill="1" applyFont="1">
      <alignment horizontal="center" readingOrder="0" textRotation="90" vertical="center"/>
    </xf>
    <xf borderId="3" fillId="26" fontId="2" numFmtId="0" xfId="0" applyAlignment="1" applyBorder="1" applyFill="1" applyFont="1">
      <alignment horizontal="center" readingOrder="0" textRotation="90" vertical="center"/>
    </xf>
    <xf borderId="1" fillId="27" fontId="2" numFmtId="0" xfId="0" applyAlignment="1" applyBorder="1" applyFill="1" applyFont="1">
      <alignment horizontal="center" readingOrder="0" textRotation="90" vertical="center"/>
    </xf>
    <xf borderId="1" fillId="28" fontId="2" numFmtId="0" xfId="0" applyAlignment="1" applyBorder="1" applyFill="1" applyFont="1">
      <alignment horizontal="center" readingOrder="0" textRotation="90" vertical="center"/>
    </xf>
    <xf borderId="1" fillId="29" fontId="2" numFmtId="0" xfId="0" applyAlignment="1" applyBorder="1" applyFill="1" applyFont="1">
      <alignment horizontal="center" readingOrder="0" textRotation="90" vertical="center"/>
    </xf>
    <xf borderId="4" fillId="6" fontId="7" numFmtId="0" xfId="0" applyAlignment="1" applyBorder="1" applyFont="1">
      <alignment horizontal="right" vertical="bottom"/>
    </xf>
    <xf borderId="8" fillId="6" fontId="7" numFmtId="0" xfId="0" applyAlignment="1" applyBorder="1" applyFont="1">
      <alignment vertical="bottom"/>
    </xf>
    <xf borderId="8" fillId="6" fontId="7" numFmtId="0" xfId="0" applyAlignment="1" applyBorder="1" applyFont="1">
      <alignment readingOrder="0" vertical="bottom"/>
    </xf>
    <xf borderId="4" fillId="5" fontId="7" numFmtId="0" xfId="0" applyAlignment="1" applyBorder="1" applyFont="1">
      <alignment horizontal="right" vertical="bottom"/>
    </xf>
    <xf borderId="8" fillId="5" fontId="7" numFmtId="0" xfId="0" applyAlignment="1" applyBorder="1" applyFont="1">
      <alignment vertical="bottom"/>
    </xf>
    <xf borderId="8" fillId="5" fontId="7" numFmtId="0" xfId="0" applyAlignment="1" applyBorder="1" applyFont="1">
      <alignment readingOrder="0" vertical="bottom"/>
    </xf>
    <xf borderId="1" fillId="4" fontId="2" numFmtId="0" xfId="0" applyAlignment="1" applyBorder="1" applyFont="1">
      <alignment horizontal="center" readingOrder="0" textRotation="90" vertical="center"/>
    </xf>
    <xf borderId="2" fillId="6" fontId="7" numFmtId="0" xfId="0" applyAlignment="1" applyBorder="1" applyFont="1">
      <alignment vertical="bottom"/>
    </xf>
    <xf borderId="2" fillId="6" fontId="7" numFmtId="0" xfId="0" applyAlignment="1" applyBorder="1" applyFont="1">
      <alignment readingOrder="0" vertical="bottom"/>
    </xf>
    <xf borderId="2" fillId="5" fontId="7" numFmtId="0" xfId="0" applyAlignment="1" applyBorder="1" applyFont="1">
      <alignment vertical="bottom"/>
    </xf>
    <xf borderId="2" fillId="5" fontId="7" numFmtId="0" xfId="0" applyAlignment="1" applyBorder="1" applyFont="1">
      <alignment readingOrder="0" vertical="bottom"/>
    </xf>
    <xf borderId="2" fillId="6" fontId="7" numFmtId="0" xfId="0" applyAlignment="1" applyBorder="1" applyFont="1">
      <alignment horizontal="right" vertical="bottom"/>
    </xf>
    <xf borderId="2" fillId="5" fontId="7" numFmtId="0" xfId="0" applyAlignment="1" applyBorder="1" applyFont="1">
      <alignment horizontal="right" vertical="bottom"/>
    </xf>
    <xf borderId="7" fillId="5" fontId="7" numFmtId="0" xfId="0" applyAlignment="1" applyBorder="1" applyFont="1">
      <alignment vertical="bottom"/>
    </xf>
    <xf borderId="4" fillId="2" fontId="7" numFmtId="0" xfId="0" applyAlignment="1" applyBorder="1" applyFont="1">
      <alignment horizontal="right" vertical="bottom"/>
    </xf>
    <xf borderId="8" fillId="2" fontId="7" numFmtId="0" xfId="0" applyAlignment="1" applyBorder="1" applyFont="1">
      <alignment vertical="bottom"/>
    </xf>
    <xf borderId="8" fillId="2" fontId="7" numFmtId="0" xfId="0" applyAlignment="1" applyBorder="1" applyFont="1">
      <alignment vertical="bottom"/>
    </xf>
    <xf borderId="1" fillId="30" fontId="2" numFmtId="0" xfId="0" applyAlignment="1" applyBorder="1" applyFill="1" applyFont="1">
      <alignment horizontal="center" readingOrder="0" textRotation="90" vertical="center"/>
    </xf>
    <xf borderId="4" fillId="6" fontId="7" numFmtId="0" xfId="0" applyAlignment="1" applyBorder="1" applyFont="1">
      <alignment horizontal="right" readingOrder="0" vertical="bottom"/>
    </xf>
    <xf borderId="8" fillId="6" fontId="1" numFmtId="0" xfId="0" applyBorder="1" applyFont="1"/>
    <xf borderId="4" fillId="5" fontId="7" numFmtId="0" xfId="0" applyAlignment="1" applyBorder="1" applyFont="1">
      <alignment horizontal="right" readingOrder="0" vertical="bottom"/>
    </xf>
    <xf borderId="8" fillId="5" fontId="1" numFmtId="0" xfId="0" applyBorder="1" applyFont="1"/>
    <xf borderId="8" fillId="6" fontId="1" numFmtId="0" xfId="0" applyAlignment="1" applyBorder="1" applyFont="1">
      <alignment readingOrder="0"/>
    </xf>
    <xf borderId="8" fillId="5" fontId="1" numFmtId="0" xfId="0" applyAlignment="1" applyBorder="1" applyFont="1">
      <alignment readingOrder="0"/>
    </xf>
    <xf borderId="1" fillId="31" fontId="2" numFmtId="0" xfId="0" applyAlignment="1" applyBorder="1" applyFill="1" applyFont="1">
      <alignment horizontal="center" readingOrder="0" textRotation="90" vertical="center"/>
    </xf>
    <xf borderId="1" fillId="32" fontId="2" numFmtId="0" xfId="0" applyAlignment="1" applyBorder="1" applyFill="1" applyFont="1">
      <alignment horizontal="center" readingOrder="0" textRotation="90" vertical="center"/>
    </xf>
    <xf borderId="2" fillId="4" fontId="8" numFmtId="0" xfId="0" applyAlignment="1" applyBorder="1" applyFont="1">
      <alignment horizontal="center" readingOrder="0"/>
    </xf>
    <xf borderId="2" fillId="5" fontId="9" numFmtId="0" xfId="0" applyAlignment="1" applyBorder="1" applyFont="1">
      <alignment readingOrder="0"/>
    </xf>
    <xf borderId="2" fillId="6" fontId="9" numFmtId="0" xfId="0" applyAlignment="1" applyBorder="1" applyFont="1">
      <alignment readingOrder="0"/>
    </xf>
    <xf borderId="2" fillId="6" fontId="10" numFmtId="0" xfId="0" applyAlignment="1" applyBorder="1" applyFont="1">
      <alignment readingOrder="0"/>
    </xf>
    <xf borderId="0" fillId="5" fontId="11" numFmtId="0" xfId="0" applyAlignment="1" applyFont="1">
      <alignment horizontal="left" readingOrder="0"/>
    </xf>
    <xf borderId="0" fillId="6" fontId="11" numFmtId="0" xfId="0" applyAlignment="1" applyFont="1">
      <alignment horizontal="left" readingOrder="0"/>
    </xf>
    <xf borderId="2" fillId="5" fontId="10" numFmtId="0" xfId="0" applyAlignment="1" applyBorder="1" applyFont="1">
      <alignment readingOrder="0"/>
    </xf>
    <xf borderId="2" fillId="6" fontId="12" numFmtId="0" xfId="0" applyAlignment="1" applyBorder="1" applyFont="1">
      <alignment readingOrder="0"/>
    </xf>
    <xf borderId="2" fillId="6" fontId="13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4.38"/>
    <col customWidth="1" hidden="1" min="3" max="3" width="12.75"/>
    <col customWidth="1" min="4" max="4" width="38.63"/>
    <col customWidth="1" hidden="1" min="5" max="5" width="9.0"/>
    <col customWidth="1" hidden="1" min="6" max="6" width="26.38"/>
    <col customWidth="1" min="7" max="7" width="21.63"/>
    <col customWidth="1" min="8" max="8" width="42.88"/>
    <col customWidth="1" min="9" max="9" width="53.0"/>
    <col customWidth="1" min="10" max="10" width="66.5"/>
    <col customWidth="1" min="11" max="11" width="133.63"/>
    <col customWidth="1" min="12" max="12" width="156.13"/>
    <col customWidth="1" min="13" max="13" width="94.38"/>
    <col customWidth="1" min="14" max="26" width="7.63"/>
  </cols>
  <sheetData>
    <row r="1" ht="30.75" customHeight="1">
      <c r="A1" s="1" t="s">
        <v>0</v>
      </c>
      <c r="N1" s="2"/>
    </row>
    <row r="2" ht="24.75" customHeight="1">
      <c r="A2" s="2"/>
      <c r="B2" s="3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2"/>
    </row>
    <row r="3">
      <c r="A3" s="2"/>
      <c r="B3" s="7"/>
      <c r="C3" s="4">
        <f t="shared" ref="C3:C10" si="1">IF(E3="Alpha",1)+IF(E3="Apex",2)+IF(E3="Earth",3)+IF(E3="Frost",3)+IF(E3="Nature",3)+IF(E3="Storm",4)+IF(E3="Volcanic",4)+IF(E3="Bionic",5)+IF(E3="Legendary",5)+IF(E3="Demonic",6)+IF(E3="Celestial",6)+IF(E3="Godly",7)+IF(E3="Loot",8)+IF(E3="Boss",9)</f>
        <v>1</v>
      </c>
      <c r="D3" s="8" t="s">
        <v>13</v>
      </c>
      <c r="E3" s="9" t="s">
        <v>14</v>
      </c>
      <c r="F3" s="10"/>
      <c r="G3" s="9"/>
      <c r="H3" s="9" t="s">
        <v>15</v>
      </c>
      <c r="I3" s="10" t="str">
        <f t="shared" ref="I3:I44" si="2">"cheat summon "&amp;H3</f>
        <v>cheat summon SavageAchatina_Character_BP_S_C</v>
      </c>
      <c r="J3" s="10" t="str">
        <f t="shared" ref="J3:J44" si="3"> "admincheat GMSummon " &amp;CHAR(34) &amp; H3&amp;CHAR(34)&amp; " 225"</f>
        <v>admincheat GMSummon "SavageAchatina_Character_BP_S_C" 225</v>
      </c>
      <c r="K3" s="9" t="s">
        <v>16</v>
      </c>
      <c r="L3" s="9" t="str">
        <f t="shared" ref="L3:L118" si="4"> "cheat spawndino " &amp;CHAR(34) &amp; K3&amp;CHAR(34)&amp; " 500 0 0 35"</f>
        <v>cheat spawndino "/ArkSupreme/Content/SupremeDinos/2Savage/Achitina/SavageAchatina_Character_BP_S_C" 500 0 0 35</v>
      </c>
      <c r="M3" s="10" t="str">
        <f t="shared" ref="M3:M44" si="5">"NPCReplacements=(FromClassName="&amp;CHAR(34)&amp;H3&amp;""&amp;CHAR(34)&amp;",ToClassName="&amp;CHAR(34)&amp;CHAR(34)&amp;")"</f>
        <v>NPCReplacements=(FromClassName="SavageAchatina_Character_BP_S_C",ToClassName="")</v>
      </c>
      <c r="N3" s="2"/>
    </row>
    <row r="4">
      <c r="A4" s="2"/>
      <c r="B4" s="7"/>
      <c r="C4" s="4">
        <f t="shared" si="1"/>
        <v>1</v>
      </c>
      <c r="D4" s="11" t="s">
        <v>17</v>
      </c>
      <c r="E4" s="12" t="s">
        <v>14</v>
      </c>
      <c r="F4" s="13"/>
      <c r="G4" s="12"/>
      <c r="H4" s="12" t="s">
        <v>18</v>
      </c>
      <c r="I4" s="13" t="str">
        <f t="shared" si="2"/>
        <v>cheat summon SavageAllo_Character_BP_S_C</v>
      </c>
      <c r="J4" s="13" t="str">
        <f t="shared" si="3"/>
        <v>admincheat GMSummon "SavageAllo_Character_BP_S_C" 225</v>
      </c>
      <c r="K4" s="12" t="s">
        <v>19</v>
      </c>
      <c r="L4" s="12" t="str">
        <f t="shared" si="4"/>
        <v>cheat spawndino "/ArkSupreme/Content/SupremeDinos/2Savage/Allo/SavageAllo_Character_BP_S_C" 500 0 0 35</v>
      </c>
      <c r="M4" s="13" t="str">
        <f t="shared" si="5"/>
        <v>NPCReplacements=(FromClassName="SavageAllo_Character_BP_S_C",ToClassName="")</v>
      </c>
      <c r="N4" s="2"/>
    </row>
    <row r="5">
      <c r="A5" s="2"/>
      <c r="B5" s="7"/>
      <c r="C5" s="4">
        <f t="shared" si="1"/>
        <v>1</v>
      </c>
      <c r="D5" s="8" t="s">
        <v>20</v>
      </c>
      <c r="E5" s="9" t="s">
        <v>14</v>
      </c>
      <c r="F5" s="10"/>
      <c r="G5" s="9"/>
      <c r="H5" s="9" t="s">
        <v>21</v>
      </c>
      <c r="I5" s="10" t="str">
        <f t="shared" si="2"/>
        <v>cheat summon SavageAnkylo_Character_BP_S_C</v>
      </c>
      <c r="J5" s="10" t="str">
        <f t="shared" si="3"/>
        <v>admincheat GMSummon "SavageAnkylo_Character_BP_S_C" 225</v>
      </c>
      <c r="K5" s="9" t="s">
        <v>22</v>
      </c>
      <c r="L5" s="9" t="str">
        <f t="shared" si="4"/>
        <v>cheat spawndino "/ArkSupreme/Content/SupremeDinos/2Savage/Ankylosaurus/SavageAnkylo_Character_BP_S_C" 500 0 0 35</v>
      </c>
      <c r="M5" s="10" t="str">
        <f t="shared" si="5"/>
        <v>NPCReplacements=(FromClassName="SavageAnkylo_Character_BP_S_C",ToClassName="")</v>
      </c>
      <c r="N5" s="2"/>
    </row>
    <row r="6">
      <c r="A6" s="2"/>
      <c r="B6" s="7"/>
      <c r="C6" s="4">
        <f t="shared" si="1"/>
        <v>1</v>
      </c>
      <c r="D6" s="11" t="s">
        <v>23</v>
      </c>
      <c r="E6" s="12" t="s">
        <v>14</v>
      </c>
      <c r="F6" s="13"/>
      <c r="G6" s="12"/>
      <c r="H6" s="12" t="s">
        <v>24</v>
      </c>
      <c r="I6" s="13" t="str">
        <f t="shared" si="2"/>
        <v>cheat summon SavageAnt_Character_BP_S_C</v>
      </c>
      <c r="J6" s="13" t="str">
        <f t="shared" si="3"/>
        <v>admincheat GMSummon "SavageAnt_Character_BP_S_C" 225</v>
      </c>
      <c r="K6" s="12" t="s">
        <v>25</v>
      </c>
      <c r="L6" s="12" t="str">
        <f t="shared" si="4"/>
        <v>cheat spawndino "/ArkSupreme/Content/SupremeDinos/2Savage/Ant/SavageAnt_Character_BP_S_C" 500 0 0 35</v>
      </c>
      <c r="M6" s="13" t="str">
        <f t="shared" si="5"/>
        <v>NPCReplacements=(FromClassName="SavageAnt_Character_BP_S_C",ToClassName="")</v>
      </c>
      <c r="N6" s="2"/>
    </row>
    <row r="7">
      <c r="A7" s="2"/>
      <c r="B7" s="7"/>
      <c r="C7" s="4">
        <f t="shared" si="1"/>
        <v>1</v>
      </c>
      <c r="D7" s="8" t="s">
        <v>26</v>
      </c>
      <c r="E7" s="9" t="s">
        <v>14</v>
      </c>
      <c r="F7" s="10"/>
      <c r="G7" s="9"/>
      <c r="H7" s="9" t="s">
        <v>27</v>
      </c>
      <c r="I7" s="10" t="str">
        <f t="shared" si="2"/>
        <v>cheat summon SavageSpider_Character_BP_S_C</v>
      </c>
      <c r="J7" s="10" t="str">
        <f t="shared" si="3"/>
        <v>admincheat GMSummon "SavageSpider_Character_BP_S_C" 225</v>
      </c>
      <c r="K7" s="9" t="s">
        <v>28</v>
      </c>
      <c r="L7" s="9" t="str">
        <f t="shared" si="4"/>
        <v>cheat spawndino "/ArkSupreme/Content/SupremeDinos/2Savage/Araneo/SavageSpider_Character_BP_S_C" 500 0 0 35</v>
      </c>
      <c r="M7" s="10" t="str">
        <f t="shared" si="5"/>
        <v>NPCReplacements=(FromClassName="SavageSpider_Character_BP_S_C",ToClassName="")</v>
      </c>
      <c r="N7" s="2"/>
    </row>
    <row r="8">
      <c r="A8" s="2"/>
      <c r="B8" s="7"/>
      <c r="C8" s="4">
        <f t="shared" si="1"/>
        <v>1</v>
      </c>
      <c r="D8" s="11" t="s">
        <v>29</v>
      </c>
      <c r="E8" s="12" t="s">
        <v>14</v>
      </c>
      <c r="F8" s="13"/>
      <c r="G8" s="12"/>
      <c r="H8" s="12" t="s">
        <v>30</v>
      </c>
      <c r="I8" s="13" t="str">
        <f t="shared" si="2"/>
        <v>cheat summon SavageArcha_Character_BP_S_C</v>
      </c>
      <c r="J8" s="13" t="str">
        <f t="shared" si="3"/>
        <v>admincheat GMSummon "SavageArcha_Character_BP_S_C" 225</v>
      </c>
      <c r="K8" s="12" t="s">
        <v>31</v>
      </c>
      <c r="L8" s="12" t="str">
        <f t="shared" si="4"/>
        <v>cheat spawndino "/ArkSupreme/Content/SupremeDinos/2Savage/Archaeopteryx/SavageArcha_Character_BP_S_C" 500 0 0 35</v>
      </c>
      <c r="M8" s="13" t="str">
        <f t="shared" si="5"/>
        <v>NPCReplacements=(FromClassName="SavageArcha_Character_BP_S_C",ToClassName="")</v>
      </c>
      <c r="N8" s="2"/>
    </row>
    <row r="9">
      <c r="A9" s="2"/>
      <c r="B9" s="7"/>
      <c r="C9" s="4">
        <f t="shared" si="1"/>
        <v>1</v>
      </c>
      <c r="D9" s="8" t="s">
        <v>32</v>
      </c>
      <c r="E9" s="9" t="s">
        <v>14</v>
      </c>
      <c r="F9" s="10"/>
      <c r="G9" s="9"/>
      <c r="H9" s="9" t="s">
        <v>33</v>
      </c>
      <c r="I9" s="10" t="str">
        <f t="shared" si="2"/>
        <v>cheat summon SavageArgent_Character_BP_S_C</v>
      </c>
      <c r="J9" s="10" t="str">
        <f t="shared" si="3"/>
        <v>admincheat GMSummon "SavageArgent_Character_BP_S_C" 225</v>
      </c>
      <c r="K9" s="9" t="s">
        <v>34</v>
      </c>
      <c r="L9" s="9" t="str">
        <f t="shared" si="4"/>
        <v>cheat spawndino "/ArkSupreme/Content/SupremeDinos/2Savage/Argentavis/SavageArgent_Character_BP_S_C" 500 0 0 35</v>
      </c>
      <c r="M9" s="10" t="str">
        <f t="shared" si="5"/>
        <v>NPCReplacements=(FromClassName="SavageArgent_Character_BP_S_C",ToClassName="")</v>
      </c>
      <c r="N9" s="2"/>
    </row>
    <row r="10">
      <c r="A10" s="2"/>
      <c r="B10" s="7"/>
      <c r="C10" s="4">
        <f t="shared" si="1"/>
        <v>1</v>
      </c>
      <c r="D10" s="11" t="s">
        <v>35</v>
      </c>
      <c r="E10" s="12" t="s">
        <v>14</v>
      </c>
      <c r="F10" s="13"/>
      <c r="G10" s="12"/>
      <c r="H10" s="12" t="s">
        <v>36</v>
      </c>
      <c r="I10" s="13" t="str">
        <f t="shared" si="2"/>
        <v>cheat summon SavageArthro_Character_BP_S_C</v>
      </c>
      <c r="J10" s="13" t="str">
        <f t="shared" si="3"/>
        <v>admincheat GMSummon "SavageArthro_Character_BP_S_C" 225</v>
      </c>
      <c r="K10" s="12" t="s">
        <v>37</v>
      </c>
      <c r="L10" s="12" t="str">
        <f t="shared" si="4"/>
        <v>cheat spawndino "/ArkSupreme/Content/SupremeDinos/2Savage/Arthropluera/SavageArthro_Character_BP_S_C" 500 0 0 35</v>
      </c>
      <c r="M10" s="13" t="str">
        <f t="shared" si="5"/>
        <v>NPCReplacements=(FromClassName="SavageArthro_Character_BP_S_C",ToClassName="")</v>
      </c>
      <c r="N10" s="2"/>
    </row>
    <row r="11">
      <c r="A11" s="2"/>
      <c r="B11" s="7"/>
      <c r="C11" s="4"/>
      <c r="D11" s="8" t="s">
        <v>38</v>
      </c>
      <c r="E11" s="9"/>
      <c r="F11" s="10"/>
      <c r="G11" s="9"/>
      <c r="H11" s="9" t="s">
        <v>39</v>
      </c>
      <c r="I11" s="10" t="str">
        <f t="shared" si="2"/>
        <v>cheat summon SavageBaryonyx_Character_BP_S_C</v>
      </c>
      <c r="J11" s="10" t="str">
        <f t="shared" si="3"/>
        <v>admincheat GMSummon "SavageBaryonyx_Character_BP_S_C" 225</v>
      </c>
      <c r="K11" s="9" t="s">
        <v>40</v>
      </c>
      <c r="L11" s="9" t="str">
        <f t="shared" si="4"/>
        <v>cheat spawndino "/ArkSupreme/Content/SupremeDinos/2Savage/Baryonyx/SavageBaryonyx_Character_BP_S_C" 500 0 0 35</v>
      </c>
      <c r="M11" s="10" t="str">
        <f t="shared" si="5"/>
        <v>NPCReplacements=(FromClassName="SavageBaryonyx_Character_BP_S_C",ToClassName="")</v>
      </c>
      <c r="N11" s="2"/>
    </row>
    <row r="12">
      <c r="A12" s="2"/>
      <c r="B12" s="7"/>
      <c r="C12" s="4">
        <f t="shared" ref="C12:C14" si="6">IF(E12="Alpha",1)+IF(E12="Apex",2)+IF(E12="Earth",3)+IF(E12="Frost",3)+IF(E12="Nature",3)+IF(E12="Storm",4)+IF(E12="Volcanic",4)+IF(E12="Bionic",5)+IF(E12="Legendary",5)+IF(E12="Demonic",6)+IF(E12="Celestial",6)+IF(E12="Godly",7)+IF(E12="Loot",8)+IF(E12="Boss",9)</f>
        <v>1</v>
      </c>
      <c r="D12" s="11" t="s">
        <v>41</v>
      </c>
      <c r="E12" s="12" t="s">
        <v>14</v>
      </c>
      <c r="F12" s="13"/>
      <c r="G12" s="12"/>
      <c r="H12" s="12" t="s">
        <v>42</v>
      </c>
      <c r="I12" s="13" t="str">
        <f t="shared" si="2"/>
        <v>cheat summon Basilisk_Character_BP_Savage_S_C</v>
      </c>
      <c r="J12" s="13" t="str">
        <f t="shared" si="3"/>
        <v>admincheat GMSummon "Basilisk_Character_BP_Savage_S_C" 225</v>
      </c>
      <c r="K12" s="12" t="s">
        <v>43</v>
      </c>
      <c r="L12" s="12" t="str">
        <f t="shared" si="4"/>
        <v>cheat spawndino "/ArkSupreme/Content/SupremeDinos/2Savage/Basilisk/Basilisk_Character_BP_Savage_S_C" 500 0 0 35</v>
      </c>
      <c r="M12" s="13" t="str">
        <f t="shared" si="5"/>
        <v>NPCReplacements=(FromClassName="Basilisk_Character_BP_Savage_S_C",ToClassName="")</v>
      </c>
      <c r="N12" s="2"/>
    </row>
    <row r="13">
      <c r="A13" s="2"/>
      <c r="B13" s="7"/>
      <c r="C13" s="4">
        <f t="shared" si="6"/>
        <v>1</v>
      </c>
      <c r="D13" s="8" t="s">
        <v>44</v>
      </c>
      <c r="E13" s="9" t="s">
        <v>14</v>
      </c>
      <c r="F13" s="10"/>
      <c r="G13" s="9"/>
      <c r="H13" s="9" t="s">
        <v>45</v>
      </c>
      <c r="I13" s="10" t="str">
        <f t="shared" si="2"/>
        <v>cheat summon SavageSauropod_Character_BP_S_C</v>
      </c>
      <c r="J13" s="10" t="str">
        <f t="shared" si="3"/>
        <v>admincheat GMSummon "SavageSauropod_Character_BP_S_C" 225</v>
      </c>
      <c r="K13" s="9" t="s">
        <v>46</v>
      </c>
      <c r="L13" s="9" t="str">
        <f t="shared" si="4"/>
        <v>cheat spawndino "/ArkSupreme/Content/SupremeDinos/2Savage/Brontosaurus/SavageSauropod_Character_BP_S_C" 500 0 0 35</v>
      </c>
      <c r="M13" s="10" t="str">
        <f t="shared" si="5"/>
        <v>NPCReplacements=(FromClassName="SavageSauropod_Character_BP_S_C",ToClassName="")</v>
      </c>
      <c r="N13" s="2"/>
    </row>
    <row r="14">
      <c r="A14" s="2"/>
      <c r="B14" s="7"/>
      <c r="C14" s="4">
        <f t="shared" si="6"/>
        <v>1</v>
      </c>
      <c r="D14" s="11" t="s">
        <v>47</v>
      </c>
      <c r="E14" s="12" t="s">
        <v>14</v>
      </c>
      <c r="F14" s="13"/>
      <c r="G14" s="12"/>
      <c r="H14" s="12" t="s">
        <v>48</v>
      </c>
      <c r="I14" s="13" t="str">
        <f t="shared" si="2"/>
        <v>cheat summon SpiderL_Character_BP_Savage_S_C</v>
      </c>
      <c r="J14" s="13" t="str">
        <f t="shared" si="3"/>
        <v>admincheat GMSummon "SpiderL_Character_BP_Savage_S_C" 225</v>
      </c>
      <c r="K14" s="12" t="s">
        <v>49</v>
      </c>
      <c r="L14" s="12" t="str">
        <f t="shared" si="4"/>
        <v>cheat spawndino "/ArkSupreme/Content/SupremeDinos/2Savage/Broodmother/SpiderL_Character_BP_Savage_S_C" 500 0 0 35</v>
      </c>
      <c r="M14" s="13" t="str">
        <f t="shared" si="5"/>
        <v>NPCReplacements=(FromClassName="SpiderL_Character_BP_Savage_S_C",ToClassName="")</v>
      </c>
      <c r="N14" s="2"/>
    </row>
    <row r="15">
      <c r="A15" s="2"/>
      <c r="B15" s="7"/>
      <c r="C15" s="4"/>
      <c r="D15" s="8" t="s">
        <v>50</v>
      </c>
      <c r="E15" s="9" t="s">
        <v>51</v>
      </c>
      <c r="F15" s="10"/>
      <c r="G15" s="9"/>
      <c r="H15" s="9" t="s">
        <v>52</v>
      </c>
      <c r="I15" s="10" t="str">
        <f t="shared" si="2"/>
        <v>cheat summon Savage_LanternPug_Character_BP_S_C</v>
      </c>
      <c r="J15" s="10" t="str">
        <f t="shared" si="3"/>
        <v>admincheat GMSummon "Savage_LanternPug_Character_BP_S_C" 225</v>
      </c>
      <c r="K15" s="9" t="s">
        <v>53</v>
      </c>
      <c r="L15" s="9" t="str">
        <f t="shared" si="4"/>
        <v>cheat spawndino "/ArkSupreme/Content/SupremeDinos/2Savage/Bulbdog/Savage_LanternPug_Character_BP_S_C" 500 0 0 35</v>
      </c>
      <c r="M15" s="10" t="str">
        <f t="shared" si="5"/>
        <v>NPCReplacements=(FromClassName="Savage_LanternPug_Character_BP_S_C",ToClassName="")</v>
      </c>
      <c r="N15" s="2"/>
    </row>
    <row r="16">
      <c r="A16" s="2"/>
      <c r="B16" s="7"/>
      <c r="C16" s="4">
        <f t="shared" ref="C16:C27" si="7">IF(E16="Alpha",1)+IF(E16="Apex",2)+IF(E16="Earth",3)+IF(E16="Frost",3)+IF(E16="Nature",3)+IF(E16="Storm",4)+IF(E16="Volcanic",4)+IF(E16="Bionic",5)+IF(E16="Legendary",5)+IF(E16="Demonic",6)+IF(E16="Celestial",6)+IF(E16="Godly",7)+IF(E16="Loot",8)+IF(E16="Boss",9)</f>
        <v>1</v>
      </c>
      <c r="D16" s="11" t="s">
        <v>54</v>
      </c>
      <c r="E16" s="12" t="s">
        <v>14</v>
      </c>
      <c r="F16" s="13"/>
      <c r="G16" s="12"/>
      <c r="H16" s="12" t="s">
        <v>55</v>
      </c>
      <c r="I16" s="13" t="str">
        <f t="shared" si="2"/>
        <v>cheat summon SavageCarcha_Character_BP_S_C</v>
      </c>
      <c r="J16" s="13" t="str">
        <f t="shared" si="3"/>
        <v>admincheat GMSummon "SavageCarcha_Character_BP_S_C" 225</v>
      </c>
      <c r="K16" s="12" t="s">
        <v>56</v>
      </c>
      <c r="L16" s="12" t="str">
        <f t="shared" si="4"/>
        <v>cheat spawndino "/ArkSupreme/Content/SupremeDinos/2Savage/Carcha/SavageCarcha_Character_BP_S_C" 500 0 0 35</v>
      </c>
      <c r="M16" s="13" t="str">
        <f t="shared" si="5"/>
        <v>NPCReplacements=(FromClassName="SavageCarcha_Character_BP_S_C",ToClassName="")</v>
      </c>
      <c r="N16" s="2"/>
    </row>
    <row r="17">
      <c r="A17" s="2"/>
      <c r="B17" s="7"/>
      <c r="C17" s="4">
        <f t="shared" si="7"/>
        <v>1</v>
      </c>
      <c r="D17" s="8" t="s">
        <v>57</v>
      </c>
      <c r="E17" s="9" t="s">
        <v>14</v>
      </c>
      <c r="F17" s="10"/>
      <c r="G17" s="9"/>
      <c r="H17" s="9" t="s">
        <v>58</v>
      </c>
      <c r="I17" s="10" t="str">
        <f t="shared" si="2"/>
        <v>cheat summon SavageCarno_Character_BP_S_C</v>
      </c>
      <c r="J17" s="10" t="str">
        <f t="shared" si="3"/>
        <v>admincheat GMSummon "SavageCarno_Character_BP_S_C" 225</v>
      </c>
      <c r="K17" s="9" t="s">
        <v>59</v>
      </c>
      <c r="L17" s="9" t="str">
        <f t="shared" si="4"/>
        <v>cheat spawndino "/ArkSupreme/Content/SupremeDinos/2Savage/Carno/SavageCarno_Character_BP_S_C" 500 0 0 35</v>
      </c>
      <c r="M17" s="10" t="str">
        <f t="shared" si="5"/>
        <v>NPCReplacements=(FromClassName="SavageCarno_Character_BP_S_C",ToClassName="")</v>
      </c>
      <c r="N17" s="2"/>
    </row>
    <row r="18">
      <c r="A18" s="2"/>
      <c r="B18" s="7"/>
      <c r="C18" s="4">
        <f t="shared" si="7"/>
        <v>1</v>
      </c>
      <c r="D18" s="11" t="s">
        <v>60</v>
      </c>
      <c r="E18" s="12" t="s">
        <v>14</v>
      </c>
      <c r="F18" s="13"/>
      <c r="G18" s="12"/>
      <c r="H18" s="12" t="s">
        <v>61</v>
      </c>
      <c r="I18" s="13" t="str">
        <f t="shared" si="2"/>
        <v>cheat summon SavageBeaver_Character_BP_S_C</v>
      </c>
      <c r="J18" s="13" t="str">
        <f t="shared" si="3"/>
        <v>admincheat GMSummon "SavageBeaver_Character_BP_S_C" 225</v>
      </c>
      <c r="K18" s="12" t="s">
        <v>62</v>
      </c>
      <c r="L18" s="12" t="str">
        <f t="shared" si="4"/>
        <v>cheat spawndino "/ArkSupreme/Content/SupremeDinos/2Savage/Castoroides/SavageBeaver_Character_BP_S_C" 500 0 0 35</v>
      </c>
      <c r="M18" s="13" t="str">
        <f t="shared" si="5"/>
        <v>NPCReplacements=(FromClassName="SavageBeaver_Character_BP_S_C",ToClassName="")</v>
      </c>
      <c r="N18" s="2"/>
    </row>
    <row r="19">
      <c r="A19" s="2"/>
      <c r="B19" s="7"/>
      <c r="C19" s="4">
        <f t="shared" si="7"/>
        <v>1</v>
      </c>
      <c r="D19" s="8" t="s">
        <v>63</v>
      </c>
      <c r="E19" s="9" t="s">
        <v>14</v>
      </c>
      <c r="F19" s="10"/>
      <c r="G19" s="9"/>
      <c r="H19" s="9" t="s">
        <v>64</v>
      </c>
      <c r="I19" s="10" t="str">
        <f t="shared" si="2"/>
        <v>cheat summon SavageChalico_Character_BP_S_C</v>
      </c>
      <c r="J19" s="10" t="str">
        <f t="shared" si="3"/>
        <v>admincheat GMSummon "SavageChalico_Character_BP_S_C" 225</v>
      </c>
      <c r="K19" s="9" t="s">
        <v>65</v>
      </c>
      <c r="L19" s="9" t="str">
        <f t="shared" si="4"/>
        <v>cheat spawndino "/ArkSupreme/Content/SupremeDinos/2Savage/Chalicotherium/SavageChalico_Character_BP_S_C" 500 0 0 35</v>
      </c>
      <c r="M19" s="10" t="str">
        <f t="shared" si="5"/>
        <v>NPCReplacements=(FromClassName="SavageChalico_Character_BP_S_C",ToClassName="")</v>
      </c>
      <c r="N19" s="2"/>
    </row>
    <row r="20">
      <c r="A20" s="2"/>
      <c r="B20" s="7"/>
      <c r="C20" s="4">
        <f t="shared" si="7"/>
        <v>1</v>
      </c>
      <c r="D20" s="11" t="s">
        <v>66</v>
      </c>
      <c r="E20" s="12" t="s">
        <v>14</v>
      </c>
      <c r="F20" s="13"/>
      <c r="G20" s="12"/>
      <c r="H20" s="12" t="s">
        <v>67</v>
      </c>
      <c r="I20" s="13" t="str">
        <f t="shared" si="2"/>
        <v>cheat summon SavageCompy_Character_BP_S_C</v>
      </c>
      <c r="J20" s="13" t="str">
        <f t="shared" si="3"/>
        <v>admincheat GMSummon "SavageCompy_Character_BP_S_C" 225</v>
      </c>
      <c r="K20" s="12" t="s">
        <v>68</v>
      </c>
      <c r="L20" s="12" t="str">
        <f t="shared" si="4"/>
        <v>cheat spawndino "/ArkSupreme/Content/SupremeDinos/2Savage/Compy/SavageCompy_Character_BP_S_C" 500 0 0 35</v>
      </c>
      <c r="M20" s="13" t="str">
        <f t="shared" si="5"/>
        <v>NPCReplacements=(FromClassName="SavageCompy_Character_BP_S_C",ToClassName="")</v>
      </c>
      <c r="N20" s="2"/>
    </row>
    <row r="21">
      <c r="A21" s="2"/>
      <c r="B21" s="7"/>
      <c r="C21" s="4">
        <f t="shared" si="7"/>
        <v>1</v>
      </c>
      <c r="D21" s="8" t="s">
        <v>69</v>
      </c>
      <c r="E21" s="9" t="s">
        <v>14</v>
      </c>
      <c r="F21" s="10"/>
      <c r="G21" s="9"/>
      <c r="H21" s="9" t="s">
        <v>70</v>
      </c>
      <c r="I21" s="10" t="str">
        <f t="shared" si="2"/>
        <v>cheat summon SavageDaeodon_Character_BP_S_C</v>
      </c>
      <c r="J21" s="10" t="str">
        <f t="shared" si="3"/>
        <v>admincheat GMSummon "SavageDaeodon_Character_BP_S_C" 225</v>
      </c>
      <c r="K21" s="9" t="s">
        <v>71</v>
      </c>
      <c r="L21" s="9" t="str">
        <f t="shared" si="4"/>
        <v>cheat spawndino "/ArkSupreme/Content/SupremeDinos/2Savage/Daeodon/SavageDaeodon_Character_BP_S_C" 500 0 0 35</v>
      </c>
      <c r="M21" s="10" t="str">
        <f t="shared" si="5"/>
        <v>NPCReplacements=(FromClassName="SavageDaeodon_Character_BP_S_C",ToClassName="")</v>
      </c>
      <c r="N21" s="2"/>
    </row>
    <row r="22">
      <c r="A22" s="2"/>
      <c r="B22" s="7"/>
      <c r="C22" s="4">
        <f t="shared" si="7"/>
        <v>1</v>
      </c>
      <c r="D22" s="11" t="s">
        <v>72</v>
      </c>
      <c r="E22" s="12" t="s">
        <v>14</v>
      </c>
      <c r="F22" s="13"/>
      <c r="G22" s="12"/>
      <c r="H22" s="12" t="s">
        <v>73</v>
      </c>
      <c r="I22" s="13" t="str">
        <f t="shared" si="2"/>
        <v>cheat summon Defender_Character_BP_Savage_S_C</v>
      </c>
      <c r="J22" s="13" t="str">
        <f t="shared" si="3"/>
        <v>admincheat GMSummon "Defender_Character_BP_Savage_S_C" 225</v>
      </c>
      <c r="K22" s="12" t="s">
        <v>74</v>
      </c>
      <c r="L22" s="12" t="str">
        <f t="shared" si="4"/>
        <v>cheat spawndino "/ArkSupreme/Content/SupremeDinos/2Savage/DefenseUnit/Defender_Character_BP_Savage_S_C" 500 0 0 35</v>
      </c>
      <c r="M22" s="13" t="str">
        <f t="shared" si="5"/>
        <v>NPCReplacements=(FromClassName="Defender_Character_BP_Savage_S_C",ToClassName="")</v>
      </c>
      <c r="N22" s="2"/>
    </row>
    <row r="23">
      <c r="A23" s="2"/>
      <c r="B23" s="7"/>
      <c r="C23" s="4">
        <f t="shared" si="7"/>
        <v>1</v>
      </c>
      <c r="D23" s="8" t="s">
        <v>75</v>
      </c>
      <c r="E23" s="9" t="s">
        <v>14</v>
      </c>
      <c r="F23" s="10"/>
      <c r="G23" s="9"/>
      <c r="H23" s="9" t="s">
        <v>76</v>
      </c>
      <c r="I23" s="10" t="str">
        <f t="shared" si="2"/>
        <v>cheat summon SavageDilo_Character_BP_S_C</v>
      </c>
      <c r="J23" s="10" t="str">
        <f t="shared" si="3"/>
        <v>admincheat GMSummon "SavageDilo_Character_BP_S_C" 225</v>
      </c>
      <c r="K23" s="9" t="s">
        <v>77</v>
      </c>
      <c r="L23" s="9" t="str">
        <f t="shared" si="4"/>
        <v>cheat spawndino "/ArkSupreme/Content/SupremeDinos/2Savage/Dilo/SavageDilo_Character_BP_S_C" 500 0 0 35</v>
      </c>
      <c r="M23" s="10" t="str">
        <f t="shared" si="5"/>
        <v>NPCReplacements=(FromClassName="SavageDilo_Character_BP_S_C",ToClassName="")</v>
      </c>
      <c r="N23" s="2"/>
    </row>
    <row r="24">
      <c r="A24" s="2"/>
      <c r="B24" s="7"/>
      <c r="C24" s="4">
        <f t="shared" si="7"/>
        <v>1</v>
      </c>
      <c r="D24" s="11" t="s">
        <v>78</v>
      </c>
      <c r="E24" s="12" t="s">
        <v>14</v>
      </c>
      <c r="F24" s="13"/>
      <c r="G24" s="12"/>
      <c r="H24" s="12" t="s">
        <v>79</v>
      </c>
      <c r="I24" s="13" t="str">
        <f t="shared" si="2"/>
        <v>cheat summon SavageDimetro_Character_BP_S_C</v>
      </c>
      <c r="J24" s="13" t="str">
        <f t="shared" si="3"/>
        <v>admincheat GMSummon "SavageDimetro_Character_BP_S_C" 225</v>
      </c>
      <c r="K24" s="12" t="s">
        <v>80</v>
      </c>
      <c r="L24" s="12" t="str">
        <f t="shared" si="4"/>
        <v>cheat spawndino "/ArkSupreme/Content/SupremeDinos/2Savage/Dimetrodon/SavageDimetro_Character_BP_S_C" 500 0 0 35</v>
      </c>
      <c r="M24" s="13" t="str">
        <f t="shared" si="5"/>
        <v>NPCReplacements=(FromClassName="SavageDimetro_Character_BP_S_C",ToClassName="")</v>
      </c>
      <c r="N24" s="2"/>
    </row>
    <row r="25">
      <c r="A25" s="2"/>
      <c r="B25" s="7"/>
      <c r="C25" s="4">
        <f t="shared" si="7"/>
        <v>1</v>
      </c>
      <c r="D25" s="8" t="s">
        <v>81</v>
      </c>
      <c r="E25" s="9" t="s">
        <v>14</v>
      </c>
      <c r="F25" s="10"/>
      <c r="G25" s="9"/>
      <c r="H25" s="9" t="s">
        <v>82</v>
      </c>
      <c r="I25" s="10" t="str">
        <f t="shared" si="2"/>
        <v>cheat summon SavageDimorph_Character_BP_S_C</v>
      </c>
      <c r="J25" s="10" t="str">
        <f t="shared" si="3"/>
        <v>admincheat GMSummon "SavageDimorph_Character_BP_S_C" 225</v>
      </c>
      <c r="K25" s="9" t="s">
        <v>83</v>
      </c>
      <c r="L25" s="9" t="str">
        <f t="shared" si="4"/>
        <v>cheat spawndino "/ArkSupreme/Content/SupremeDinos/2Savage/Dimorphodon/SavageDimorph_Character_BP_S_C" 500 0 0 35</v>
      </c>
      <c r="M25" s="10" t="str">
        <f t="shared" si="5"/>
        <v>NPCReplacements=(FromClassName="SavageDimorph_Character_BP_S_C",ToClassName="")</v>
      </c>
      <c r="N25" s="2"/>
    </row>
    <row r="26">
      <c r="A26" s="2"/>
      <c r="B26" s="7"/>
      <c r="C26" s="4">
        <f t="shared" si="7"/>
        <v>1</v>
      </c>
      <c r="D26" s="11" t="s">
        <v>84</v>
      </c>
      <c r="E26" s="12" t="s">
        <v>14</v>
      </c>
      <c r="F26" s="13"/>
      <c r="G26" s="12"/>
      <c r="H26" s="12" t="s">
        <v>85</v>
      </c>
      <c r="I26" s="13" t="str">
        <f t="shared" si="2"/>
        <v>cheat summon SavageDiplodocus_Character_BP_S_C</v>
      </c>
      <c r="J26" s="13" t="str">
        <f t="shared" si="3"/>
        <v>admincheat GMSummon "SavageDiplodocus_Character_BP_S_C" 225</v>
      </c>
      <c r="K26" s="12" t="s">
        <v>86</v>
      </c>
      <c r="L26" s="12" t="str">
        <f t="shared" si="4"/>
        <v>cheat spawndino "/ArkSupreme/Content/SupremeDinos/2Savage/Diplodocus/SavageDiplodocus_Character_BP_S_C" 500 0 0 35</v>
      </c>
      <c r="M26" s="13" t="str">
        <f t="shared" si="5"/>
        <v>NPCReplacements=(FromClassName="SavageDiplodocus_Character_BP_S_C",ToClassName="")</v>
      </c>
      <c r="N26" s="2"/>
    </row>
    <row r="27">
      <c r="A27" s="2"/>
      <c r="B27" s="7"/>
      <c r="C27" s="4">
        <f t="shared" si="7"/>
        <v>1</v>
      </c>
      <c r="D27" s="8" t="s">
        <v>87</v>
      </c>
      <c r="E27" s="9" t="s">
        <v>14</v>
      </c>
      <c r="F27" s="10"/>
      <c r="G27" s="9"/>
      <c r="H27" s="9" t="s">
        <v>88</v>
      </c>
      <c r="I27" s="10" t="str">
        <f t="shared" si="2"/>
        <v>cheat summon SavageDirebear_Character_BP_S_C</v>
      </c>
      <c r="J27" s="10" t="str">
        <f t="shared" si="3"/>
        <v>admincheat GMSummon "SavageDirebear_Character_BP_S_C" 225</v>
      </c>
      <c r="K27" s="9" t="s">
        <v>89</v>
      </c>
      <c r="L27" s="9" t="str">
        <f t="shared" si="4"/>
        <v>cheat spawndino "/ArkSupreme/Content/SupremeDinos/2Savage/Direbear/SavageDirebear_Character_BP_S_C" 500 0 0 35</v>
      </c>
      <c r="M27" s="10" t="str">
        <f t="shared" si="5"/>
        <v>NPCReplacements=(FromClassName="SavageDirebear_Character_BP_S_C",ToClassName="")</v>
      </c>
      <c r="N27" s="2"/>
    </row>
    <row r="28">
      <c r="A28" s="2"/>
      <c r="B28" s="7"/>
      <c r="C28" s="4"/>
      <c r="D28" s="11" t="s">
        <v>90</v>
      </c>
      <c r="E28" s="12" t="s">
        <v>51</v>
      </c>
      <c r="F28" s="13"/>
      <c r="G28" s="12"/>
      <c r="H28" s="12" t="s">
        <v>91</v>
      </c>
      <c r="I28" s="13" t="str">
        <f t="shared" si="2"/>
        <v>cheat summon SavageDirewolf_Character_BP_S_C</v>
      </c>
      <c r="J28" s="13" t="str">
        <f t="shared" si="3"/>
        <v>admincheat GMSummon "SavageDirewolf_Character_BP_S_C" 225</v>
      </c>
      <c r="K28" s="12" t="s">
        <v>92</v>
      </c>
      <c r="L28" s="12" t="str">
        <f t="shared" si="4"/>
        <v>cheat spawndino "/ArkSupreme/Content/SupremeDinos/2Savage/Direwolf/SavageDirewolf_Character_BP_S_C" 500 0 0 35</v>
      </c>
      <c r="M28" s="13" t="str">
        <f t="shared" si="5"/>
        <v>NPCReplacements=(FromClassName="SavageDirewolf_Character_BP_S_C",ToClassName="")</v>
      </c>
      <c r="N28" s="2"/>
    </row>
    <row r="29">
      <c r="A29" s="2"/>
      <c r="B29" s="7"/>
      <c r="C29" s="4"/>
      <c r="D29" s="8" t="s">
        <v>93</v>
      </c>
      <c r="E29" s="9" t="s">
        <v>51</v>
      </c>
      <c r="F29" s="10"/>
      <c r="G29" s="9"/>
      <c r="H29" s="9" t="s">
        <v>94</v>
      </c>
      <c r="I29" s="10" t="str">
        <f t="shared" si="2"/>
        <v>cheat summon SavageDodo_Character_BP_S_C</v>
      </c>
      <c r="J29" s="10" t="str">
        <f t="shared" si="3"/>
        <v>admincheat GMSummon "SavageDodo_Character_BP_S_C" 225</v>
      </c>
      <c r="K29" s="9" t="s">
        <v>95</v>
      </c>
      <c r="L29" s="9" t="str">
        <f t="shared" si="4"/>
        <v>cheat spawndino "/ArkSupreme/Content/SupremeDinos/2Savage/Dodo/SavageDodo_Character_BP_S_C" 500 0 0 35</v>
      </c>
      <c r="M29" s="10" t="str">
        <f t="shared" si="5"/>
        <v>NPCReplacements=(FromClassName="SavageDodo_Character_BP_S_C",ToClassName="")</v>
      </c>
      <c r="N29" s="2"/>
    </row>
    <row r="30">
      <c r="A30" s="2"/>
      <c r="B30" s="7"/>
      <c r="C30" s="4">
        <f>IF(E30="Alpha",1)+IF(E30="Apex",2)+IF(E30="Earth",3)+IF(E30="Frost",3)+IF(E30="Nature",3)+IF(E30="Storm",4)+IF(E30="Volcanic",4)+IF(E30="Bionic",5)+IF(E30="Legendary",5)+IF(E30="Demonic",6)+IF(E30="Celestial",6)+IF(E30="Godly",7)+IF(E30="Loot",8)+IF(E30="Boss",9)</f>
        <v>1</v>
      </c>
      <c r="D30" s="11" t="s">
        <v>96</v>
      </c>
      <c r="E30" s="12" t="s">
        <v>14</v>
      </c>
      <c r="F30" s="13"/>
      <c r="G30" s="12"/>
      <c r="H30" s="12" t="s">
        <v>97</v>
      </c>
      <c r="I30" s="13" t="str">
        <f t="shared" si="2"/>
        <v>cheat summon DodoRex_Character_BP_Savage_S_C</v>
      </c>
      <c r="J30" s="13" t="str">
        <f t="shared" si="3"/>
        <v>admincheat GMSummon "DodoRex_Character_BP_Savage_S_C" 225</v>
      </c>
      <c r="K30" s="12" t="s">
        <v>98</v>
      </c>
      <c r="L30" s="12" t="str">
        <f t="shared" si="4"/>
        <v>cheat spawndino "/ArkSupreme/Content/SupremeDinos/2Savage/Dodorex/DodoRex_Character_BP_Savage_S_C" 500 0 0 35</v>
      </c>
      <c r="M30" s="13" t="str">
        <f t="shared" si="5"/>
        <v>NPCReplacements=(FromClassName="DodoRex_Character_BP_Savage_S_C",ToClassName="")</v>
      </c>
      <c r="N30" s="2"/>
    </row>
    <row r="31">
      <c r="A31" s="2"/>
      <c r="B31" s="7"/>
      <c r="C31" s="4"/>
      <c r="D31" s="8" t="s">
        <v>99</v>
      </c>
      <c r="E31" s="9" t="s">
        <v>51</v>
      </c>
      <c r="F31" s="10"/>
      <c r="G31" s="9"/>
      <c r="H31" s="9" t="s">
        <v>100</v>
      </c>
      <c r="I31" s="10" t="str">
        <f t="shared" si="2"/>
        <v>cheat summon DodoWyvern_Character_BP_Savage_S_C</v>
      </c>
      <c r="J31" s="10" t="str">
        <f t="shared" si="3"/>
        <v>admincheat GMSummon "DodoWyvern_Character_BP_Savage_S_C" 225</v>
      </c>
      <c r="K31" s="9" t="s">
        <v>101</v>
      </c>
      <c r="L31" s="9" t="str">
        <f t="shared" si="4"/>
        <v>cheat spawndino "/ArkSupreme/Content/SupremeDinos/2Savage/Dodowvyern/DodoWyvern_Character_BP_Savage_S_C" 500 0 0 35</v>
      </c>
      <c r="M31" s="10" t="str">
        <f t="shared" si="5"/>
        <v>NPCReplacements=(FromClassName="DodoWyvern_Character_BP_Savage_S_C",ToClassName="")</v>
      </c>
      <c r="N31" s="2"/>
    </row>
    <row r="32">
      <c r="A32" s="2"/>
      <c r="B32" s="7"/>
      <c r="C32" s="4">
        <f t="shared" ref="C32:C34" si="8">IF(E32="Alpha",1)+IF(E32="Apex",2)+IF(E32="Earth",3)+IF(E32="Frost",3)+IF(E32="Nature",3)+IF(E32="Storm",4)+IF(E32="Volcanic",4)+IF(E32="Bionic",5)+IF(E32="Legendary",5)+IF(E32="Demonic",6)+IF(E32="Celestial",6)+IF(E32="Godly",7)+IF(E32="Loot",8)+IF(E32="Boss",9)</f>
        <v>1</v>
      </c>
      <c r="D32" s="11" t="s">
        <v>102</v>
      </c>
      <c r="E32" s="12" t="s">
        <v>14</v>
      </c>
      <c r="F32" s="13"/>
      <c r="G32" s="12"/>
      <c r="H32" s="12" t="s">
        <v>103</v>
      </c>
      <c r="I32" s="13" t="str">
        <f t="shared" si="2"/>
        <v>cheat summon SavageDoed_Character_BP_S_C</v>
      </c>
      <c r="J32" s="13" t="str">
        <f t="shared" si="3"/>
        <v>admincheat GMSummon "SavageDoed_Character_BP_S_C" 225</v>
      </c>
      <c r="K32" s="12" t="s">
        <v>104</v>
      </c>
      <c r="L32" s="12" t="str">
        <f t="shared" si="4"/>
        <v>cheat spawndino "/ArkSupreme/Content/SupremeDinos/2Savage/Doedicurus/SavageDoed_Character_BP_S_C" 500 0 0 35</v>
      </c>
      <c r="M32" s="13" t="str">
        <f t="shared" si="5"/>
        <v>NPCReplacements=(FromClassName="SavageDoed_Character_BP_S_C",ToClassName="")</v>
      </c>
      <c r="N32" s="2"/>
    </row>
    <row r="33">
      <c r="A33" s="2"/>
      <c r="B33" s="7"/>
      <c r="C33" s="4">
        <f t="shared" si="8"/>
        <v>1</v>
      </c>
      <c r="D33" s="8" t="s">
        <v>105</v>
      </c>
      <c r="E33" s="9" t="s">
        <v>14</v>
      </c>
      <c r="F33" s="10"/>
      <c r="G33" s="9"/>
      <c r="H33" s="9" t="s">
        <v>106</v>
      </c>
      <c r="I33" s="10" t="str">
        <f t="shared" si="2"/>
        <v>cheat summon SavageDragonfly_Character_BP_S_C</v>
      </c>
      <c r="J33" s="10" t="str">
        <f t="shared" si="3"/>
        <v>admincheat GMSummon "SavageDragonfly_Character_BP_S_C" 225</v>
      </c>
      <c r="K33" s="9" t="s">
        <v>107</v>
      </c>
      <c r="L33" s="9" t="str">
        <f t="shared" si="4"/>
        <v>cheat spawndino "/ArkSupreme/Content/SupremeDinos/2Savage/Dragonfly/SavageDragonfly_Character_BP_S_C" 500 0 0 35</v>
      </c>
      <c r="M33" s="10" t="str">
        <f t="shared" si="5"/>
        <v>NPCReplacements=(FromClassName="SavageDragonfly_Character_BP_S_C",ToClassName="")</v>
      </c>
      <c r="N33" s="2"/>
    </row>
    <row r="34">
      <c r="A34" s="2"/>
      <c r="B34" s="7"/>
      <c r="C34" s="4">
        <f t="shared" si="8"/>
        <v>1</v>
      </c>
      <c r="D34" s="11" t="s">
        <v>108</v>
      </c>
      <c r="E34" s="12" t="s">
        <v>14</v>
      </c>
      <c r="F34" s="13"/>
      <c r="G34" s="12"/>
      <c r="H34" s="12" t="s">
        <v>109</v>
      </c>
      <c r="I34" s="13" t="str">
        <f t="shared" si="2"/>
        <v>cheat summon SavageDungBeetle_Character_BP_S_C</v>
      </c>
      <c r="J34" s="13" t="str">
        <f t="shared" si="3"/>
        <v>admincheat GMSummon "SavageDungBeetle_Character_BP_S_C" 225</v>
      </c>
      <c r="K34" s="12" t="s">
        <v>110</v>
      </c>
      <c r="L34" s="12" t="str">
        <f t="shared" si="4"/>
        <v>cheat spawndino "/ArkSupreme/Content/SupremeDinos/2Savage/Dungbeetle/SavageDungBeetle_Character_BP_S_C" 500 0 0 35</v>
      </c>
      <c r="M34" s="13" t="str">
        <f t="shared" si="5"/>
        <v>NPCReplacements=(FromClassName="SavageDungBeetle_Character_BP_S_C",ToClassName="")</v>
      </c>
      <c r="N34" s="2"/>
    </row>
    <row r="35">
      <c r="A35" s="2"/>
      <c r="B35" s="7"/>
      <c r="C35" s="4"/>
      <c r="D35" s="8" t="s">
        <v>111</v>
      </c>
      <c r="E35" s="9"/>
      <c r="F35" s="10"/>
      <c r="G35" s="9"/>
      <c r="H35" s="9" t="s">
        <v>112</v>
      </c>
      <c r="I35" s="10" t="str">
        <f t="shared" si="2"/>
        <v>cheat summon Enforcer_Character_BP_Savage_S_C</v>
      </c>
      <c r="J35" s="10" t="str">
        <f t="shared" si="3"/>
        <v>admincheat GMSummon "Enforcer_Character_BP_Savage_S_C" 225</v>
      </c>
      <c r="K35" s="9" t="s">
        <v>113</v>
      </c>
      <c r="L35" s="9" t="str">
        <f t="shared" si="4"/>
        <v>cheat spawndino "/ArkSupreme/Content/SupremeDinos/2Savage/Enforcer/Enforcer_Character_BP_Savage_S_C" 500 0 0 35</v>
      </c>
      <c r="M35" s="10" t="str">
        <f t="shared" si="5"/>
        <v>NPCReplacements=(FromClassName="Enforcer_Character_BP_Savage_S_C",ToClassName="")</v>
      </c>
      <c r="N35" s="2"/>
    </row>
    <row r="36">
      <c r="A36" s="2"/>
      <c r="B36" s="7"/>
      <c r="C36" s="4">
        <f t="shared" ref="C36:C37" si="9">IF(E36="Alpha",1)+IF(E36="Apex",2)+IF(E36="Earth",3)+IF(E36="Frost",3)+IF(E36="Nature",3)+IF(E36="Storm",4)+IF(E36="Volcanic",4)+IF(E36="Bionic",5)+IF(E36="Legendary",5)+IF(E36="Demonic",6)+IF(E36="Celestial",6)+IF(E36="Godly",7)+IF(E36="Loot",8)+IF(E36="Boss",9)</f>
        <v>1</v>
      </c>
      <c r="D36" s="11" t="s">
        <v>114</v>
      </c>
      <c r="E36" s="12" t="s">
        <v>14</v>
      </c>
      <c r="F36" s="13"/>
      <c r="G36" s="12"/>
      <c r="H36" s="12" t="s">
        <v>115</v>
      </c>
      <c r="I36" s="13" t="str">
        <f t="shared" si="2"/>
        <v>cheat summon SavageEquus_Character_BP_S_C</v>
      </c>
      <c r="J36" s="13" t="str">
        <f t="shared" si="3"/>
        <v>admincheat GMSummon "SavageEquus_Character_BP_S_C" 225</v>
      </c>
      <c r="K36" s="12" t="s">
        <v>116</v>
      </c>
      <c r="L36" s="12" t="str">
        <f t="shared" si="4"/>
        <v>cheat spawndino "/ArkSupreme/Content/SupremeDinos/2Savage/Equus/SavageEquus_Character_BP_S_C" 500 0 0 35</v>
      </c>
      <c r="M36" s="13" t="str">
        <f t="shared" si="5"/>
        <v>NPCReplacements=(FromClassName="SavageEquus_Character_BP_S_C",ToClassName="")</v>
      </c>
      <c r="N36" s="2"/>
    </row>
    <row r="37">
      <c r="A37" s="2"/>
      <c r="B37" s="7"/>
      <c r="C37" s="4">
        <f t="shared" si="9"/>
        <v>1</v>
      </c>
      <c r="D37" s="8" t="s">
        <v>117</v>
      </c>
      <c r="E37" s="9" t="s">
        <v>14</v>
      </c>
      <c r="F37" s="10"/>
      <c r="G37" s="9"/>
      <c r="H37" s="9" t="s">
        <v>118</v>
      </c>
      <c r="I37" s="10" t="str">
        <f t="shared" si="2"/>
        <v>cheat summon LanternBird_Character_BP_Savage_S_C</v>
      </c>
      <c r="J37" s="10" t="str">
        <f t="shared" si="3"/>
        <v>admincheat GMSummon "LanternBird_Character_BP_Savage_S_C" 225</v>
      </c>
      <c r="K37" s="9" t="s">
        <v>119</v>
      </c>
      <c r="L37" s="9" t="str">
        <f t="shared" si="4"/>
        <v>cheat spawndino "/ArkSupreme/Content/SupremeDinos/2Savage/Featherlight/LanternBird_Character_BP_Savage_S_C" 500 0 0 35</v>
      </c>
      <c r="M37" s="10" t="str">
        <f t="shared" si="5"/>
        <v>NPCReplacements=(FromClassName="LanternBird_Character_BP_Savage_S_C",ToClassName="")</v>
      </c>
      <c r="N37" s="2"/>
    </row>
    <row r="38">
      <c r="A38" s="2"/>
      <c r="B38" s="7"/>
      <c r="C38" s="4"/>
      <c r="D38" s="11" t="s">
        <v>120</v>
      </c>
      <c r="E38" s="12" t="s">
        <v>51</v>
      </c>
      <c r="F38" s="13"/>
      <c r="G38" s="12"/>
      <c r="H38" s="12" t="s">
        <v>121</v>
      </c>
      <c r="I38" s="13" t="str">
        <f t="shared" si="2"/>
        <v>cheat summon SavageToad_Character_BP_S_C</v>
      </c>
      <c r="J38" s="13" t="str">
        <f t="shared" si="3"/>
        <v>admincheat GMSummon "SavageToad_Character_BP_S_C" 225</v>
      </c>
      <c r="K38" s="12" t="s">
        <v>122</v>
      </c>
      <c r="L38" s="12" t="str">
        <f t="shared" si="4"/>
        <v>cheat spawndino "/ArkSupreme/Content/SupremeDinos/2Savage/Frog/SavageToad_Character_BP_S_C" 500 0 0 35</v>
      </c>
      <c r="M38" s="13" t="str">
        <f t="shared" si="5"/>
        <v>NPCReplacements=(FromClassName="SavageToad_Character_BP_S_C",ToClassName="")</v>
      </c>
      <c r="N38" s="2"/>
    </row>
    <row r="39">
      <c r="A39" s="2"/>
      <c r="B39" s="7"/>
      <c r="C39" s="4">
        <f t="shared" ref="C39:C44" si="10">IF(E39="Alpha",1)+IF(E39="Apex",2)+IF(E39="Earth",3)+IF(E39="Frost",3)+IF(E39="Nature",3)+IF(E39="Storm",4)+IF(E39="Volcanic",4)+IF(E39="Bionic",5)+IF(E39="Legendary",5)+IF(E39="Demonic",6)+IF(E39="Celestial",6)+IF(E39="Godly",7)+IF(E39="Loot",8)+IF(E39="Boss",9)</f>
        <v>1</v>
      </c>
      <c r="D39" s="8" t="s">
        <v>123</v>
      </c>
      <c r="E39" s="9" t="s">
        <v>14</v>
      </c>
      <c r="F39" s="10"/>
      <c r="G39" s="9"/>
      <c r="H39" s="9" t="s">
        <v>124</v>
      </c>
      <c r="I39" s="10" t="str">
        <f t="shared" si="2"/>
        <v>cheat summon SavageGalli_Character_BP_S_C</v>
      </c>
      <c r="J39" s="10" t="str">
        <f t="shared" si="3"/>
        <v>admincheat GMSummon "SavageGalli_Character_BP_S_C" 225</v>
      </c>
      <c r="K39" s="9" t="s">
        <v>125</v>
      </c>
      <c r="L39" s="9" t="str">
        <f t="shared" si="4"/>
        <v>cheat spawndino "/ArkSupreme/Content/SupremeDinos/2Savage/Gallimimus/SavageGalli_Character_BP_S_C" 500 0 0 35</v>
      </c>
      <c r="M39" s="10" t="str">
        <f t="shared" si="5"/>
        <v>NPCReplacements=(FromClassName="SavageGalli_Character_BP_S_C",ToClassName="")</v>
      </c>
      <c r="N39" s="2"/>
    </row>
    <row r="40">
      <c r="A40" s="2"/>
      <c r="B40" s="7"/>
      <c r="C40" s="4">
        <f t="shared" si="10"/>
        <v>1</v>
      </c>
      <c r="D40" s="11" t="s">
        <v>126</v>
      </c>
      <c r="E40" s="12" t="s">
        <v>14</v>
      </c>
      <c r="F40" s="13"/>
      <c r="G40" s="12"/>
      <c r="H40" s="12" t="s">
        <v>127</v>
      </c>
      <c r="I40" s="13" t="str">
        <f t="shared" si="2"/>
        <v>cheat summon GasBags_Character_BP_Savage_S_C</v>
      </c>
      <c r="J40" s="13" t="str">
        <f t="shared" si="3"/>
        <v>admincheat GMSummon "GasBags_Character_BP_Savage_S_C" 225</v>
      </c>
      <c r="K40" s="12" t="s">
        <v>128</v>
      </c>
      <c r="L40" s="12" t="str">
        <f t="shared" si="4"/>
        <v>cheat spawndino "/ArkSupreme/Content/SupremeDinos/2Savage/Gasbag/GasBags_Character_BP_Savage_S_C" 500 0 0 35</v>
      </c>
      <c r="M40" s="13" t="str">
        <f t="shared" si="5"/>
        <v>NPCReplacements=(FromClassName="GasBags_Character_BP_Savage_S_C",ToClassName="")</v>
      </c>
      <c r="N40" s="2"/>
    </row>
    <row r="41">
      <c r="A41" s="2"/>
      <c r="B41" s="7"/>
      <c r="C41" s="4">
        <f t="shared" si="10"/>
        <v>1</v>
      </c>
      <c r="D41" s="8" t="s">
        <v>129</v>
      </c>
      <c r="E41" s="9" t="s">
        <v>14</v>
      </c>
      <c r="F41" s="10"/>
      <c r="G41" s="9"/>
      <c r="H41" s="9" t="s">
        <v>130</v>
      </c>
      <c r="I41" s="10" t="str">
        <f t="shared" si="2"/>
        <v>cheat summon SavageGigant_Character_BP_S_C</v>
      </c>
      <c r="J41" s="10" t="str">
        <f t="shared" si="3"/>
        <v>admincheat GMSummon "SavageGigant_Character_BP_S_C" 225</v>
      </c>
      <c r="K41" s="9" t="s">
        <v>131</v>
      </c>
      <c r="L41" s="9" t="str">
        <f t="shared" si="4"/>
        <v>cheat spawndino "/ArkSupreme/Content/SupremeDinos/2Savage/Giga/SavageGigant_Character_BP_S_C" 500 0 0 35</v>
      </c>
      <c r="M41" s="10" t="str">
        <f t="shared" si="5"/>
        <v>NPCReplacements=(FromClassName="SavageGigant_Character_BP_S_C",ToClassName="")</v>
      </c>
      <c r="N41" s="2"/>
    </row>
    <row r="42">
      <c r="A42" s="2"/>
      <c r="B42" s="7"/>
      <c r="C42" s="4">
        <f t="shared" si="10"/>
        <v>1</v>
      </c>
      <c r="D42" s="11" t="s">
        <v>132</v>
      </c>
      <c r="E42" s="12" t="s">
        <v>14</v>
      </c>
      <c r="F42" s="13"/>
      <c r="G42" s="12"/>
      <c r="H42" s="12" t="s">
        <v>133</v>
      </c>
      <c r="I42" s="13" t="str">
        <f t="shared" si="2"/>
        <v>cheat summon SavageBigfoot_Character_BP_S_C</v>
      </c>
      <c r="J42" s="13" t="str">
        <f t="shared" si="3"/>
        <v>admincheat GMSummon "SavageBigfoot_Character_BP_S_C" 225</v>
      </c>
      <c r="K42" s="12" t="s">
        <v>134</v>
      </c>
      <c r="L42" s="12" t="str">
        <f t="shared" si="4"/>
        <v>cheat spawndino "/ArkSupreme/Content/SupremeDinos/2Savage/Gigantopithecus/SavageBigfoot_Character_BP_S_C" 500 0 0 35</v>
      </c>
      <c r="M42" s="13" t="str">
        <f t="shared" si="5"/>
        <v>NPCReplacements=(FromClassName="SavageBigfoot_Character_BP_S_C",ToClassName="")</v>
      </c>
      <c r="N42" s="2"/>
    </row>
    <row r="43">
      <c r="A43" s="2"/>
      <c r="B43" s="7"/>
      <c r="C43" s="4">
        <f t="shared" si="10"/>
        <v>1</v>
      </c>
      <c r="D43" s="8" t="s">
        <v>135</v>
      </c>
      <c r="E43" s="9" t="s">
        <v>14</v>
      </c>
      <c r="F43" s="10"/>
      <c r="G43" s="9"/>
      <c r="H43" s="9" t="s">
        <v>136</v>
      </c>
      <c r="I43" s="10" t="str">
        <f t="shared" si="2"/>
        <v>cheat summon LanternLizard_Character_BP_Savage_S_C</v>
      </c>
      <c r="J43" s="10" t="str">
        <f t="shared" si="3"/>
        <v>admincheat GMSummon "LanternLizard_Character_BP_Savage_S_C" 225</v>
      </c>
      <c r="K43" s="9" t="s">
        <v>137</v>
      </c>
      <c r="L43" s="9" t="str">
        <f t="shared" si="4"/>
        <v>cheat spawndino "/ArkSupreme/Content/SupremeDinos/2Savage/Glowtail/LanternLizard_Character_BP_Savage_S_C" 500 0 0 35</v>
      </c>
      <c r="M43" s="10" t="str">
        <f t="shared" si="5"/>
        <v>NPCReplacements=(FromClassName="LanternLizard_Character_BP_Savage_S_C",ToClassName="")</v>
      </c>
      <c r="N43" s="2"/>
    </row>
    <row r="44">
      <c r="A44" s="2"/>
      <c r="B44" s="7"/>
      <c r="C44" s="4">
        <f t="shared" si="10"/>
        <v>1</v>
      </c>
      <c r="D44" s="11" t="s">
        <v>138</v>
      </c>
      <c r="E44" s="12" t="s">
        <v>14</v>
      </c>
      <c r="F44" s="13"/>
      <c r="G44" s="12"/>
      <c r="H44" s="12" t="s">
        <v>139</v>
      </c>
      <c r="I44" s="13" t="str">
        <f t="shared" si="2"/>
        <v>cheat summon Gorilla_Character_BP_Savage_S_C</v>
      </c>
      <c r="J44" s="13" t="str">
        <f t="shared" si="3"/>
        <v>admincheat GMSummon "Gorilla_Character_BP_Savage_S_C" 225</v>
      </c>
      <c r="K44" s="12" t="s">
        <v>140</v>
      </c>
      <c r="L44" s="12" t="str">
        <f t="shared" si="4"/>
        <v>cheat spawndino "/ArkSupreme/Content/SupremeDinos/2Savage/Gorilla/Gorilla_Character_BP_Savage_S_C" 500 0 0 35</v>
      </c>
      <c r="M44" s="13" t="str">
        <f t="shared" si="5"/>
        <v>NPCReplacements=(FromClassName="Gorilla_Character_BP_Savage_S_C",ToClassName="")</v>
      </c>
      <c r="N44" s="2"/>
    </row>
    <row r="45">
      <c r="A45" s="2"/>
      <c r="B45" s="7"/>
      <c r="C45" s="4"/>
      <c r="D45" s="8" t="s">
        <v>141</v>
      </c>
      <c r="E45" s="14" t="s">
        <v>14</v>
      </c>
      <c r="F45" s="10"/>
      <c r="G45" s="9"/>
      <c r="H45" s="9" t="s">
        <v>142</v>
      </c>
      <c r="I45" s="10" t="s">
        <v>143</v>
      </c>
      <c r="J45" s="9" t="s">
        <v>144</v>
      </c>
      <c r="K45" s="9" t="s">
        <v>145</v>
      </c>
      <c r="L45" s="9" t="str">
        <f t="shared" si="4"/>
        <v>cheat spawndino "/ArkSupreme/Content/SupremeDinos/2Savage/Hesperornis/SavageHesperornis_Character_BP_S_C" 500 0 0 35</v>
      </c>
      <c r="M45" s="10" t="s">
        <v>146</v>
      </c>
      <c r="N45" s="2"/>
    </row>
    <row r="46">
      <c r="A46" s="2"/>
      <c r="B46" s="7"/>
      <c r="C46" s="4">
        <f t="shared" ref="C46:C47" si="11">IF(E46="Alpha",1)+IF(E46="Apex",2)+IF(E46="Earth",3)+IF(E46="Frost",3)+IF(E46="Nature",3)+IF(E46="Storm",4)+IF(E46="Volcanic",4)+IF(E46="Bionic",5)+IF(E46="Legendary",5)+IF(E46="Demonic",6)+IF(E46="Celestial",6)+IF(E46="Godly",7)+IF(E46="Loot",8)+IF(E46="Boss",9)</f>
        <v>1</v>
      </c>
      <c r="D46" s="11" t="s">
        <v>147</v>
      </c>
      <c r="E46" s="12" t="s">
        <v>14</v>
      </c>
      <c r="F46" s="13"/>
      <c r="G46" s="12"/>
      <c r="H46" s="12" t="s">
        <v>148</v>
      </c>
      <c r="I46" s="13" t="str">
        <f t="shared" ref="I46:I118" si="12">"cheat summon "&amp;H46</f>
        <v>cheat summon SavageHyaenodon_Character_BP_S_C</v>
      </c>
      <c r="J46" s="13" t="str">
        <f t="shared" ref="J46:J118" si="13"> "admincheat GMSummon " &amp;CHAR(34) &amp; H46&amp;CHAR(34)&amp; " 225"</f>
        <v>admincheat GMSummon "SavageHyaenodon_Character_BP_S_C" 225</v>
      </c>
      <c r="K46" s="12" t="s">
        <v>149</v>
      </c>
      <c r="L46" s="12" t="str">
        <f t="shared" si="4"/>
        <v>cheat spawndino "/ArkSupreme/Content/SupremeDinos/2Savage/Hyena/SavageHyaenodon_Character_BP_S_C" 500 0 0 35</v>
      </c>
      <c r="M46" s="13" t="str">
        <f t="shared" ref="M46:M118" si="14">"NPCReplacements=(FromClassName="&amp;CHAR(34)&amp;H46&amp;""&amp;CHAR(34)&amp;",ToClassName="&amp;CHAR(34)&amp;CHAR(34)&amp;")"</f>
        <v>NPCReplacements=(FromClassName="SavageHyaenodon_Character_BP_S_C",ToClassName="")</v>
      </c>
      <c r="N46" s="2"/>
    </row>
    <row r="47">
      <c r="A47" s="2"/>
      <c r="B47" s="7"/>
      <c r="C47" s="4">
        <f t="shared" si="11"/>
        <v>1</v>
      </c>
      <c r="D47" s="8" t="s">
        <v>150</v>
      </c>
      <c r="E47" s="9" t="s">
        <v>14</v>
      </c>
      <c r="F47" s="10"/>
      <c r="G47" s="9"/>
      <c r="H47" s="9" t="s">
        <v>151</v>
      </c>
      <c r="I47" s="10" t="str">
        <f t="shared" si="12"/>
        <v>cheat summon SavageIguanodon_Character_BP_S_C</v>
      </c>
      <c r="J47" s="10" t="str">
        <f t="shared" si="13"/>
        <v>admincheat GMSummon "SavageIguanodon_Character_BP_S_C" 225</v>
      </c>
      <c r="K47" s="9" t="s">
        <v>152</v>
      </c>
      <c r="L47" s="9" t="str">
        <f t="shared" si="4"/>
        <v>cheat spawndino "/ArkSupreme/Content/SupremeDinos/2Savage/Iguanodon/SavageIguanodon_Character_BP_S_C" 500 0 0 35</v>
      </c>
      <c r="M47" s="10" t="str">
        <f t="shared" si="14"/>
        <v>NPCReplacements=(FromClassName="SavageIguanodon_Character_BP_S_C",ToClassName="")</v>
      </c>
      <c r="N47" s="2"/>
    </row>
    <row r="48">
      <c r="A48" s="2"/>
      <c r="B48" s="7"/>
      <c r="C48" s="4"/>
      <c r="D48" s="11" t="s">
        <v>153</v>
      </c>
      <c r="E48" s="12" t="s">
        <v>51</v>
      </c>
      <c r="F48" s="13"/>
      <c r="G48" s="12"/>
      <c r="H48" s="12" t="s">
        <v>154</v>
      </c>
      <c r="I48" s="13" t="str">
        <f t="shared" si="12"/>
        <v>cheat summon Jerboa_Character_BP_Savage_S_C</v>
      </c>
      <c r="J48" s="13" t="str">
        <f t="shared" si="13"/>
        <v>admincheat GMSummon "Jerboa_Character_BP_Savage_S_C" 225</v>
      </c>
      <c r="K48" s="12" t="s">
        <v>155</v>
      </c>
      <c r="L48" s="12" t="str">
        <f t="shared" si="4"/>
        <v>cheat spawndino "/ArkSupreme/Content/SupremeDinos/2Savage/Jerboa/Jerboa_Character_BP_Savage_S_C" 500 0 0 35</v>
      </c>
      <c r="M48" s="13" t="str">
        <f t="shared" si="14"/>
        <v>NPCReplacements=(FromClassName="Jerboa_Character_BP_Savage_S_C",ToClassName="")</v>
      </c>
      <c r="N48" s="2"/>
    </row>
    <row r="49">
      <c r="A49" s="2"/>
      <c r="B49" s="7"/>
      <c r="C49" s="4"/>
      <c r="D49" s="8" t="s">
        <v>156</v>
      </c>
      <c r="E49" s="9"/>
      <c r="F49" s="10"/>
      <c r="G49" s="9"/>
      <c r="H49" s="9" t="s">
        <v>157</v>
      </c>
      <c r="I49" s="10" t="str">
        <f t="shared" si="12"/>
        <v>cheat summon SavageKairuku_Character_BP_S_C</v>
      </c>
      <c r="J49" s="10" t="str">
        <f t="shared" si="13"/>
        <v>admincheat GMSummon "SavageKairuku_Character_BP_S_C" 225</v>
      </c>
      <c r="K49" s="9" t="s">
        <v>158</v>
      </c>
      <c r="L49" s="9" t="str">
        <f t="shared" si="4"/>
        <v>cheat spawndino "/ArkSupreme/Content/SupremeDinos/2Savage/Kairuku/SavageKairuku_Character_BP_S_C" 500 0 0 35</v>
      </c>
      <c r="M49" s="10" t="str">
        <f t="shared" si="14"/>
        <v>NPCReplacements=(FromClassName="SavageKairuku_Character_BP_S_C",ToClassName="")</v>
      </c>
      <c r="N49" s="2"/>
    </row>
    <row r="50">
      <c r="A50" s="2"/>
      <c r="B50" s="7"/>
      <c r="C50" s="4">
        <f t="shared" ref="C50:C58" si="15">IF(E50="Alpha",1)+IF(E50="Apex",2)+IF(E50="Earth",3)+IF(E50="Frost",3)+IF(E50="Nature",3)+IF(E50="Storm",4)+IF(E50="Volcanic",4)+IF(E50="Bionic",5)+IF(E50="Legendary",5)+IF(E50="Demonic",6)+IF(E50="Celestial",6)+IF(E50="Godly",7)+IF(E50="Loot",8)+IF(E50="Boss",9)</f>
        <v>1</v>
      </c>
      <c r="D50" s="11" t="s">
        <v>159</v>
      </c>
      <c r="E50" s="12" t="s">
        <v>14</v>
      </c>
      <c r="F50" s="13"/>
      <c r="G50" s="12"/>
      <c r="H50" s="12" t="s">
        <v>160</v>
      </c>
      <c r="I50" s="13" t="str">
        <f t="shared" si="12"/>
        <v>cheat summon SavageKaprosuchus_Character_BP_S_C</v>
      </c>
      <c r="J50" s="13" t="str">
        <f t="shared" si="13"/>
        <v>admincheat GMSummon "SavageKaprosuchus_Character_BP_S_C" 225</v>
      </c>
      <c r="K50" s="12" t="s">
        <v>161</v>
      </c>
      <c r="L50" s="12" t="str">
        <f t="shared" si="4"/>
        <v>cheat spawndino "/ArkSupreme/Content/SupremeDinos/2Savage/Kaprosuchus/SavageKaprosuchus_Character_BP_S_C" 500 0 0 35</v>
      </c>
      <c r="M50" s="13" t="str">
        <f t="shared" si="14"/>
        <v>NPCReplacements=(FromClassName="SavageKaprosuchus_Character_BP_S_C",ToClassName="")</v>
      </c>
      <c r="N50" s="2"/>
    </row>
    <row r="51">
      <c r="A51" s="2"/>
      <c r="B51" s="7"/>
      <c r="C51" s="4">
        <f t="shared" si="15"/>
        <v>1</v>
      </c>
      <c r="D51" s="8" t="s">
        <v>162</v>
      </c>
      <c r="E51" s="9" t="s">
        <v>14</v>
      </c>
      <c r="F51" s="10"/>
      <c r="G51" s="9"/>
      <c r="H51" s="9" t="s">
        <v>163</v>
      </c>
      <c r="I51" s="10" t="str">
        <f t="shared" si="12"/>
        <v>cheat summon Crab_Character_BP_Savage_S_C</v>
      </c>
      <c r="J51" s="10" t="str">
        <f t="shared" si="13"/>
        <v>admincheat GMSummon "Crab_Character_BP_Savage_S_C" 225</v>
      </c>
      <c r="K51" s="9" t="s">
        <v>164</v>
      </c>
      <c r="L51" s="9" t="str">
        <f t="shared" si="4"/>
        <v>cheat spawndino "/ArkSupreme/Content/SupremeDinos/2Savage/Karkinos/Crab_Character_BP_Savage_S_C" 500 0 0 35</v>
      </c>
      <c r="M51" s="10" t="str">
        <f t="shared" si="14"/>
        <v>NPCReplacements=(FromClassName="Crab_Character_BP_Savage_S_C",ToClassName="")</v>
      </c>
      <c r="N51" s="2"/>
    </row>
    <row r="52">
      <c r="A52" s="2"/>
      <c r="B52" s="7"/>
      <c r="C52" s="4">
        <f t="shared" si="15"/>
        <v>1</v>
      </c>
      <c r="D52" s="11" t="s">
        <v>165</v>
      </c>
      <c r="E52" s="12" t="s">
        <v>14</v>
      </c>
      <c r="F52" s="13"/>
      <c r="G52" s="12"/>
      <c r="H52" s="12" t="s">
        <v>166</v>
      </c>
      <c r="I52" s="13" t="str">
        <f t="shared" si="12"/>
        <v>cheat summon SavageKentro_Character_BP_S_C</v>
      </c>
      <c r="J52" s="13" t="str">
        <f t="shared" si="13"/>
        <v>admincheat GMSummon "SavageKentro_Character_BP_S_C" 225</v>
      </c>
      <c r="K52" s="12" t="s">
        <v>167</v>
      </c>
      <c r="L52" s="12" t="str">
        <f t="shared" si="4"/>
        <v>cheat spawndino "/ArkSupreme/Content/SupremeDinos/2Savage/Kentro/SavageKentro_Character_BP_S_C" 500 0 0 35</v>
      </c>
      <c r="M52" s="13" t="str">
        <f t="shared" si="14"/>
        <v>NPCReplacements=(FromClassName="SavageKentro_Character_BP_S_C",ToClassName="")</v>
      </c>
      <c r="N52" s="2"/>
    </row>
    <row r="53">
      <c r="A53" s="2"/>
      <c r="B53" s="7"/>
      <c r="C53" s="4">
        <f t="shared" si="15"/>
        <v>1</v>
      </c>
      <c r="D53" s="8" t="s">
        <v>168</v>
      </c>
      <c r="E53" s="9" t="s">
        <v>14</v>
      </c>
      <c r="F53" s="10"/>
      <c r="G53" s="9"/>
      <c r="H53" s="9" t="s">
        <v>169</v>
      </c>
      <c r="I53" s="10" t="str">
        <f t="shared" si="12"/>
        <v>cheat summon SavageLystro_Character_BP_S_C</v>
      </c>
      <c r="J53" s="10" t="str">
        <f t="shared" si="13"/>
        <v>admincheat GMSummon "SavageLystro_Character_BP_S_C" 225</v>
      </c>
      <c r="K53" s="9" t="s">
        <v>170</v>
      </c>
      <c r="L53" s="9" t="str">
        <f t="shared" si="4"/>
        <v>cheat spawndino "/ArkSupreme/Content/SupremeDinos/2Savage/Lystro/SavageLystro_Character_BP_S_C" 500 0 0 35</v>
      </c>
      <c r="M53" s="10" t="str">
        <f t="shared" si="14"/>
        <v>NPCReplacements=(FromClassName="SavageLystro_Character_BP_S_C",ToClassName="")</v>
      </c>
      <c r="N53" s="2"/>
    </row>
    <row r="54">
      <c r="A54" s="2"/>
      <c r="B54" s="7"/>
      <c r="C54" s="4">
        <f t="shared" si="15"/>
        <v>1</v>
      </c>
      <c r="D54" s="11" t="s">
        <v>171</v>
      </c>
      <c r="E54" s="12" t="s">
        <v>14</v>
      </c>
      <c r="F54" s="13"/>
      <c r="G54" s="12"/>
      <c r="H54" s="12" t="s">
        <v>172</v>
      </c>
      <c r="I54" s="13" t="str">
        <f t="shared" si="12"/>
        <v>cheat summon SavageMammoth_Character_BP_S_C</v>
      </c>
      <c r="J54" s="13" t="str">
        <f t="shared" si="13"/>
        <v>admincheat GMSummon "SavageMammoth_Character_BP_S_C" 225</v>
      </c>
      <c r="K54" s="12" t="s">
        <v>173</v>
      </c>
      <c r="L54" s="12" t="str">
        <f t="shared" si="4"/>
        <v>cheat spawndino "/ArkSupreme/Content/SupremeDinos/2Savage/Mammoth/SavageMammoth_Character_BP_S_C" 500 0 0 35</v>
      </c>
      <c r="M54" s="13" t="str">
        <f t="shared" si="14"/>
        <v>NPCReplacements=(FromClassName="SavageMammoth_Character_BP_S_C",ToClassName="")</v>
      </c>
      <c r="N54" s="2"/>
    </row>
    <row r="55">
      <c r="A55" s="2"/>
      <c r="B55" s="7"/>
      <c r="C55" s="4">
        <f t="shared" si="15"/>
        <v>1</v>
      </c>
      <c r="D55" s="8" t="s">
        <v>174</v>
      </c>
      <c r="E55" s="9" t="s">
        <v>14</v>
      </c>
      <c r="F55" s="10"/>
      <c r="G55" s="9"/>
      <c r="H55" s="9" t="s">
        <v>175</v>
      </c>
      <c r="I55" s="10" t="str">
        <f t="shared" si="12"/>
        <v>cheat summon IceJumper_Character_BP_Savage_S_C</v>
      </c>
      <c r="J55" s="10" t="str">
        <f t="shared" si="13"/>
        <v>admincheat GMSummon "IceJumper_Character_BP_Savage_S_C" 225</v>
      </c>
      <c r="K55" s="9" t="s">
        <v>176</v>
      </c>
      <c r="L55" s="9" t="str">
        <f t="shared" si="4"/>
        <v>cheat spawndino "/ArkSupreme/Content/SupremeDinos/2Savage/Managarm/IceJumper_Character_BP_Savage_S_C" 500 0 0 35</v>
      </c>
      <c r="M55" s="10" t="str">
        <f t="shared" si="14"/>
        <v>NPCReplacements=(FromClassName="IceJumper_Character_BP_Savage_S_C",ToClassName="")</v>
      </c>
      <c r="N55" s="2"/>
    </row>
    <row r="56">
      <c r="A56" s="2"/>
      <c r="B56" s="7"/>
      <c r="C56" s="4">
        <f t="shared" si="15"/>
        <v>1</v>
      </c>
      <c r="D56" s="11" t="s">
        <v>177</v>
      </c>
      <c r="E56" s="12" t="s">
        <v>14</v>
      </c>
      <c r="F56" s="13"/>
      <c r="G56" s="12"/>
      <c r="H56" s="12" t="s">
        <v>178</v>
      </c>
      <c r="I56" s="13" t="str">
        <f t="shared" si="12"/>
        <v>cheat summon Manticore_Character_BP_Savage_S_C</v>
      </c>
      <c r="J56" s="13" t="str">
        <f t="shared" si="13"/>
        <v>admincheat GMSummon "Manticore_Character_BP_Savage_S_C" 225</v>
      </c>
      <c r="K56" s="12" t="s">
        <v>179</v>
      </c>
      <c r="L56" s="12" t="str">
        <f t="shared" si="4"/>
        <v>cheat spawndino "/ArkSupreme/Content/SupremeDinos/2Savage/Manticore/Manticore_Character_BP_Savage_S_C" 500 0 0 35</v>
      </c>
      <c r="M56" s="13" t="str">
        <f t="shared" si="14"/>
        <v>NPCReplacements=(FromClassName="Manticore_Character_BP_Savage_S_C",ToClassName="")</v>
      </c>
      <c r="N56" s="2"/>
    </row>
    <row r="57">
      <c r="A57" s="2"/>
      <c r="B57" s="7"/>
      <c r="C57" s="4">
        <f t="shared" si="15"/>
        <v>1</v>
      </c>
      <c r="D57" s="8" t="s">
        <v>180</v>
      </c>
      <c r="E57" s="9" t="s">
        <v>14</v>
      </c>
      <c r="F57" s="10"/>
      <c r="G57" s="9"/>
      <c r="H57" s="9" t="s">
        <v>181</v>
      </c>
      <c r="I57" s="10" t="str">
        <f t="shared" si="12"/>
        <v>cheat summon Mantis_Character_BP_Savage_S_C</v>
      </c>
      <c r="J57" s="10" t="str">
        <f t="shared" si="13"/>
        <v>admincheat GMSummon "Mantis_Character_BP_Savage_S_C" 225</v>
      </c>
      <c r="K57" s="9" t="s">
        <v>182</v>
      </c>
      <c r="L57" s="9" t="str">
        <f t="shared" si="4"/>
        <v>cheat spawndino "/ArkSupreme/Content/SupremeDinos/2Savage/Mantis/Mantis_Character_BP_Savage_S_C" 500 0 0 35</v>
      </c>
      <c r="M57" s="10" t="str">
        <f t="shared" si="14"/>
        <v>NPCReplacements=(FromClassName="Mantis_Character_BP_Savage_S_C",ToClassName="")</v>
      </c>
      <c r="N57" s="2"/>
    </row>
    <row r="58">
      <c r="A58" s="2"/>
      <c r="B58" s="7"/>
      <c r="C58" s="4">
        <f t="shared" si="15"/>
        <v>1</v>
      </c>
      <c r="D58" s="11" t="s">
        <v>183</v>
      </c>
      <c r="E58" s="12" t="s">
        <v>14</v>
      </c>
      <c r="F58" s="13"/>
      <c r="G58" s="12"/>
      <c r="H58" s="12" t="s">
        <v>184</v>
      </c>
      <c r="I58" s="13" t="str">
        <f t="shared" si="12"/>
        <v>cheat summon SavageMegalania_Character_BP_S_C</v>
      </c>
      <c r="J58" s="13" t="str">
        <f t="shared" si="13"/>
        <v>admincheat GMSummon "SavageMegalania_Character_BP_S_C" 225</v>
      </c>
      <c r="K58" s="12" t="s">
        <v>185</v>
      </c>
      <c r="L58" s="12" t="str">
        <f t="shared" si="4"/>
        <v>cheat spawndino "/ArkSupreme/Content/SupremeDinos/2Savage/Megalania/SavageMegalania_Character_BP_S_C" 500 0 0 35</v>
      </c>
      <c r="M58" s="13" t="str">
        <f t="shared" si="14"/>
        <v>NPCReplacements=(FromClassName="SavageMegalania_Character_BP_S_C",ToClassName="")</v>
      </c>
      <c r="N58" s="2"/>
    </row>
    <row r="59">
      <c r="A59" s="2"/>
      <c r="B59" s="7"/>
      <c r="C59" s="4"/>
      <c r="D59" s="8" t="s">
        <v>186</v>
      </c>
      <c r="E59" s="9" t="s">
        <v>14</v>
      </c>
      <c r="F59" s="10"/>
      <c r="G59" s="9"/>
      <c r="H59" s="9" t="s">
        <v>187</v>
      </c>
      <c r="I59" s="10" t="str">
        <f t="shared" si="12"/>
        <v>cheat summon SavageMegalosaurus_Character_BP_S_C</v>
      </c>
      <c r="J59" s="10" t="str">
        <f t="shared" si="13"/>
        <v>admincheat GMSummon "SavageMegalosaurus_Character_BP_S_C" 225</v>
      </c>
      <c r="K59" s="9" t="s">
        <v>188</v>
      </c>
      <c r="L59" s="9" t="str">
        <f t="shared" si="4"/>
        <v>cheat spawndino "/ArkSupreme/Content/SupremeDinos/2Savage/Megalo/SavageMegalosaurus_Character_BP_S_C" 500 0 0 35</v>
      </c>
      <c r="M59" s="10" t="str">
        <f t="shared" si="14"/>
        <v>NPCReplacements=(FromClassName="SavageMegalosaurus_Character_BP_S_C",ToClassName="")</v>
      </c>
      <c r="N59" s="2"/>
    </row>
    <row r="60">
      <c r="A60" s="2"/>
      <c r="B60" s="7"/>
      <c r="C60" s="4">
        <f t="shared" ref="C60:C63" si="16">IF(E60="Alpha",1)+IF(E60="Apex",2)+IF(E60="Earth",3)+IF(E60="Frost",3)+IF(E60="Nature",3)+IF(E60="Storm",4)+IF(E60="Volcanic",4)+IF(E60="Bionic",5)+IF(E60="Legendary",5)+IF(E60="Demonic",6)+IF(E60="Celestial",6)+IF(E60="Godly",7)+IF(E60="Loot",8)+IF(E60="Boss",9)</f>
        <v>1</v>
      </c>
      <c r="D60" s="11" t="s">
        <v>189</v>
      </c>
      <c r="E60" s="12" t="s">
        <v>14</v>
      </c>
      <c r="F60" s="13"/>
      <c r="G60" s="12"/>
      <c r="H60" s="12" t="s">
        <v>190</v>
      </c>
      <c r="I60" s="13" t="str">
        <f t="shared" si="12"/>
        <v>cheat summon SavageStag_Character_BP_S_C</v>
      </c>
      <c r="J60" s="13" t="str">
        <f t="shared" si="13"/>
        <v>admincheat GMSummon "SavageStag_Character_BP_S_C" 225</v>
      </c>
      <c r="K60" s="12" t="s">
        <v>191</v>
      </c>
      <c r="L60" s="12" t="str">
        <f t="shared" si="4"/>
        <v>cheat spawndino "/ArkSupreme/Content/SupremeDinos/2Savage/Megaloceros/SavageStag_Character_BP_S_C" 500 0 0 35</v>
      </c>
      <c r="M60" s="13" t="str">
        <f t="shared" si="14"/>
        <v>NPCReplacements=(FromClassName="SavageStag_Character_BP_S_C",ToClassName="")</v>
      </c>
      <c r="N60" s="2"/>
    </row>
    <row r="61">
      <c r="A61" s="2"/>
      <c r="B61" s="7"/>
      <c r="C61" s="4">
        <f t="shared" si="16"/>
        <v>1</v>
      </c>
      <c r="D61" s="8" t="s">
        <v>192</v>
      </c>
      <c r="E61" s="9" t="s">
        <v>14</v>
      </c>
      <c r="F61" s="10"/>
      <c r="G61" s="9"/>
      <c r="H61" s="9" t="s">
        <v>193</v>
      </c>
      <c r="I61" s="10" t="str">
        <f t="shared" si="12"/>
        <v>cheat summon SavageMegatherium_Character_BP_S_C</v>
      </c>
      <c r="J61" s="10" t="str">
        <f t="shared" si="13"/>
        <v>admincheat GMSummon "SavageMegatherium_Character_BP_S_C" 225</v>
      </c>
      <c r="K61" s="9" t="s">
        <v>194</v>
      </c>
      <c r="L61" s="9" t="str">
        <f t="shared" si="4"/>
        <v>cheat spawndino "/ArkSupreme/Content/SupremeDinos/2Savage/Megatherium/SavageMegatherium_Character_BP_S_C" 500 0 0 35</v>
      </c>
      <c r="M61" s="10" t="str">
        <f t="shared" si="14"/>
        <v>NPCReplacements=(FromClassName="SavageMegatherium_Character_BP_S_C",ToClassName="")</v>
      </c>
      <c r="N61" s="2"/>
    </row>
    <row r="62">
      <c r="A62" s="2"/>
      <c r="B62" s="7"/>
      <c r="C62" s="4">
        <f t="shared" si="16"/>
        <v>1</v>
      </c>
      <c r="D62" s="11" t="s">
        <v>195</v>
      </c>
      <c r="E62" s="12" t="s">
        <v>14</v>
      </c>
      <c r="F62" s="13"/>
      <c r="G62" s="12"/>
      <c r="H62" s="12" t="s">
        <v>196</v>
      </c>
      <c r="I62" s="13" t="str">
        <f t="shared" si="12"/>
        <v>cheat summon MoleRat_Character_BP_Savage_S_C</v>
      </c>
      <c r="J62" s="13" t="str">
        <f t="shared" si="13"/>
        <v>admincheat GMSummon "MoleRat_Character_BP_Savage_S_C" 225</v>
      </c>
      <c r="K62" s="12" t="s">
        <v>197</v>
      </c>
      <c r="L62" s="12" t="str">
        <f t="shared" si="4"/>
        <v>cheat spawndino "/ArkSupreme/Content/SupremeDinos/2Savage/Molerat/MoleRat_Character_BP_Savage_S_C" 500 0 0 35</v>
      </c>
      <c r="M62" s="13" t="str">
        <f t="shared" si="14"/>
        <v>NPCReplacements=(FromClassName="MoleRat_Character_BP_Savage_S_C",ToClassName="")</v>
      </c>
      <c r="N62" s="2"/>
    </row>
    <row r="63">
      <c r="A63" s="2"/>
      <c r="B63" s="7"/>
      <c r="C63" s="4">
        <f t="shared" si="16"/>
        <v>1</v>
      </c>
      <c r="D63" s="8" t="s">
        <v>198</v>
      </c>
      <c r="E63" s="9" t="s">
        <v>14</v>
      </c>
      <c r="F63" s="10"/>
      <c r="G63" s="9"/>
      <c r="H63" s="9" t="s">
        <v>199</v>
      </c>
      <c r="I63" s="10" t="str">
        <f t="shared" si="12"/>
        <v>cheat summon SavageMonkey_Character_BP_S_C</v>
      </c>
      <c r="J63" s="10" t="str">
        <f t="shared" si="13"/>
        <v>admincheat GMSummon "SavageMonkey_Character_BP_S_C" 225</v>
      </c>
      <c r="K63" s="9" t="s">
        <v>200</v>
      </c>
      <c r="L63" s="9" t="str">
        <f t="shared" si="4"/>
        <v>cheat spawndino "/ArkSupreme/Content/SupremeDinos/2Savage/Monkey/SavageMonkey_Character_BP_S_C" 500 0 0 35</v>
      </c>
      <c r="M63" s="10" t="str">
        <f t="shared" si="14"/>
        <v>NPCReplacements=(FromClassName="SavageMonkey_Character_BP_S_C",ToClassName="")</v>
      </c>
      <c r="N63" s="2"/>
    </row>
    <row r="64">
      <c r="A64" s="2"/>
      <c r="B64" s="7"/>
      <c r="C64" s="4"/>
      <c r="D64" s="11" t="s">
        <v>201</v>
      </c>
      <c r="E64" s="12" t="s">
        <v>202</v>
      </c>
      <c r="F64" s="13"/>
      <c r="G64" s="15"/>
      <c r="H64" s="16" t="s">
        <v>203</v>
      </c>
      <c r="I64" s="13" t="str">
        <f t="shared" si="12"/>
        <v>cheat summon camelsaurus_Character_BP_Savage_S_C</v>
      </c>
      <c r="J64" s="13" t="str">
        <f t="shared" si="13"/>
        <v>admincheat GMSummon "camelsaurus_Character_BP_Savage_S_C" 225</v>
      </c>
      <c r="K64" s="16" t="s">
        <v>204</v>
      </c>
      <c r="L64" s="12" t="str">
        <f t="shared" si="4"/>
        <v>cheat spawndino "/ArkSupreme/Content/SupremeDinos/2Savage/Morellatops/camelsaurus_Character_BP_Savage_S_C" 500 0 0 35</v>
      </c>
      <c r="M64" s="13" t="str">
        <f t="shared" si="14"/>
        <v>NPCReplacements=(FromClassName="camelsaurus_Character_BP_Savage_S_C",ToClassName="")</v>
      </c>
      <c r="N64" s="2"/>
    </row>
    <row r="65">
      <c r="A65" s="2"/>
      <c r="B65" s="7"/>
      <c r="C65" s="4">
        <f t="shared" ref="C65:C93" si="17">IF(E65="Alpha",1)+IF(E65="Apex",2)+IF(E65="Earth",3)+IF(E65="Frost",3)+IF(E65="Nature",3)+IF(E65="Storm",4)+IF(E65="Volcanic",4)+IF(E65="Bionic",5)+IF(E65="Legendary",5)+IF(E65="Demonic",6)+IF(E65="Celestial",6)+IF(E65="Godly",7)+IF(E65="Loot",8)+IF(E65="Boss",9)</f>
        <v>1</v>
      </c>
      <c r="D65" s="8" t="s">
        <v>205</v>
      </c>
      <c r="E65" s="9" t="s">
        <v>14</v>
      </c>
      <c r="F65" s="10"/>
      <c r="G65" s="9"/>
      <c r="H65" s="9" t="s">
        <v>206</v>
      </c>
      <c r="I65" s="10" t="str">
        <f t="shared" si="12"/>
        <v>cheat summon SavageMoschops_Character_BP_S_C</v>
      </c>
      <c r="J65" s="10" t="str">
        <f t="shared" si="13"/>
        <v>admincheat GMSummon "SavageMoschops_Character_BP_S_C" 225</v>
      </c>
      <c r="K65" s="9" t="s">
        <v>207</v>
      </c>
      <c r="L65" s="9" t="str">
        <f t="shared" si="4"/>
        <v>cheat spawndino "/ArkSupreme/Content/SupremeDinos/2Savage/Moschops/SavageMoschops_Character_BP_S_C" 500 0 0 35</v>
      </c>
      <c r="M65" s="10" t="str">
        <f t="shared" si="14"/>
        <v>NPCReplacements=(FromClassName="SavageMoschops_Character_BP_S_C",ToClassName="")</v>
      </c>
      <c r="N65" s="2"/>
    </row>
    <row r="66">
      <c r="A66" s="2"/>
      <c r="B66" s="7"/>
      <c r="C66" s="4">
        <f t="shared" si="17"/>
        <v>1</v>
      </c>
      <c r="D66" s="11" t="s">
        <v>208</v>
      </c>
      <c r="E66" s="12" t="s">
        <v>14</v>
      </c>
      <c r="F66" s="13"/>
      <c r="G66" s="12"/>
      <c r="H66" s="12" t="s">
        <v>209</v>
      </c>
      <c r="I66" s="13" t="str">
        <f t="shared" si="12"/>
        <v>cheat summon Moth_Character_BP_Savage_S_C</v>
      </c>
      <c r="J66" s="13" t="str">
        <f t="shared" si="13"/>
        <v>admincheat GMSummon "Moth_Character_BP_Savage_S_C" 225</v>
      </c>
      <c r="K66" s="12" t="s">
        <v>210</v>
      </c>
      <c r="L66" s="12" t="str">
        <f t="shared" si="4"/>
        <v>cheat spawndino "/ArkSupreme/Content/SupremeDinos/2Savage/Moth/Moth_Character_BP_Savage_S_C" 500 0 0 35</v>
      </c>
      <c r="M66" s="13" t="str">
        <f t="shared" si="14"/>
        <v>NPCReplacements=(FromClassName="Moth_Character_BP_Savage_S_C",ToClassName="")</v>
      </c>
      <c r="N66" s="2"/>
    </row>
    <row r="67">
      <c r="A67" s="2"/>
      <c r="B67" s="7"/>
      <c r="C67" s="4">
        <f t="shared" si="17"/>
        <v>1</v>
      </c>
      <c r="D67" s="8" t="s">
        <v>211</v>
      </c>
      <c r="E67" s="9" t="s">
        <v>14</v>
      </c>
      <c r="F67" s="10"/>
      <c r="G67" s="9"/>
      <c r="H67" s="9" t="s">
        <v>212</v>
      </c>
      <c r="I67" s="10" t="str">
        <f t="shared" si="12"/>
        <v>cheat summon ChupaCabra_Character_BP_Savage_S_C</v>
      </c>
      <c r="J67" s="10" t="str">
        <f t="shared" si="13"/>
        <v>admincheat GMSummon "ChupaCabra_Character_BP_Savage_S_C" 225</v>
      </c>
      <c r="K67" s="9" t="s">
        <v>213</v>
      </c>
      <c r="L67" s="9" t="str">
        <f t="shared" si="4"/>
        <v>cheat spawndino "/ArkSupreme/Content/SupremeDinos/2Savage/Nameless/ChupaCabra_Character_BP_Savage_S_C" 500 0 0 35</v>
      </c>
      <c r="M67" s="10" t="str">
        <f t="shared" si="14"/>
        <v>NPCReplacements=(FromClassName="ChupaCabra_Character_BP_Savage_S_C",ToClassName="")</v>
      </c>
      <c r="N67" s="2"/>
    </row>
    <row r="68">
      <c r="A68" s="2"/>
      <c r="B68" s="7"/>
      <c r="C68" s="4">
        <f t="shared" si="17"/>
        <v>1</v>
      </c>
      <c r="D68" s="11" t="s">
        <v>214</v>
      </c>
      <c r="E68" s="12" t="s">
        <v>14</v>
      </c>
      <c r="F68" s="13"/>
      <c r="G68" s="12"/>
      <c r="H68" s="12" t="s">
        <v>215</v>
      </c>
      <c r="I68" s="13" t="str">
        <f t="shared" si="12"/>
        <v>cheat summon SavageOnyc_Character_BP_S_C</v>
      </c>
      <c r="J68" s="13" t="str">
        <f t="shared" si="13"/>
        <v>admincheat GMSummon "SavageOnyc_Character_BP_S_C" 225</v>
      </c>
      <c r="K68" s="12" t="s">
        <v>216</v>
      </c>
      <c r="L68" s="12" t="str">
        <f t="shared" si="4"/>
        <v>cheat spawndino "/ArkSupreme/Content/SupremeDinos/2Savage/Onyc/SavageOnyc_Character_BP_S_C" 500 0 0 35</v>
      </c>
      <c r="M68" s="13" t="str">
        <f t="shared" si="14"/>
        <v>NPCReplacements=(FromClassName="SavageOnyc_Character_BP_S_C",ToClassName="")</v>
      </c>
      <c r="N68" s="2"/>
    </row>
    <row r="69">
      <c r="A69" s="2"/>
      <c r="B69" s="7"/>
      <c r="C69" s="4">
        <f t="shared" si="17"/>
        <v>1</v>
      </c>
      <c r="D69" s="8" t="s">
        <v>217</v>
      </c>
      <c r="E69" s="9" t="s">
        <v>14</v>
      </c>
      <c r="F69" s="10"/>
      <c r="G69" s="9"/>
      <c r="H69" s="9" t="s">
        <v>218</v>
      </c>
      <c r="I69" s="10" t="str">
        <f t="shared" si="12"/>
        <v>cheat summon SavageOtter_Character_BP_S_C</v>
      </c>
      <c r="J69" s="10" t="str">
        <f t="shared" si="13"/>
        <v>admincheat GMSummon "SavageOtter_Character_BP_S_C" 225</v>
      </c>
      <c r="K69" s="9" t="s">
        <v>219</v>
      </c>
      <c r="L69" s="9" t="str">
        <f t="shared" si="4"/>
        <v>cheat spawndino "/ArkSupreme/Content/SupremeDinos/2Savage/Otter/SavageOtter_Character_BP_S_C" 500 0 0 35</v>
      </c>
      <c r="M69" s="10" t="str">
        <f t="shared" si="14"/>
        <v>NPCReplacements=(FromClassName="SavageOtter_Character_BP_S_C",ToClassName="")</v>
      </c>
      <c r="N69" s="2"/>
    </row>
    <row r="70">
      <c r="A70" s="2"/>
      <c r="B70" s="7"/>
      <c r="C70" s="4">
        <f t="shared" si="17"/>
        <v>1</v>
      </c>
      <c r="D70" s="11" t="s">
        <v>220</v>
      </c>
      <c r="E70" s="12" t="s">
        <v>14</v>
      </c>
      <c r="F70" s="13"/>
      <c r="G70" s="12"/>
      <c r="H70" s="12" t="s">
        <v>221</v>
      </c>
      <c r="I70" s="13" t="str">
        <f t="shared" si="12"/>
        <v>cheat summon SavageOviraptor_Character_BP_S_C</v>
      </c>
      <c r="J70" s="13" t="str">
        <f t="shared" si="13"/>
        <v>admincheat GMSummon "SavageOviraptor_Character_BP_S_C" 225</v>
      </c>
      <c r="K70" s="12" t="s">
        <v>222</v>
      </c>
      <c r="L70" s="12" t="str">
        <f t="shared" si="4"/>
        <v>cheat spawndino "/ArkSupreme/Content/SupremeDinos/2Savage/Oviraptor/SavageOviraptor_Character_BP_S_C" 500 0 0 35</v>
      </c>
      <c r="M70" s="13" t="str">
        <f t="shared" si="14"/>
        <v>NPCReplacements=(FromClassName="SavageOviraptor_Character_BP_S_C",ToClassName="")</v>
      </c>
      <c r="N70" s="2"/>
    </row>
    <row r="71">
      <c r="A71" s="2"/>
      <c r="B71" s="7"/>
      <c r="C71" s="4">
        <f t="shared" si="17"/>
        <v>1</v>
      </c>
      <c r="D71" s="8" t="s">
        <v>223</v>
      </c>
      <c r="E71" s="9" t="s">
        <v>14</v>
      </c>
      <c r="F71" s="10"/>
      <c r="G71" s="9"/>
      <c r="H71" s="9" t="s">
        <v>224</v>
      </c>
      <c r="I71" s="10" t="str">
        <f t="shared" si="12"/>
        <v>cheat summon SavageOvis_Character_BP_S_C</v>
      </c>
      <c r="J71" s="10" t="str">
        <f t="shared" si="13"/>
        <v>admincheat GMSummon "SavageOvis_Character_BP_S_C" 225</v>
      </c>
      <c r="K71" s="9" t="s">
        <v>225</v>
      </c>
      <c r="L71" s="9" t="str">
        <f t="shared" si="4"/>
        <v>cheat spawndino "/ArkSupreme/Content/SupremeDinos/2Savage/Ovis/SavageOvis_Character_BP_S_C" 500 0 0 35</v>
      </c>
      <c r="M71" s="10" t="str">
        <f t="shared" si="14"/>
        <v>NPCReplacements=(FromClassName="SavageOvis_Character_BP_S_C",ToClassName="")</v>
      </c>
      <c r="N71" s="2"/>
    </row>
    <row r="72">
      <c r="A72" s="2"/>
      <c r="B72" s="7"/>
      <c r="C72" s="4">
        <f t="shared" si="17"/>
        <v>1</v>
      </c>
      <c r="D72" s="11" t="s">
        <v>226</v>
      </c>
      <c r="E72" s="12" t="s">
        <v>14</v>
      </c>
      <c r="F72" s="13"/>
      <c r="G72" s="12"/>
      <c r="H72" s="12" t="s">
        <v>227</v>
      </c>
      <c r="I72" s="13" t="str">
        <f t="shared" si="12"/>
        <v>cheat summon Owl_Character_BP_Savage_S_C</v>
      </c>
      <c r="J72" s="13" t="str">
        <f t="shared" si="13"/>
        <v>admincheat GMSummon "Owl_Character_BP_Savage_S_C" 225</v>
      </c>
      <c r="K72" s="12" t="s">
        <v>228</v>
      </c>
      <c r="L72" s="12" t="str">
        <f t="shared" si="4"/>
        <v>cheat spawndino "/ArkSupreme/Content/SupremeDinos/2Savage/Owl/Owl_Character_BP_Savage_S_C" 500 0 0 35</v>
      </c>
      <c r="M72" s="13" t="str">
        <f t="shared" si="14"/>
        <v>NPCReplacements=(FromClassName="Owl_Character_BP_Savage_S_C",ToClassName="")</v>
      </c>
      <c r="N72" s="2"/>
    </row>
    <row r="73">
      <c r="A73" s="2"/>
      <c r="B73" s="7"/>
      <c r="C73" s="4">
        <f t="shared" si="17"/>
        <v>1</v>
      </c>
      <c r="D73" s="8" t="s">
        <v>229</v>
      </c>
      <c r="E73" s="9" t="s">
        <v>14</v>
      </c>
      <c r="F73" s="10"/>
      <c r="G73" s="9"/>
      <c r="H73" s="9" t="s">
        <v>230</v>
      </c>
      <c r="I73" s="10" t="str">
        <f t="shared" si="12"/>
        <v>cheat summon SavagePachy_Character_BP_S_C</v>
      </c>
      <c r="J73" s="10" t="str">
        <f t="shared" si="13"/>
        <v>admincheat GMSummon "SavagePachy_Character_BP_S_C" 225</v>
      </c>
      <c r="K73" s="9" t="s">
        <v>231</v>
      </c>
      <c r="L73" s="9" t="str">
        <f t="shared" si="4"/>
        <v>cheat spawndino "/ArkSupreme/Content/SupremeDinos/2Savage/Pachy/SavagePachy_Character_BP_S_C" 500 0 0 35</v>
      </c>
      <c r="M73" s="10" t="str">
        <f t="shared" si="14"/>
        <v>NPCReplacements=(FromClassName="SavagePachy_Character_BP_S_C",ToClassName="")</v>
      </c>
      <c r="N73" s="2"/>
    </row>
    <row r="74">
      <c r="A74" s="2"/>
      <c r="B74" s="7"/>
      <c r="C74" s="4">
        <f t="shared" si="17"/>
        <v>1</v>
      </c>
      <c r="D74" s="11" t="s">
        <v>232</v>
      </c>
      <c r="E74" s="12" t="s">
        <v>14</v>
      </c>
      <c r="F74" s="13"/>
      <c r="G74" s="12"/>
      <c r="H74" s="12" t="s">
        <v>233</v>
      </c>
      <c r="I74" s="13" t="str">
        <f t="shared" si="12"/>
        <v>cheat summon SavagePachyrhino_Character_BP_S_C</v>
      </c>
      <c r="J74" s="13" t="str">
        <f t="shared" si="13"/>
        <v>admincheat GMSummon "SavagePachyrhino_Character_BP_S_C" 225</v>
      </c>
      <c r="K74" s="12" t="s">
        <v>234</v>
      </c>
      <c r="L74" s="12" t="str">
        <f t="shared" si="4"/>
        <v>cheat spawndino "/ArkSupreme/Content/SupremeDinos/2Savage/Pachyrhino/SavagePachyrhino_Character_BP_S_C" 500 0 0 35</v>
      </c>
      <c r="M74" s="13" t="str">
        <f t="shared" si="14"/>
        <v>NPCReplacements=(FromClassName="SavagePachyrhino_Character_BP_S_C",ToClassName="")</v>
      </c>
      <c r="N74" s="2"/>
    </row>
    <row r="75">
      <c r="A75" s="2"/>
      <c r="B75" s="7"/>
      <c r="C75" s="4">
        <f t="shared" si="17"/>
        <v>1</v>
      </c>
      <c r="D75" s="8" t="s">
        <v>235</v>
      </c>
      <c r="E75" s="9" t="s">
        <v>14</v>
      </c>
      <c r="F75" s="10"/>
      <c r="G75" s="9"/>
      <c r="H75" s="9" t="s">
        <v>236</v>
      </c>
      <c r="I75" s="10" t="str">
        <f t="shared" si="12"/>
        <v>cheat summon SavageParacer_Character_BP_S_C</v>
      </c>
      <c r="J75" s="10" t="str">
        <f t="shared" si="13"/>
        <v>admincheat GMSummon "SavageParacer_Character_BP_S_C" 225</v>
      </c>
      <c r="K75" s="9" t="s">
        <v>237</v>
      </c>
      <c r="L75" s="9" t="str">
        <f t="shared" si="4"/>
        <v>cheat spawndino "/ArkSupreme/Content/SupremeDinos/2Savage/Paraceratherium/SavageParacer_Character_BP_S_C" 500 0 0 35</v>
      </c>
      <c r="M75" s="10" t="str">
        <f t="shared" si="14"/>
        <v>NPCReplacements=(FromClassName="SavageParacer_Character_BP_S_C",ToClassName="")</v>
      </c>
      <c r="N75" s="2"/>
    </row>
    <row r="76">
      <c r="A76" s="2"/>
      <c r="B76" s="7"/>
      <c r="C76" s="4">
        <f t="shared" si="17"/>
        <v>1</v>
      </c>
      <c r="D76" s="11" t="s">
        <v>238</v>
      </c>
      <c r="E76" s="12" t="s">
        <v>14</v>
      </c>
      <c r="F76" s="13"/>
      <c r="G76" s="12"/>
      <c r="H76" s="12" t="s">
        <v>239</v>
      </c>
      <c r="I76" s="13" t="str">
        <f t="shared" si="12"/>
        <v>cheat summon SavagePara_Character_BP_S_C</v>
      </c>
      <c r="J76" s="13" t="str">
        <f t="shared" si="13"/>
        <v>admincheat GMSummon "SavagePara_Character_BP_S_C" 225</v>
      </c>
      <c r="K76" s="12" t="s">
        <v>240</v>
      </c>
      <c r="L76" s="12" t="str">
        <f t="shared" si="4"/>
        <v>cheat spawndino "/ArkSupreme/Content/SupremeDinos/2Savage/Parasaur/SavagePara_Character_BP_S_C" 500 0 0 35</v>
      </c>
      <c r="M76" s="13" t="str">
        <f t="shared" si="14"/>
        <v>NPCReplacements=(FromClassName="SavagePara_Character_BP_S_C",ToClassName="")</v>
      </c>
      <c r="N76" s="2"/>
    </row>
    <row r="77">
      <c r="A77" s="2"/>
      <c r="B77" s="7"/>
      <c r="C77" s="4">
        <f t="shared" si="17"/>
        <v>1</v>
      </c>
      <c r="D77" s="8" t="s">
        <v>241</v>
      </c>
      <c r="E77" s="9" t="s">
        <v>14</v>
      </c>
      <c r="F77" s="10"/>
      <c r="G77" s="9"/>
      <c r="H77" s="9" t="s">
        <v>242</v>
      </c>
      <c r="I77" s="10" t="str">
        <f t="shared" si="12"/>
        <v>cheat summon SavagePegomastax_Character_BP_S_C</v>
      </c>
      <c r="J77" s="10" t="str">
        <f t="shared" si="13"/>
        <v>admincheat GMSummon "SavagePegomastax_Character_BP_S_C" 225</v>
      </c>
      <c r="K77" s="9" t="s">
        <v>243</v>
      </c>
      <c r="L77" s="9" t="str">
        <f t="shared" si="4"/>
        <v>cheat spawndino "/ArkSupreme/Content/SupremeDinos/2Savage/Pegomastax/SavagePegomastax_Character_BP_S_C" 500 0 0 35</v>
      </c>
      <c r="M77" s="10" t="str">
        <f t="shared" si="14"/>
        <v>NPCReplacements=(FromClassName="SavagePegomastax_Character_BP_S_C",ToClassName="")</v>
      </c>
      <c r="N77" s="2"/>
    </row>
    <row r="78">
      <c r="A78" s="2"/>
      <c r="B78" s="7"/>
      <c r="C78" s="4">
        <f t="shared" si="17"/>
        <v>1</v>
      </c>
      <c r="D78" s="11" t="s">
        <v>244</v>
      </c>
      <c r="E78" s="12" t="s">
        <v>14</v>
      </c>
      <c r="F78" s="13"/>
      <c r="G78" s="12"/>
      <c r="H78" s="12" t="s">
        <v>245</v>
      </c>
      <c r="I78" s="13" t="str">
        <f t="shared" si="12"/>
        <v>cheat summon SavagePela_Character_BP_S_C</v>
      </c>
      <c r="J78" s="13" t="str">
        <f t="shared" si="13"/>
        <v>admincheat GMSummon "SavagePela_Character_BP_S_C" 225</v>
      </c>
      <c r="K78" s="12" t="s">
        <v>246</v>
      </c>
      <c r="L78" s="12" t="str">
        <f t="shared" si="4"/>
        <v>cheat spawndino "/ArkSupreme/Content/SupremeDinos/2Savage/Pelagornis/SavagePela_Character_BP_S_C" 500 0 0 35</v>
      </c>
      <c r="M78" s="13" t="str">
        <f t="shared" si="14"/>
        <v>NPCReplacements=(FromClassName="SavagePela_Character_BP_S_C",ToClassName="")</v>
      </c>
      <c r="N78" s="2"/>
    </row>
    <row r="79">
      <c r="A79" s="2"/>
      <c r="B79" s="7"/>
      <c r="C79" s="4">
        <f t="shared" si="17"/>
        <v>1</v>
      </c>
      <c r="D79" s="8" t="s">
        <v>247</v>
      </c>
      <c r="E79" s="9" t="s">
        <v>14</v>
      </c>
      <c r="F79" s="10"/>
      <c r="G79" s="9"/>
      <c r="H79" s="9" t="s">
        <v>248</v>
      </c>
      <c r="I79" s="10" t="str">
        <f t="shared" si="12"/>
        <v>cheat summon SavagePhiomia_Character_BP_S_C</v>
      </c>
      <c r="J79" s="10" t="str">
        <f t="shared" si="13"/>
        <v>admincheat GMSummon "SavagePhiomia_Character_BP_S_C" 225</v>
      </c>
      <c r="K79" s="9" t="s">
        <v>249</v>
      </c>
      <c r="L79" s="9" t="str">
        <f t="shared" si="4"/>
        <v>cheat spawndino "/ArkSupreme/Content/SupremeDinos/2Savage/Phiomia/SavagePhiomia_Character_BP_S_C" 500 0 0 35</v>
      </c>
      <c r="M79" s="10" t="str">
        <f t="shared" si="14"/>
        <v>NPCReplacements=(FromClassName="SavagePhiomia_Character_BP_S_C",ToClassName="")</v>
      </c>
      <c r="N79" s="2"/>
    </row>
    <row r="80">
      <c r="A80" s="2"/>
      <c r="B80" s="7"/>
      <c r="C80" s="4">
        <f t="shared" si="17"/>
        <v>1</v>
      </c>
      <c r="D80" s="11" t="s">
        <v>250</v>
      </c>
      <c r="E80" s="12" t="s">
        <v>14</v>
      </c>
      <c r="F80" s="13"/>
      <c r="G80" s="12"/>
      <c r="H80" s="12" t="s">
        <v>251</v>
      </c>
      <c r="I80" s="13" t="str">
        <f t="shared" si="12"/>
        <v>cheat summon Phoenix_Character_BP_Savage_S_C</v>
      </c>
      <c r="J80" s="13" t="str">
        <f t="shared" si="13"/>
        <v>admincheat GMSummon "Phoenix_Character_BP_Savage_S_C" 225</v>
      </c>
      <c r="K80" s="12" t="s">
        <v>252</v>
      </c>
      <c r="L80" s="12" t="str">
        <f t="shared" si="4"/>
        <v>cheat spawndino "/ArkSupreme/Content/SupremeDinos/2Savage/Phoenix/Phoenix_Character_BP_Savage_S_C" 500 0 0 35</v>
      </c>
      <c r="M80" s="13" t="str">
        <f t="shared" si="14"/>
        <v>NPCReplacements=(FromClassName="Phoenix_Character_BP_Savage_S_C",ToClassName="")</v>
      </c>
      <c r="N80" s="2"/>
    </row>
    <row r="81">
      <c r="A81" s="2"/>
      <c r="B81" s="7"/>
      <c r="C81" s="4">
        <f t="shared" si="17"/>
        <v>1</v>
      </c>
      <c r="D81" s="8" t="s">
        <v>253</v>
      </c>
      <c r="E81" s="9" t="s">
        <v>14</v>
      </c>
      <c r="F81" s="10"/>
      <c r="G81" s="9"/>
      <c r="H81" s="9" t="s">
        <v>254</v>
      </c>
      <c r="I81" s="10" t="str">
        <f t="shared" si="12"/>
        <v>cheat summon SavageProcoptodon_Character_BP_S_C</v>
      </c>
      <c r="J81" s="10" t="str">
        <f t="shared" si="13"/>
        <v>admincheat GMSummon "SavageProcoptodon_Character_BP_S_C" 225</v>
      </c>
      <c r="K81" s="9" t="s">
        <v>255</v>
      </c>
      <c r="L81" s="9" t="str">
        <f t="shared" si="4"/>
        <v>cheat spawndino "/ArkSupreme/Content/SupremeDinos/2Savage/Procoptodon/SavageProcoptodon_Character_BP_S_C" 500 0 0 35</v>
      </c>
      <c r="M81" s="10" t="str">
        <f t="shared" si="14"/>
        <v>NPCReplacements=(FromClassName="SavageProcoptodon_Character_BP_S_C",ToClassName="")</v>
      </c>
      <c r="N81" s="2"/>
    </row>
    <row r="82">
      <c r="A82" s="2"/>
      <c r="B82" s="7"/>
      <c r="C82" s="4">
        <f t="shared" si="17"/>
        <v>1</v>
      </c>
      <c r="D82" s="11" t="s">
        <v>256</v>
      </c>
      <c r="E82" s="12" t="s">
        <v>14</v>
      </c>
      <c r="F82" s="13"/>
      <c r="G82" s="12"/>
      <c r="H82" s="12" t="s">
        <v>257</v>
      </c>
      <c r="I82" s="13" t="str">
        <f t="shared" si="12"/>
        <v>cheat summon SavagePtero_Character_BP_S_C</v>
      </c>
      <c r="J82" s="13" t="str">
        <f t="shared" si="13"/>
        <v>admincheat GMSummon "SavagePtero_Character_BP_S_C" 225</v>
      </c>
      <c r="K82" s="12" t="s">
        <v>258</v>
      </c>
      <c r="L82" s="12" t="str">
        <f t="shared" si="4"/>
        <v>cheat spawndino "/ArkSupreme/Content/SupremeDinos/2Savage/Ptera/SavagePtero_Character_BP_S_C" 500 0 0 35</v>
      </c>
      <c r="M82" s="13" t="str">
        <f t="shared" si="14"/>
        <v>NPCReplacements=(FromClassName="SavagePtero_Character_BP_S_C",ToClassName="")</v>
      </c>
      <c r="N82" s="2"/>
    </row>
    <row r="83">
      <c r="A83" s="2"/>
      <c r="B83" s="7"/>
      <c r="C83" s="4">
        <f t="shared" si="17"/>
        <v>1</v>
      </c>
      <c r="D83" s="8" t="s">
        <v>259</v>
      </c>
      <c r="E83" s="9" t="s">
        <v>14</v>
      </c>
      <c r="F83" s="10"/>
      <c r="G83" s="9"/>
      <c r="H83" s="9" t="s">
        <v>260</v>
      </c>
      <c r="I83" s="10" t="str">
        <f t="shared" si="12"/>
        <v>cheat summon Pteroteuthis_Character_BP_Savage_S_C</v>
      </c>
      <c r="J83" s="10" t="str">
        <f t="shared" si="13"/>
        <v>admincheat GMSummon "Pteroteuthis_Character_BP_Savage_S_C" 225</v>
      </c>
      <c r="K83" s="9" t="s">
        <v>261</v>
      </c>
      <c r="L83" s="9" t="str">
        <f t="shared" si="4"/>
        <v>cheat spawndino "/ArkSupreme/Content/SupremeDinos/2Savage/PteroTeuthis/Pteroteuthis_Character_BP_Savage_S_C" 500 0 0 35</v>
      </c>
      <c r="M83" s="10" t="str">
        <f t="shared" si="14"/>
        <v>NPCReplacements=(FromClassName="Pteroteuthis_Character_BP_Savage_S_C",ToClassName="")</v>
      </c>
      <c r="N83" s="2"/>
    </row>
    <row r="84">
      <c r="A84" s="2"/>
      <c r="B84" s="7"/>
      <c r="C84" s="4">
        <f t="shared" si="17"/>
        <v>1</v>
      </c>
      <c r="D84" s="11" t="s">
        <v>262</v>
      </c>
      <c r="E84" s="12" t="s">
        <v>14</v>
      </c>
      <c r="F84" s="13"/>
      <c r="G84" s="12"/>
      <c r="H84" s="12" t="s">
        <v>263</v>
      </c>
      <c r="I84" s="13" t="str">
        <f t="shared" si="12"/>
        <v>cheat summon SavageScorpion_Character_BP_S_C</v>
      </c>
      <c r="J84" s="13" t="str">
        <f t="shared" si="13"/>
        <v>admincheat GMSummon "SavageScorpion_Character_BP_S_C" 225</v>
      </c>
      <c r="K84" s="12" t="s">
        <v>264</v>
      </c>
      <c r="L84" s="12" t="str">
        <f t="shared" si="4"/>
        <v>cheat spawndino "/ArkSupreme/Content/SupremeDinos/2Savage/Pulmonoscorpius/SavageScorpion_Character_BP_S_C" 500 0 0 35</v>
      </c>
      <c r="M84" s="13" t="str">
        <f t="shared" si="14"/>
        <v>NPCReplacements=(FromClassName="SavageScorpion_Character_BP_S_C",ToClassName="")</v>
      </c>
      <c r="N84" s="2"/>
    </row>
    <row r="85">
      <c r="A85" s="2"/>
      <c r="B85" s="7"/>
      <c r="C85" s="4">
        <f t="shared" si="17"/>
        <v>1</v>
      </c>
      <c r="D85" s="8" t="s">
        <v>265</v>
      </c>
      <c r="E85" s="9" t="s">
        <v>14</v>
      </c>
      <c r="F85" s="10"/>
      <c r="G85" s="9"/>
      <c r="H85" s="9" t="s">
        <v>266</v>
      </c>
      <c r="I85" s="10" t="str">
        <f t="shared" si="12"/>
        <v>cheat summon SavagePurlovia_Character_BP_S_C</v>
      </c>
      <c r="J85" s="10" t="str">
        <f t="shared" si="13"/>
        <v>admincheat GMSummon "SavagePurlovia_Character_BP_S_C" 225</v>
      </c>
      <c r="K85" s="9" t="s">
        <v>267</v>
      </c>
      <c r="L85" s="9" t="str">
        <f t="shared" si="4"/>
        <v>cheat spawndino "/ArkSupreme/Content/SupremeDinos/2Savage/Purlovia/SavagePurlovia_Character_BP_S_C" 500 0 0 35</v>
      </c>
      <c r="M85" s="10" t="str">
        <f t="shared" si="14"/>
        <v>NPCReplacements=(FromClassName="SavagePurlovia_Character_BP_S_C",ToClassName="")</v>
      </c>
      <c r="N85" s="2"/>
    </row>
    <row r="86">
      <c r="A86" s="2"/>
      <c r="B86" s="7"/>
      <c r="C86" s="4">
        <f t="shared" si="17"/>
        <v>1</v>
      </c>
      <c r="D86" s="11" t="s">
        <v>268</v>
      </c>
      <c r="E86" s="12" t="s">
        <v>14</v>
      </c>
      <c r="F86" s="17"/>
      <c r="G86" s="12"/>
      <c r="H86" s="12" t="s">
        <v>269</v>
      </c>
      <c r="I86" s="13" t="str">
        <f t="shared" si="12"/>
        <v>cheat summon SavageQuetz_Character_BP_S_C</v>
      </c>
      <c r="J86" s="13" t="str">
        <f t="shared" si="13"/>
        <v>admincheat GMSummon "SavageQuetz_Character_BP_S_C" 225</v>
      </c>
      <c r="K86" s="12" t="s">
        <v>270</v>
      </c>
      <c r="L86" s="12" t="str">
        <f t="shared" si="4"/>
        <v>cheat spawndino "/ArkSupreme/Content/SupremeDinos/2Savage/Quetzal/SavageQuetz_Character_BP_S_C" 500 0 0 35</v>
      </c>
      <c r="M86" s="13" t="str">
        <f t="shared" si="14"/>
        <v>NPCReplacements=(FromClassName="SavageQuetz_Character_BP_S_C",ToClassName="")</v>
      </c>
      <c r="N86" s="2"/>
    </row>
    <row r="87">
      <c r="A87" s="2"/>
      <c r="B87" s="7"/>
      <c r="C87" s="4">
        <f t="shared" si="17"/>
        <v>1</v>
      </c>
      <c r="D87" s="8" t="s">
        <v>271</v>
      </c>
      <c r="E87" s="9" t="s">
        <v>14</v>
      </c>
      <c r="F87" s="10"/>
      <c r="G87" s="9"/>
      <c r="H87" s="9" t="s">
        <v>272</v>
      </c>
      <c r="I87" s="10" t="str">
        <f t="shared" si="12"/>
        <v>cheat summon SavageRaptor_Character_BP_S_C</v>
      </c>
      <c r="J87" s="10" t="str">
        <f t="shared" si="13"/>
        <v>admincheat GMSummon "SavageRaptor_Character_BP_S_C" 225</v>
      </c>
      <c r="K87" s="9" t="s">
        <v>273</v>
      </c>
      <c r="L87" s="9" t="str">
        <f t="shared" si="4"/>
        <v>cheat spawndino "/ArkSupreme/Content/SupremeDinos/2Savage/Raptor/SavageRaptor_Character_BP_S_C" 500 0 0 35</v>
      </c>
      <c r="M87" s="10" t="str">
        <f t="shared" si="14"/>
        <v>NPCReplacements=(FromClassName="SavageRaptor_Character_BP_S_C",ToClassName="")</v>
      </c>
      <c r="N87" s="2"/>
    </row>
    <row r="88">
      <c r="A88" s="2"/>
      <c r="B88" s="7"/>
      <c r="C88" s="4">
        <f t="shared" si="17"/>
        <v>1</v>
      </c>
      <c r="D88" s="11" t="s">
        <v>274</v>
      </c>
      <c r="E88" s="12" t="s">
        <v>14</v>
      </c>
      <c r="F88" s="13"/>
      <c r="G88" s="12"/>
      <c r="H88" s="12" t="s">
        <v>275</v>
      </c>
      <c r="I88" s="13" t="str">
        <f t="shared" si="12"/>
        <v>cheat summon CaveWolf_Character_BP_Savage_S_C</v>
      </c>
      <c r="J88" s="13" t="str">
        <f t="shared" si="13"/>
        <v>admincheat GMSummon "CaveWolf_Character_BP_Savage_S_C" 225</v>
      </c>
      <c r="K88" s="12" t="s">
        <v>276</v>
      </c>
      <c r="L88" s="12" t="str">
        <f t="shared" si="4"/>
        <v>cheat spawndino "/ArkSupreme/Content/SupremeDinos/2Savage/Ravager/CaveWolf_Character_BP_Savage_S_C" 500 0 0 35</v>
      </c>
      <c r="M88" s="13" t="str">
        <f t="shared" si="14"/>
        <v>NPCReplacements=(FromClassName="CaveWolf_Character_BP_Savage_S_C",ToClassName="")</v>
      </c>
      <c r="N88" s="2"/>
    </row>
    <row r="89">
      <c r="A89" s="2"/>
      <c r="B89" s="7"/>
      <c r="C89" s="4">
        <f t="shared" si="17"/>
        <v>1</v>
      </c>
      <c r="D89" s="8" t="s">
        <v>277</v>
      </c>
      <c r="E89" s="9" t="s">
        <v>14</v>
      </c>
      <c r="F89" s="10"/>
      <c r="G89" s="9"/>
      <c r="H89" s="9" t="s">
        <v>278</v>
      </c>
      <c r="I89" s="10" t="str">
        <f t="shared" si="12"/>
        <v>cheat summon SavageRex_Character_BP_S_C</v>
      </c>
      <c r="J89" s="10" t="str">
        <f t="shared" si="13"/>
        <v>admincheat GMSummon "SavageRex_Character_BP_S_C" 225</v>
      </c>
      <c r="K89" s="9" t="s">
        <v>279</v>
      </c>
      <c r="L89" s="9" t="str">
        <f t="shared" si="4"/>
        <v>cheat spawndino "/ArkSupreme/Content/SupremeDinos/2Savage/Rex/SavageRex_Character_BP_S_C" 500 0 0 35</v>
      </c>
      <c r="M89" s="10" t="str">
        <f t="shared" si="14"/>
        <v>NPCReplacements=(FromClassName="SavageRex_Character_BP_S_C",ToClassName="")</v>
      </c>
      <c r="N89" s="2"/>
    </row>
    <row r="90">
      <c r="A90" s="2"/>
      <c r="B90" s="7"/>
      <c r="C90" s="4">
        <f t="shared" si="17"/>
        <v>1</v>
      </c>
      <c r="D90" s="11" t="s">
        <v>280</v>
      </c>
      <c r="E90" s="12" t="s">
        <v>14</v>
      </c>
      <c r="F90" s="13"/>
      <c r="G90" s="12"/>
      <c r="H90" s="12" t="s">
        <v>281</v>
      </c>
      <c r="I90" s="13" t="str">
        <f t="shared" si="12"/>
        <v>cheat summon SavageRhynio_Character_BP_S_C</v>
      </c>
      <c r="J90" s="13" t="str">
        <f t="shared" si="13"/>
        <v>admincheat GMSummon "SavageRhynio_Character_BP_S_C" 225</v>
      </c>
      <c r="K90" s="12" t="s">
        <v>282</v>
      </c>
      <c r="L90" s="12" t="str">
        <f t="shared" si="4"/>
        <v>cheat spawndino "/ArkSupreme/Content/SupremeDinos/2Savage/Rhynio/SavageRhynio_Character_BP_S_C" 500 0 0 35</v>
      </c>
      <c r="M90" s="13" t="str">
        <f t="shared" si="14"/>
        <v>NPCReplacements=(FromClassName="SavageRhynio_Character_BP_S_C",ToClassName="")</v>
      </c>
      <c r="N90" s="2"/>
    </row>
    <row r="91">
      <c r="A91" s="2"/>
      <c r="B91" s="7"/>
      <c r="C91" s="4">
        <f t="shared" si="17"/>
        <v>1</v>
      </c>
      <c r="D91" s="8" t="s">
        <v>283</v>
      </c>
      <c r="E91" s="9" t="s">
        <v>14</v>
      </c>
      <c r="F91" s="10"/>
      <c r="G91" s="9"/>
      <c r="H91" s="9" t="s">
        <v>284</v>
      </c>
      <c r="I91" s="10" t="str">
        <f t="shared" si="12"/>
        <v>cheat summon RockDrake_Character_BP_Savage_S_C</v>
      </c>
      <c r="J91" s="10" t="str">
        <f t="shared" si="13"/>
        <v>admincheat GMSummon "RockDrake_Character_BP_Savage_S_C" 225</v>
      </c>
      <c r="K91" s="9" t="s">
        <v>285</v>
      </c>
      <c r="L91" s="9" t="str">
        <f t="shared" si="4"/>
        <v>cheat spawndino "/ArkSupreme/Content/SupremeDinos/2Savage/Rockdrake/RockDrake_Character_BP_Savage_S_C" 500 0 0 35</v>
      </c>
      <c r="M91" s="10" t="str">
        <f t="shared" si="14"/>
        <v>NPCReplacements=(FromClassName="RockDrake_Character_BP_Savage_S_C",ToClassName="")</v>
      </c>
      <c r="N91" s="2"/>
    </row>
    <row r="92">
      <c r="A92" s="2"/>
      <c r="B92" s="7"/>
      <c r="C92" s="4">
        <f t="shared" si="17"/>
        <v>1</v>
      </c>
      <c r="D92" s="11" t="s">
        <v>286</v>
      </c>
      <c r="E92" s="12" t="s">
        <v>14</v>
      </c>
      <c r="F92" s="13"/>
      <c r="G92" s="12"/>
      <c r="H92" s="12" t="s">
        <v>287</v>
      </c>
      <c r="I92" s="13" t="str">
        <f t="shared" si="12"/>
        <v>cheat summon RockGolem_Character_BP_Savage_S_C</v>
      </c>
      <c r="J92" s="13" t="str">
        <f t="shared" si="13"/>
        <v>admincheat GMSummon "RockGolem_Character_BP_Savage_S_C" 225</v>
      </c>
      <c r="K92" s="12" t="s">
        <v>288</v>
      </c>
      <c r="L92" s="12" t="str">
        <f t="shared" si="4"/>
        <v>cheat spawndino "/ArkSupreme/Content/SupremeDinos/2Savage/Rockgolem/RockGolem_Character_BP_Savage_S_C" 500 0 0 35</v>
      </c>
      <c r="M92" s="13" t="str">
        <f t="shared" si="14"/>
        <v>NPCReplacements=(FromClassName="RockGolem_Character_BP_Savage_S_C",ToClassName="")</v>
      </c>
      <c r="N92" s="2"/>
    </row>
    <row r="93">
      <c r="A93" s="2"/>
      <c r="B93" s="7"/>
      <c r="C93" s="4">
        <f t="shared" si="17"/>
        <v>1</v>
      </c>
      <c r="D93" s="8" t="s">
        <v>289</v>
      </c>
      <c r="E93" s="9" t="s">
        <v>14</v>
      </c>
      <c r="F93" s="10"/>
      <c r="G93" s="9"/>
      <c r="H93" s="9" t="s">
        <v>290</v>
      </c>
      <c r="I93" s="10" t="str">
        <f t="shared" si="12"/>
        <v>cheat summon SavageSaber_Character_BP_S_C</v>
      </c>
      <c r="J93" s="10" t="str">
        <f t="shared" si="13"/>
        <v>admincheat GMSummon "SavageSaber_Character_BP_S_C" 225</v>
      </c>
      <c r="K93" s="9" t="s">
        <v>291</v>
      </c>
      <c r="L93" s="9" t="str">
        <f t="shared" si="4"/>
        <v>cheat spawndino "/ArkSupreme/Content/SupremeDinos/2Savage/Sabertooth/SavageSaber_Character_BP_S_C" 500 0 0 35</v>
      </c>
      <c r="M93" s="10" t="str">
        <f t="shared" si="14"/>
        <v>NPCReplacements=(FromClassName="SavageSaber_Character_BP_S_C",ToClassName="")</v>
      </c>
      <c r="N93" s="2"/>
    </row>
    <row r="94">
      <c r="A94" s="2"/>
      <c r="B94" s="7"/>
      <c r="C94" s="4"/>
      <c r="D94" s="11" t="s">
        <v>292</v>
      </c>
      <c r="E94" s="12" t="s">
        <v>14</v>
      </c>
      <c r="F94" s="13"/>
      <c r="G94" s="12"/>
      <c r="H94" s="12" t="s">
        <v>293</v>
      </c>
      <c r="I94" s="13" t="str">
        <f t="shared" si="12"/>
        <v>cheat summon SavageSarco_Character_BP_S_C</v>
      </c>
      <c r="J94" s="13" t="str">
        <f t="shared" si="13"/>
        <v>admincheat GMSummon "SavageSarco_Character_BP_S_C" 225</v>
      </c>
      <c r="K94" s="12" t="s">
        <v>294</v>
      </c>
      <c r="L94" s="12" t="str">
        <f t="shared" si="4"/>
        <v>cheat spawndino "/ArkSupreme/Content/SupremeDinos/2Savage/Sarco/SavageSarco_Character_BP_S_C" 500 0 0 35</v>
      </c>
      <c r="M94" s="13" t="str">
        <f t="shared" si="14"/>
        <v>NPCReplacements=(FromClassName="SavageSarco_Character_BP_S_C",ToClassName="")</v>
      </c>
      <c r="N94" s="2"/>
    </row>
    <row r="95">
      <c r="A95" s="2"/>
      <c r="B95" s="7"/>
      <c r="C95" s="4"/>
      <c r="D95" s="8" t="s">
        <v>295</v>
      </c>
      <c r="E95" s="9" t="s">
        <v>14</v>
      </c>
      <c r="F95" s="10"/>
      <c r="G95" s="9"/>
      <c r="H95" s="9" t="s">
        <v>296</v>
      </c>
      <c r="I95" s="10" t="str">
        <f t="shared" si="12"/>
        <v>cheat summon Scout_Character_BP_Savage_S_C</v>
      </c>
      <c r="J95" s="10" t="str">
        <f t="shared" si="13"/>
        <v>admincheat GMSummon "Scout_Character_BP_Savage_S_C" 225</v>
      </c>
      <c r="K95" s="9" t="s">
        <v>297</v>
      </c>
      <c r="L95" s="9" t="str">
        <f t="shared" si="4"/>
        <v>cheat spawndino "/ArkSupreme/Content/SupremeDinos/2Savage/Scout/Scout_Character_BP_Savage_S_C" 500 0 0 35</v>
      </c>
      <c r="M95" s="10" t="str">
        <f t="shared" si="14"/>
        <v>NPCReplacements=(FromClassName="Scout_Character_BP_Savage_S_C",ToClassName="")</v>
      </c>
      <c r="N95" s="2"/>
    </row>
    <row r="96">
      <c r="A96" s="2"/>
      <c r="B96" s="7"/>
      <c r="C96" s="4"/>
      <c r="D96" s="11" t="s">
        <v>298</v>
      </c>
      <c r="E96" s="12" t="s">
        <v>14</v>
      </c>
      <c r="F96" s="13"/>
      <c r="G96" s="12"/>
      <c r="H96" s="12" t="s">
        <v>299</v>
      </c>
      <c r="I96" s="13" t="str">
        <f t="shared" si="12"/>
        <v>cheat summon LanternGoat_Character_BP_Savage_S_C</v>
      </c>
      <c r="J96" s="13" t="str">
        <f t="shared" si="13"/>
        <v>admincheat GMSummon "LanternGoat_Character_BP_Savage_S_C" 225</v>
      </c>
      <c r="K96" s="12" t="s">
        <v>300</v>
      </c>
      <c r="L96" s="12" t="str">
        <f t="shared" si="4"/>
        <v>cheat spawndino "/ArkSupreme/Content/SupremeDinos/2Savage/Shinehorn/LanternGoat_Character_BP_Savage_S_C" 500 0 0 35</v>
      </c>
      <c r="M96" s="13" t="str">
        <f t="shared" si="14"/>
        <v>NPCReplacements=(FromClassName="LanternGoat_Character_BP_Savage_S_C",ToClassName="")</v>
      </c>
      <c r="N96" s="2"/>
    </row>
    <row r="97">
      <c r="A97" s="2"/>
      <c r="B97" s="7"/>
      <c r="C97" s="4"/>
      <c r="D97" s="8" t="s">
        <v>301</v>
      </c>
      <c r="E97" s="9"/>
      <c r="F97" s="10"/>
      <c r="G97" s="9"/>
      <c r="H97" s="9" t="s">
        <v>302</v>
      </c>
      <c r="I97" s="10" t="str">
        <f t="shared" si="12"/>
        <v>cheat summon SavageBoaFrill_Character_BP_S_C</v>
      </c>
      <c r="J97" s="10" t="str">
        <f t="shared" si="13"/>
        <v>admincheat GMSummon "SavageBoaFrill_Character_BP_S_C" 225</v>
      </c>
      <c r="K97" s="9" t="s">
        <v>303</v>
      </c>
      <c r="L97" s="9" t="str">
        <f t="shared" si="4"/>
        <v>cheat spawndino "/ArkSupreme/Content/SupremeDinos/2Savage/Snake/SavageBoaFrill_Character_BP_S_C" 500 0 0 35</v>
      </c>
      <c r="M97" s="10" t="str">
        <f t="shared" si="14"/>
        <v>NPCReplacements=(FromClassName="SavageBoaFrill_Character_BP_S_C",ToClassName="")</v>
      </c>
      <c r="N97" s="2"/>
    </row>
    <row r="98">
      <c r="A98" s="2"/>
      <c r="B98" s="7"/>
      <c r="C98" s="4"/>
      <c r="D98" s="11" t="s">
        <v>304</v>
      </c>
      <c r="E98" s="12"/>
      <c r="F98" s="13"/>
      <c r="G98" s="12"/>
      <c r="H98" s="12" t="s">
        <v>305</v>
      </c>
      <c r="I98" s="13" t="str">
        <f t="shared" si="12"/>
        <v>cheat summon SavageSpino_Character_BP_S_C</v>
      </c>
      <c r="J98" s="13" t="str">
        <f t="shared" si="13"/>
        <v>admincheat GMSummon "SavageSpino_Character_BP_S_C" 225</v>
      </c>
      <c r="K98" s="12" t="s">
        <v>306</v>
      </c>
      <c r="L98" s="12" t="str">
        <f t="shared" si="4"/>
        <v>cheat spawndino "/ArkSupreme/Content/SupremeDinos/2Savage/Spinosaurus/SavageSpino_Character_BP_S_C" 500 0 0 35</v>
      </c>
      <c r="M98" s="13" t="str">
        <f t="shared" si="14"/>
        <v>NPCReplacements=(FromClassName="SavageSpino_Character_BP_S_C",ToClassName="")</v>
      </c>
      <c r="N98" s="2"/>
    </row>
    <row r="99">
      <c r="A99" s="2"/>
      <c r="B99" s="7"/>
      <c r="C99" s="4"/>
      <c r="D99" s="8" t="s">
        <v>307</v>
      </c>
      <c r="E99" s="9"/>
      <c r="F99" s="10"/>
      <c r="G99" s="9"/>
      <c r="H99" s="9" t="s">
        <v>308</v>
      </c>
      <c r="I99" s="10" t="str">
        <f t="shared" si="12"/>
        <v>cheat summon SavageStego_Character_BP_C</v>
      </c>
      <c r="J99" s="10" t="str">
        <f t="shared" si="13"/>
        <v>admincheat GMSummon "SavageStego_Character_BP_C" 225</v>
      </c>
      <c r="K99" s="9" t="s">
        <v>309</v>
      </c>
      <c r="L99" s="9" t="str">
        <f t="shared" si="4"/>
        <v>cheat spawndino "/ArkSupreme/Content/SupremeDinos/2Savage/Stego/SavageStego_Character_BP_C" 500 0 0 35</v>
      </c>
      <c r="M99" s="10" t="str">
        <f t="shared" si="14"/>
        <v>NPCReplacements=(FromClassName="SavageStego_Character_BP_C",ToClassName="")</v>
      </c>
      <c r="N99" s="2"/>
    </row>
    <row r="100">
      <c r="A100" s="2"/>
      <c r="B100" s="7"/>
      <c r="C100" s="4"/>
      <c r="D100" s="11" t="s">
        <v>310</v>
      </c>
      <c r="E100" s="12"/>
      <c r="F100" s="13"/>
      <c r="G100" s="12"/>
      <c r="H100" s="12" t="s">
        <v>311</v>
      </c>
      <c r="I100" s="13" t="str">
        <f t="shared" si="12"/>
        <v>cheat summon SavageTapejara_Character_BP_S_C</v>
      </c>
      <c r="J100" s="13" t="str">
        <f t="shared" si="13"/>
        <v>admincheat GMSummon "SavageTapejara_Character_BP_S_C" 225</v>
      </c>
      <c r="K100" s="12" t="s">
        <v>312</v>
      </c>
      <c r="L100" s="12" t="str">
        <f t="shared" si="4"/>
        <v>cheat spawndino "/ArkSupreme/Content/SupremeDinos/2Savage/Tapejara/SavageTapejara_Character_BP_S_C" 500 0 0 35</v>
      </c>
      <c r="M100" s="13" t="str">
        <f t="shared" si="14"/>
        <v>NPCReplacements=(FromClassName="SavageTapejara_Character_BP_S_C",ToClassName="")</v>
      </c>
      <c r="N100" s="2"/>
    </row>
    <row r="101">
      <c r="A101" s="2"/>
      <c r="B101" s="7"/>
      <c r="C101" s="4"/>
      <c r="D101" s="8" t="s">
        <v>313</v>
      </c>
      <c r="E101" s="9"/>
      <c r="F101" s="10"/>
      <c r="G101" s="9"/>
      <c r="H101" s="9" t="s">
        <v>314</v>
      </c>
      <c r="I101" s="10" t="str">
        <f t="shared" si="12"/>
        <v>cheat summon SavageTerrorBird_Character_BP_S_C</v>
      </c>
      <c r="J101" s="10" t="str">
        <f t="shared" si="13"/>
        <v>admincheat GMSummon "SavageTerrorBird_Character_BP_S_C" 225</v>
      </c>
      <c r="K101" s="9" t="s">
        <v>315</v>
      </c>
      <c r="L101" s="9" t="str">
        <f t="shared" si="4"/>
        <v>cheat spawndino "/ArkSupreme/Content/SupremeDinos/2Savage/TerrorBird/SavageTerrorBird_Character_BP_S_C" 500 0 0 35</v>
      </c>
      <c r="M101" s="10" t="str">
        <f t="shared" si="14"/>
        <v>NPCReplacements=(FromClassName="SavageTerrorBird_Character_BP_S_C",ToClassName="")</v>
      </c>
      <c r="N101" s="2"/>
    </row>
    <row r="102">
      <c r="A102" s="2"/>
      <c r="B102" s="7"/>
      <c r="C102" s="4"/>
      <c r="D102" s="11" t="s">
        <v>316</v>
      </c>
      <c r="E102" s="12"/>
      <c r="F102" s="13"/>
      <c r="G102" s="12"/>
      <c r="H102" s="12" t="s">
        <v>317</v>
      </c>
      <c r="I102" s="13" t="str">
        <f t="shared" si="12"/>
        <v>cheat summon SavageTherizino_Character_BP_S_C</v>
      </c>
      <c r="J102" s="13" t="str">
        <f t="shared" si="13"/>
        <v>admincheat GMSummon "SavageTherizino_Character_BP_S_C" 225</v>
      </c>
      <c r="K102" s="12" t="s">
        <v>318</v>
      </c>
      <c r="L102" s="12" t="str">
        <f t="shared" si="4"/>
        <v>cheat spawndino "/ArkSupreme/Content/SupremeDinos/2Savage/Therizinosaurus/SavageTherizino_Character_BP_S_C" 500 0 0 35</v>
      </c>
      <c r="M102" s="13" t="str">
        <f t="shared" si="14"/>
        <v>NPCReplacements=(FromClassName="SavageTherizino_Character_BP_S_C",ToClassName="")</v>
      </c>
      <c r="N102" s="2"/>
    </row>
    <row r="103">
      <c r="A103" s="2"/>
      <c r="B103" s="7"/>
      <c r="C103" s="4"/>
      <c r="D103" s="8" t="s">
        <v>319</v>
      </c>
      <c r="E103" s="9"/>
      <c r="F103" s="10"/>
      <c r="G103" s="9"/>
      <c r="H103" s="9" t="s">
        <v>320</v>
      </c>
      <c r="I103" s="10" t="str">
        <f t="shared" si="12"/>
        <v>cheat summon SpineyLizard_Character_BP_Savage_S_C</v>
      </c>
      <c r="J103" s="10" t="str">
        <f t="shared" si="13"/>
        <v>admincheat GMSummon "SpineyLizard_Character_BP_Savage_S_C" 225</v>
      </c>
      <c r="K103" s="9" t="s">
        <v>321</v>
      </c>
      <c r="L103" s="9" t="str">
        <f t="shared" si="4"/>
        <v>cheat spawndino "/ArkSupreme/Content/SupremeDinos/2Savage/Thornydragon/SpineyLizard_Character_BP_Savage_S_C" 500 0 0 35</v>
      </c>
      <c r="M103" s="10" t="str">
        <f t="shared" si="14"/>
        <v>NPCReplacements=(FromClassName="SpineyLizard_Character_BP_Savage_S_C",ToClassName="")</v>
      </c>
      <c r="N103" s="2"/>
    </row>
    <row r="104">
      <c r="A104" s="2"/>
      <c r="B104" s="7"/>
      <c r="C104" s="4"/>
      <c r="D104" s="11" t="s">
        <v>322</v>
      </c>
      <c r="E104" s="12"/>
      <c r="F104" s="13"/>
      <c r="G104" s="12"/>
      <c r="H104" s="12" t="s">
        <v>323</v>
      </c>
      <c r="I104" s="13" t="str">
        <f t="shared" si="12"/>
        <v>cheat summon SavageThylacoleo_Character_BP_S_C</v>
      </c>
      <c r="J104" s="13" t="str">
        <f t="shared" si="13"/>
        <v>admincheat GMSummon "SavageThylacoleo_Character_BP_S_C" 225</v>
      </c>
      <c r="K104" s="12" t="s">
        <v>324</v>
      </c>
      <c r="L104" s="12" t="str">
        <f t="shared" si="4"/>
        <v>cheat spawndino "/ArkSupreme/Content/SupremeDinos/2Savage/Thyla/SavageThylacoleo_Character_BP_S_C" 500 0 0 35</v>
      </c>
      <c r="M104" s="13" t="str">
        <f t="shared" si="14"/>
        <v>NPCReplacements=(FromClassName="SavageThylacoleo_Character_BP_S_C",ToClassName="")</v>
      </c>
      <c r="N104" s="2"/>
    </row>
    <row r="105">
      <c r="A105" s="2"/>
      <c r="B105" s="7"/>
      <c r="C105" s="4"/>
      <c r="D105" s="8" t="s">
        <v>325</v>
      </c>
      <c r="E105" s="9"/>
      <c r="F105" s="10"/>
      <c r="G105" s="9"/>
      <c r="H105" s="9" t="s">
        <v>326</v>
      </c>
      <c r="I105" s="10" t="str">
        <f t="shared" si="12"/>
        <v>cheat summon SavageTitanosaur_Character_BP_S_C</v>
      </c>
      <c r="J105" s="10" t="str">
        <f t="shared" si="13"/>
        <v>admincheat GMSummon "SavageTitanosaur_Character_BP_S_C" 225</v>
      </c>
      <c r="K105" s="9" t="s">
        <v>327</v>
      </c>
      <c r="L105" s="9" t="str">
        <f t="shared" si="4"/>
        <v>cheat spawndino "/ArkSupreme/Content/SupremeDinos/2Savage/Titanosaur/SavageTitanosaur_Character_BP_S_C" 500 0 0 35</v>
      </c>
      <c r="M105" s="10" t="str">
        <f t="shared" si="14"/>
        <v>NPCReplacements=(FromClassName="SavageTitanosaur_Character_BP_S_C",ToClassName="")</v>
      </c>
      <c r="N105" s="2"/>
    </row>
    <row r="106">
      <c r="A106" s="2"/>
      <c r="B106" s="7"/>
      <c r="C106" s="4"/>
      <c r="D106" s="11" t="s">
        <v>328</v>
      </c>
      <c r="E106" s="12"/>
      <c r="F106" s="13"/>
      <c r="G106" s="12"/>
      <c r="H106" s="12" t="s">
        <v>329</v>
      </c>
      <c r="I106" s="13" t="str">
        <f t="shared" si="12"/>
        <v>cheat summon SavageTrike_Character_BP_S_C</v>
      </c>
      <c r="J106" s="13" t="str">
        <f t="shared" si="13"/>
        <v>admincheat GMSummon "SavageTrike_Character_BP_S_C" 225</v>
      </c>
      <c r="K106" s="12" t="s">
        <v>330</v>
      </c>
      <c r="L106" s="12" t="str">
        <f t="shared" si="4"/>
        <v>cheat spawndino "/ArkSupreme/Content/SupremeDinos/2Savage/Trike/SavageTrike_Character_BP_S_C" 500 0 0 35</v>
      </c>
      <c r="M106" s="13" t="str">
        <f t="shared" si="14"/>
        <v>NPCReplacements=(FromClassName="SavageTrike_Character_BP_S_C",ToClassName="")</v>
      </c>
      <c r="N106" s="2"/>
    </row>
    <row r="107">
      <c r="A107" s="2"/>
      <c r="B107" s="7"/>
      <c r="C107" s="4"/>
      <c r="D107" s="8" t="s">
        <v>331</v>
      </c>
      <c r="E107" s="9"/>
      <c r="F107" s="10"/>
      <c r="G107" s="9"/>
      <c r="H107" s="9" t="s">
        <v>332</v>
      </c>
      <c r="I107" s="10" t="str">
        <f t="shared" si="12"/>
        <v>cheat summon SavageTroodon_Character_BP_S_C</v>
      </c>
      <c r="J107" s="10" t="str">
        <f t="shared" si="13"/>
        <v>admincheat GMSummon "SavageTroodon_Character_BP_S_C" 225</v>
      </c>
      <c r="K107" s="9" t="s">
        <v>333</v>
      </c>
      <c r="L107" s="9" t="str">
        <f t="shared" si="4"/>
        <v>cheat spawndino "/ArkSupreme/Content/SupremeDinos/2Savage/Troodon/SavageTroodon_Character_BP_S_C" 500 0 0 35</v>
      </c>
      <c r="M107" s="10" t="str">
        <f t="shared" si="14"/>
        <v>NPCReplacements=(FromClassName="SavageTroodon_Character_BP_S_C",ToClassName="")</v>
      </c>
      <c r="N107" s="2"/>
    </row>
    <row r="108">
      <c r="A108" s="2"/>
      <c r="B108" s="7"/>
      <c r="C108" s="4"/>
      <c r="D108" s="11" t="s">
        <v>334</v>
      </c>
      <c r="E108" s="12"/>
      <c r="F108" s="13"/>
      <c r="G108" s="12"/>
      <c r="H108" s="12" t="s">
        <v>335</v>
      </c>
      <c r="I108" s="13" t="str">
        <f t="shared" si="12"/>
        <v>cheat summon SavageTurkey_Character_BP_S_C</v>
      </c>
      <c r="J108" s="13" t="str">
        <f t="shared" si="13"/>
        <v>admincheat GMSummon "SavageTurkey_Character_BP_S_C" 225</v>
      </c>
      <c r="K108" s="12" t="s">
        <v>336</v>
      </c>
      <c r="L108" s="12" t="str">
        <f t="shared" si="4"/>
        <v>cheat spawndino "/ArkSupreme/Content/SupremeDinos/2Savage/Turkey/SavageTurkey_Character_BP_S_C" 500 0 0 35</v>
      </c>
      <c r="M108" s="13" t="str">
        <f t="shared" si="14"/>
        <v>NPCReplacements=(FromClassName="SavageTurkey_Character_BP_S_C",ToClassName="")</v>
      </c>
      <c r="N108" s="2"/>
    </row>
    <row r="109">
      <c r="A109" s="2"/>
      <c r="B109" s="7"/>
      <c r="C109" s="4"/>
      <c r="D109" s="8" t="s">
        <v>337</v>
      </c>
      <c r="E109" s="9"/>
      <c r="F109" s="10"/>
      <c r="G109" s="9"/>
      <c r="H109" s="9" t="s">
        <v>338</v>
      </c>
      <c r="I109" s="10" t="str">
        <f t="shared" si="12"/>
        <v>cheat summon SavageTurtle_Character_BP_S_C</v>
      </c>
      <c r="J109" s="10" t="str">
        <f t="shared" si="13"/>
        <v>admincheat GMSummon "SavageTurtle_Character_BP_S_C" 225</v>
      </c>
      <c r="K109" s="9" t="s">
        <v>339</v>
      </c>
      <c r="L109" s="9" t="str">
        <f t="shared" si="4"/>
        <v>cheat spawndino "/ArkSupreme/Content/SupremeDinos/2Savage/Turtle/SavageTurtle_Character_BP_S_C" 500 0 0 35</v>
      </c>
      <c r="M109" s="10" t="str">
        <f t="shared" si="14"/>
        <v>NPCReplacements=(FromClassName="SavageTurtle_Character_BP_S_C",ToClassName="")</v>
      </c>
      <c r="N109" s="2"/>
    </row>
    <row r="110">
      <c r="A110" s="2"/>
      <c r="B110" s="7"/>
      <c r="C110" s="4"/>
      <c r="D110" s="11" t="s">
        <v>340</v>
      </c>
      <c r="E110" s="12"/>
      <c r="F110" s="13"/>
      <c r="G110" s="12"/>
      <c r="H110" s="12" t="s">
        <v>341</v>
      </c>
      <c r="I110" s="13" t="str">
        <f t="shared" si="12"/>
        <v>cheat summon Spindles_Character_BP_Savage_S_C</v>
      </c>
      <c r="J110" s="13" t="str">
        <f t="shared" si="13"/>
        <v>admincheat GMSummon "Spindles_Character_BP_Savage_S_C" 225</v>
      </c>
      <c r="K110" s="12" t="s">
        <v>342</v>
      </c>
      <c r="L110" s="12" t="str">
        <f t="shared" si="4"/>
        <v>cheat spawndino "/ArkSupreme/Content/SupremeDinos/2Savage/Velonasaur/Spindles_Character_BP_Savage_S_C" 500 0 0 35</v>
      </c>
      <c r="M110" s="13" t="str">
        <f t="shared" si="14"/>
        <v>NPCReplacements=(FromClassName="Spindles_Character_BP_Savage_S_C",ToClassName="")</v>
      </c>
      <c r="N110" s="2"/>
    </row>
    <row r="111">
      <c r="A111" s="2"/>
      <c r="B111" s="7"/>
      <c r="C111" s="4"/>
      <c r="D111" s="8" t="s">
        <v>343</v>
      </c>
      <c r="E111" s="9"/>
      <c r="F111" s="10"/>
      <c r="G111" s="9"/>
      <c r="H111" s="9" t="s">
        <v>344</v>
      </c>
      <c r="I111" s="10" t="str">
        <f t="shared" si="12"/>
        <v>cheat summon Vulture_Character_BP_Savage_S_C</v>
      </c>
      <c r="J111" s="10" t="str">
        <f t="shared" si="13"/>
        <v>admincheat GMSummon "Vulture_Character_BP_Savage_S_C" 225</v>
      </c>
      <c r="K111" s="9" t="s">
        <v>345</v>
      </c>
      <c r="L111" s="9" t="str">
        <f t="shared" si="4"/>
        <v>cheat spawndino "/ArkSupreme/Content/SupremeDinos/2Savage/Vulture/Vulture_Character_BP_Savage_S_C" 500 0 0 35</v>
      </c>
      <c r="M111" s="10" t="str">
        <f t="shared" si="14"/>
        <v>NPCReplacements=(FromClassName="Vulture_Character_BP_Savage_S_C",ToClassName="")</v>
      </c>
      <c r="N111" s="2"/>
    </row>
    <row r="112">
      <c r="A112" s="2"/>
      <c r="B112" s="7"/>
      <c r="C112" s="4"/>
      <c r="D112" s="11" t="s">
        <v>346</v>
      </c>
      <c r="E112" s="12"/>
      <c r="F112" s="13"/>
      <c r="G112" s="12"/>
      <c r="H112" s="12" t="s">
        <v>347</v>
      </c>
      <c r="I112" s="13" t="str">
        <f t="shared" si="12"/>
        <v>cheat summon SavageRhino_Character_BP_S_C</v>
      </c>
      <c r="J112" s="13" t="str">
        <f t="shared" si="13"/>
        <v>admincheat GMSummon "SavageRhino_Character_BP_S_C" 225</v>
      </c>
      <c r="K112" s="12" t="s">
        <v>348</v>
      </c>
      <c r="L112" s="12" t="str">
        <f t="shared" si="4"/>
        <v>cheat spawndino "/ArkSupreme/Content/SupremeDinos/2Savage/WoollyRhino/SavageRhino_Character_BP_S_C" 500 0 0 35</v>
      </c>
      <c r="M112" s="13" t="str">
        <f t="shared" si="14"/>
        <v>NPCReplacements=(FromClassName="SavageRhino_Character_BP_S_C",ToClassName="")</v>
      </c>
      <c r="N112" s="2"/>
    </row>
    <row r="113">
      <c r="A113" s="2"/>
      <c r="B113" s="7"/>
      <c r="C113" s="4"/>
      <c r="D113" s="8" t="s">
        <v>349</v>
      </c>
      <c r="E113" s="9"/>
      <c r="F113" s="10"/>
      <c r="G113" s="9"/>
      <c r="H113" s="9" t="s">
        <v>350</v>
      </c>
      <c r="I113" s="10" t="str">
        <f t="shared" si="12"/>
        <v>cheat summon Wyvern_Character_BP_Fire_Savage_S_C</v>
      </c>
      <c r="J113" s="10" t="str">
        <f t="shared" si="13"/>
        <v>admincheat GMSummon "Wyvern_Character_BP_Fire_Savage_S_C" 225</v>
      </c>
      <c r="K113" s="9" t="s">
        <v>351</v>
      </c>
      <c r="L113" s="9" t="str">
        <f t="shared" si="4"/>
        <v>cheat spawndino "/ArkSupreme/Content/SupremeDinos/2Savage/Wyvern_Fire/Wyvern_Character_BP_Fire_Savage_S_C" 500 0 0 35</v>
      </c>
      <c r="M113" s="10" t="str">
        <f t="shared" si="14"/>
        <v>NPCReplacements=(FromClassName="Wyvern_Character_BP_Fire_Savage_S_C",ToClassName="")</v>
      </c>
      <c r="N113" s="2"/>
    </row>
    <row r="114">
      <c r="A114" s="2"/>
      <c r="B114" s="7"/>
      <c r="C114" s="4"/>
      <c r="D114" s="11" t="s">
        <v>352</v>
      </c>
      <c r="E114" s="12"/>
      <c r="F114" s="13"/>
      <c r="G114" s="12"/>
      <c r="H114" s="12" t="s">
        <v>353</v>
      </c>
      <c r="I114" s="13" t="str">
        <f t="shared" si="12"/>
        <v>cheat summon Wyvern_Character_BP_Lightning_Savage_S_C</v>
      </c>
      <c r="J114" s="13" t="str">
        <f t="shared" si="13"/>
        <v>admincheat GMSummon "Wyvern_Character_BP_Lightning_Savage_S_C" 225</v>
      </c>
      <c r="K114" s="12" t="s">
        <v>354</v>
      </c>
      <c r="L114" s="12" t="str">
        <f t="shared" si="4"/>
        <v>cheat spawndino "/ArkSupreme/Content/SupremeDinos/2Savage/Wyvern_Lightning/Wyvern_Character_BP_Lightning_Savage_S_C" 500 0 0 35</v>
      </c>
      <c r="M114" s="13" t="str">
        <f t="shared" si="14"/>
        <v>NPCReplacements=(FromClassName="Wyvern_Character_BP_Lightning_Savage_S_C",ToClassName="")</v>
      </c>
      <c r="N114" s="2"/>
    </row>
    <row r="115">
      <c r="A115" s="2"/>
      <c r="B115" s="7"/>
      <c r="C115" s="4"/>
      <c r="D115" s="8" t="s">
        <v>355</v>
      </c>
      <c r="E115" s="9"/>
      <c r="F115" s="10"/>
      <c r="G115" s="9"/>
      <c r="H115" s="9" t="s">
        <v>356</v>
      </c>
      <c r="I115" s="10" t="str">
        <f t="shared" si="12"/>
        <v>cheat summon Wyvern_Character_BP_Poison_Savage_S_C</v>
      </c>
      <c r="J115" s="10" t="str">
        <f t="shared" si="13"/>
        <v>admincheat GMSummon "Wyvern_Character_BP_Poison_Savage_S_C" 225</v>
      </c>
      <c r="K115" s="9" t="s">
        <v>357</v>
      </c>
      <c r="L115" s="9" t="str">
        <f t="shared" si="4"/>
        <v>cheat spawndino "/ArkSupreme/Content/SupremeDinos/2Savage/Wyvern_Poison/Wyvern_Character_BP_Poison_Savage_S_C" 500 0 0 35</v>
      </c>
      <c r="M115" s="10" t="str">
        <f t="shared" si="14"/>
        <v>NPCReplacements=(FromClassName="Wyvern_Character_BP_Poison_Savage_S_C",ToClassName="")</v>
      </c>
      <c r="N115" s="2"/>
    </row>
    <row r="116">
      <c r="A116" s="2"/>
      <c r="B116" s="7"/>
      <c r="C116" s="4"/>
      <c r="D116" s="11" t="s">
        <v>358</v>
      </c>
      <c r="E116" s="12"/>
      <c r="F116" s="13"/>
      <c r="G116" s="12"/>
      <c r="H116" s="12" t="s">
        <v>359</v>
      </c>
      <c r="I116" s="13" t="str">
        <f t="shared" si="12"/>
        <v>cheat summon YiLing_Character_BP_Savage_S_C</v>
      </c>
      <c r="J116" s="13" t="str">
        <f t="shared" si="13"/>
        <v>admincheat GMSummon "YiLing_Character_BP_Savage_S_C" 225</v>
      </c>
      <c r="K116" s="12" t="s">
        <v>360</v>
      </c>
      <c r="L116" s="12" t="str">
        <f t="shared" si="4"/>
        <v>cheat spawndino "/ArkSupreme/Content/SupremeDinos/2Savage/YiLing/YiLing_Character_BP_Savage_S_C" 500 0 0 35</v>
      </c>
      <c r="M116" s="13" t="str">
        <f t="shared" si="14"/>
        <v>NPCReplacements=(FromClassName="YiLing_Character_BP_Savage_S_C",ToClassName="")</v>
      </c>
      <c r="N116" s="2"/>
    </row>
    <row r="117">
      <c r="A117" s="2"/>
      <c r="B117" s="7"/>
      <c r="C117" s="4"/>
      <c r="D117" s="8" t="s">
        <v>361</v>
      </c>
      <c r="E117" s="9"/>
      <c r="F117" s="10"/>
      <c r="G117" s="9"/>
      <c r="H117" s="9" t="s">
        <v>362</v>
      </c>
      <c r="I117" s="10" t="str">
        <f t="shared" si="12"/>
        <v>cheat summon SavageYutyrannus_Character_BP_S_C</v>
      </c>
      <c r="J117" s="10" t="str">
        <f t="shared" si="13"/>
        <v>admincheat GMSummon "SavageYutyrannus_Character_BP_S_C" 225</v>
      </c>
      <c r="K117" s="9" t="s">
        <v>363</v>
      </c>
      <c r="L117" s="9" t="str">
        <f t="shared" si="4"/>
        <v>cheat spawndino "/ArkSupreme/Content/SupremeDinos/2Savage/Yuty/SavageYutyrannus_Character_BP_S_C" 500 0 0 35</v>
      </c>
      <c r="M117" s="10" t="str">
        <f t="shared" si="14"/>
        <v>NPCReplacements=(FromClassName="SavageYutyrannus_Character_BP_S_C",ToClassName="")</v>
      </c>
      <c r="N117" s="2"/>
    </row>
    <row r="118">
      <c r="A118" s="2"/>
      <c r="B118" s="7"/>
      <c r="C118" s="4"/>
      <c r="D118" s="11" t="s">
        <v>364</v>
      </c>
      <c r="E118" s="12"/>
      <c r="F118" s="13"/>
      <c r="G118" s="12"/>
      <c r="H118" s="12" t="s">
        <v>365</v>
      </c>
      <c r="I118" s="13" t="str">
        <f t="shared" si="12"/>
        <v>cheat summon Savage_Parrot_Character_BP_S_C</v>
      </c>
      <c r="J118" s="13" t="str">
        <f t="shared" si="13"/>
        <v>admincheat GMSummon "Savage_Parrot_Character_BP_S_C" 225</v>
      </c>
      <c r="K118" s="12" t="s">
        <v>366</v>
      </c>
      <c r="L118" s="12" t="str">
        <f t="shared" si="4"/>
        <v>cheat spawndino "/ArkSupreme/Content/SupremeDinos/2Savage/parrot/Savage_Parrot_Character_BP_S_C" 500 0 0 35</v>
      </c>
      <c r="M118" s="13" t="str">
        <f t="shared" si="14"/>
        <v>NPCReplacements=(FromClassName="Savage_Parrot_Character_BP_S_C",ToClassName="")</v>
      </c>
      <c r="N118" s="2"/>
    </row>
    <row r="119">
      <c r="A119" s="2"/>
      <c r="B119" s="18"/>
      <c r="C119" s="19">
        <f>IF(E119="Alpha",1)+IF(E119="Apex",2)+IF(E119="Earth",3)+IF(E119="Frost",3)+IF(E119="Nature",3)+IF(E119="Storm",4)+IF(E119="Volcanic",4)+IF(E119="Bionic",5)+IF(E119="Legendary",5)+IF(E119="Demonic",6)+IF(E119="Celestial",6)+IF(E119="Godly",7)+IF(E119="Loot",8)+IF(E119="Boss",9)</f>
        <v>0</v>
      </c>
      <c r="D119" s="20"/>
      <c r="E119" s="21"/>
      <c r="F119" s="21"/>
      <c r="G119" s="20"/>
      <c r="H119" s="20"/>
      <c r="I119" s="21"/>
      <c r="J119" s="21"/>
      <c r="K119" s="20"/>
      <c r="L119" s="20"/>
      <c r="M119" s="21"/>
      <c r="N119" s="2"/>
    </row>
    <row r="120">
      <c r="A120" s="2"/>
      <c r="B120" s="22" t="s">
        <v>367</v>
      </c>
      <c r="C120" s="4"/>
      <c r="D120" s="11" t="s">
        <v>368</v>
      </c>
      <c r="E120" s="12"/>
      <c r="F120" s="13"/>
      <c r="G120" s="12"/>
      <c r="H120" s="12" t="s">
        <v>369</v>
      </c>
      <c r="I120" s="13" t="str">
        <f t="shared" ref="I120:I235" si="18">"cheat summon "&amp;H120</f>
        <v>cheat summon ToxicAchatina_Character_BP_S_C</v>
      </c>
      <c r="J120" s="13" t="str">
        <f t="shared" ref="J120:J235" si="19"> "admincheat GMSummon " &amp;CHAR(34) &amp; H120&amp;CHAR(34)&amp; " 225"</f>
        <v>admincheat GMSummon "ToxicAchatina_Character_BP_S_C" 225</v>
      </c>
      <c r="K120" s="12" t="s">
        <v>370</v>
      </c>
      <c r="L120" s="12" t="str">
        <f t="shared" ref="L120:L235" si="20"> "cheat spawndino " &amp;CHAR(34) &amp; K120&amp;CHAR(34)&amp; " 500 0 0 35"</f>
        <v>cheat spawndino "/ArkSupreme/Content/SupremeDinos/3Toxic/Achitina/ToxicAchatina_Character_BP_S_C" 500 0 0 35</v>
      </c>
      <c r="M120" s="13" t="str">
        <f t="shared" ref="M120:M235" si="21">"NPCReplacements=(FromClassName="&amp;CHAR(34)&amp;H120&amp;""&amp;CHAR(34)&amp;",ToClassName="&amp;CHAR(34)&amp;CHAR(34)&amp;")"</f>
        <v>NPCReplacements=(FromClassName="ToxicAchatina_Character_BP_S_C",ToClassName="")</v>
      </c>
      <c r="N120" s="2"/>
    </row>
    <row r="121">
      <c r="A121" s="2"/>
      <c r="B121" s="7"/>
      <c r="C121" s="4"/>
      <c r="D121" s="8" t="s">
        <v>371</v>
      </c>
      <c r="E121" s="9"/>
      <c r="F121" s="10"/>
      <c r="G121" s="9"/>
      <c r="H121" s="9" t="s">
        <v>372</v>
      </c>
      <c r="I121" s="10" t="str">
        <f t="shared" si="18"/>
        <v>cheat summon ToxicAllo_Character_BP_S_C</v>
      </c>
      <c r="J121" s="10" t="str">
        <f t="shared" si="19"/>
        <v>admincheat GMSummon "ToxicAllo_Character_BP_S_C" 225</v>
      </c>
      <c r="K121" s="9" t="s">
        <v>373</v>
      </c>
      <c r="L121" s="9" t="str">
        <f t="shared" si="20"/>
        <v>cheat spawndino "/ArkSupreme/Content/SupremeDinos/3Toxic/Allo/ToxicAllo_Character_BP_S_C" 500 0 0 35</v>
      </c>
      <c r="M121" s="10" t="str">
        <f t="shared" si="21"/>
        <v>NPCReplacements=(FromClassName="ToxicAllo_Character_BP_S_C",ToClassName="")</v>
      </c>
      <c r="N121" s="2"/>
    </row>
    <row r="122">
      <c r="A122" s="2"/>
      <c r="B122" s="7"/>
      <c r="C122" s="4"/>
      <c r="D122" s="11" t="s">
        <v>374</v>
      </c>
      <c r="E122" s="12"/>
      <c r="F122" s="13"/>
      <c r="G122" s="12"/>
      <c r="H122" s="12" t="s">
        <v>375</v>
      </c>
      <c r="I122" s="13" t="str">
        <f t="shared" si="18"/>
        <v>cheat summon ToxicAnkylo_Character_BP_S_C</v>
      </c>
      <c r="J122" s="13" t="str">
        <f t="shared" si="19"/>
        <v>admincheat GMSummon "ToxicAnkylo_Character_BP_S_C" 225</v>
      </c>
      <c r="K122" s="12" t="s">
        <v>376</v>
      </c>
      <c r="L122" s="12" t="str">
        <f t="shared" si="20"/>
        <v>cheat spawndino "/ArkSupreme/Content/SupremeDinos/3Toxic/Ankylosaurus/ToxicAnkylo_Character_BP_S_C" 500 0 0 35</v>
      </c>
      <c r="M122" s="13" t="str">
        <f t="shared" si="21"/>
        <v>NPCReplacements=(FromClassName="ToxicAnkylo_Character_BP_S_C",ToClassName="")</v>
      </c>
      <c r="N122" s="2"/>
    </row>
    <row r="123">
      <c r="A123" s="2"/>
      <c r="B123" s="7"/>
      <c r="C123" s="4"/>
      <c r="D123" s="8" t="s">
        <v>377</v>
      </c>
      <c r="E123" s="9"/>
      <c r="F123" s="10"/>
      <c r="G123" s="9"/>
      <c r="H123" s="9" t="s">
        <v>378</v>
      </c>
      <c r="I123" s="10" t="str">
        <f t="shared" si="18"/>
        <v>cheat summon ToxicAnt_Character_BP_S_C</v>
      </c>
      <c r="J123" s="10" t="str">
        <f t="shared" si="19"/>
        <v>admincheat GMSummon "ToxicAnt_Character_BP_S_C" 225</v>
      </c>
      <c r="K123" s="9" t="s">
        <v>379</v>
      </c>
      <c r="L123" s="9" t="str">
        <f t="shared" si="20"/>
        <v>cheat spawndino "/ArkSupreme/Content/SupremeDinos/3Toxic/Ant/ToxicAnt_Character_BP_S_C" 500 0 0 35</v>
      </c>
      <c r="M123" s="10" t="str">
        <f t="shared" si="21"/>
        <v>NPCReplacements=(FromClassName="ToxicAnt_Character_BP_S_C",ToClassName="")</v>
      </c>
      <c r="N123" s="2"/>
    </row>
    <row r="124">
      <c r="A124" s="2"/>
      <c r="B124" s="7"/>
      <c r="C124" s="4"/>
      <c r="D124" s="11" t="s">
        <v>380</v>
      </c>
      <c r="E124" s="12"/>
      <c r="F124" s="13"/>
      <c r="G124" s="12"/>
      <c r="H124" s="12" t="s">
        <v>381</v>
      </c>
      <c r="I124" s="13" t="str">
        <f t="shared" si="18"/>
        <v>cheat summon ToxicSpider_Character_BP_S_C</v>
      </c>
      <c r="J124" s="13" t="str">
        <f t="shared" si="19"/>
        <v>admincheat GMSummon "ToxicSpider_Character_BP_S_C" 225</v>
      </c>
      <c r="K124" s="12" t="s">
        <v>382</v>
      </c>
      <c r="L124" s="12" t="str">
        <f t="shared" si="20"/>
        <v>cheat spawndino "/ArkSupreme/Content/SupremeDinos/3Toxic/Araneo/ToxicSpider_Character_BP_S_C" 500 0 0 35</v>
      </c>
      <c r="M124" s="13" t="str">
        <f t="shared" si="21"/>
        <v>NPCReplacements=(FromClassName="ToxicSpider_Character_BP_S_C",ToClassName="")</v>
      </c>
      <c r="N124" s="2"/>
    </row>
    <row r="125">
      <c r="A125" s="2"/>
      <c r="B125" s="7"/>
      <c r="C125" s="4"/>
      <c r="D125" s="8" t="s">
        <v>383</v>
      </c>
      <c r="E125" s="9"/>
      <c r="F125" s="10"/>
      <c r="G125" s="9"/>
      <c r="H125" s="9" t="s">
        <v>384</v>
      </c>
      <c r="I125" s="10" t="str">
        <f t="shared" si="18"/>
        <v>cheat summon ToxicArcha_Character_BP_S_C</v>
      </c>
      <c r="J125" s="10" t="str">
        <f t="shared" si="19"/>
        <v>admincheat GMSummon "ToxicArcha_Character_BP_S_C" 225</v>
      </c>
      <c r="K125" s="9" t="s">
        <v>385</v>
      </c>
      <c r="L125" s="9" t="str">
        <f t="shared" si="20"/>
        <v>cheat spawndino "/ArkSupreme/Content/SupremeDinos/3Toxic/Archaeopteryx/ToxicArcha_Character_BP_S_C" 500 0 0 35</v>
      </c>
      <c r="M125" s="10" t="str">
        <f t="shared" si="21"/>
        <v>NPCReplacements=(FromClassName="ToxicArcha_Character_BP_S_C",ToClassName="")</v>
      </c>
      <c r="N125" s="2"/>
    </row>
    <row r="126">
      <c r="A126" s="2"/>
      <c r="B126" s="7"/>
      <c r="C126" s="4"/>
      <c r="D126" s="11" t="s">
        <v>386</v>
      </c>
      <c r="E126" s="12"/>
      <c r="F126" s="13"/>
      <c r="G126" s="12"/>
      <c r="H126" s="12" t="s">
        <v>387</v>
      </c>
      <c r="I126" s="13" t="str">
        <f t="shared" si="18"/>
        <v>cheat summon ToxicArgent_Character_BP_S_C</v>
      </c>
      <c r="J126" s="13" t="str">
        <f t="shared" si="19"/>
        <v>admincheat GMSummon "ToxicArgent_Character_BP_S_C" 225</v>
      </c>
      <c r="K126" s="12" t="s">
        <v>388</v>
      </c>
      <c r="L126" s="12" t="str">
        <f t="shared" si="20"/>
        <v>cheat spawndino "/ArkSupreme/Content/SupremeDinos/3Toxic/Argentavis/ToxicArgent_Character_BP_S_C" 500 0 0 35</v>
      </c>
      <c r="M126" s="13" t="str">
        <f t="shared" si="21"/>
        <v>NPCReplacements=(FromClassName="ToxicArgent_Character_BP_S_C",ToClassName="")</v>
      </c>
      <c r="N126" s="2"/>
    </row>
    <row r="127">
      <c r="A127" s="2"/>
      <c r="B127" s="7"/>
      <c r="C127" s="4"/>
      <c r="D127" s="8" t="s">
        <v>389</v>
      </c>
      <c r="E127" s="9"/>
      <c r="F127" s="10"/>
      <c r="G127" s="9"/>
      <c r="H127" s="9" t="s">
        <v>390</v>
      </c>
      <c r="I127" s="10" t="str">
        <f t="shared" si="18"/>
        <v>cheat summon ToxicArthro_Character_BP_S_C</v>
      </c>
      <c r="J127" s="10" t="str">
        <f t="shared" si="19"/>
        <v>admincheat GMSummon "ToxicArthro_Character_BP_S_C" 225</v>
      </c>
      <c r="K127" s="9" t="s">
        <v>391</v>
      </c>
      <c r="L127" s="9" t="str">
        <f t="shared" si="20"/>
        <v>cheat spawndino "/ArkSupreme/Content/SupremeDinos/3Toxic/Arthropluera/ToxicArthro_Character_BP_S_C" 500 0 0 35</v>
      </c>
      <c r="M127" s="10" t="str">
        <f t="shared" si="21"/>
        <v>NPCReplacements=(FromClassName="ToxicArthro_Character_BP_S_C",ToClassName="")</v>
      </c>
      <c r="N127" s="2"/>
    </row>
    <row r="128">
      <c r="A128" s="2"/>
      <c r="B128" s="7"/>
      <c r="C128" s="4"/>
      <c r="D128" s="11" t="s">
        <v>392</v>
      </c>
      <c r="E128" s="12"/>
      <c r="F128" s="13"/>
      <c r="G128" s="12"/>
      <c r="H128" s="12" t="s">
        <v>393</v>
      </c>
      <c r="I128" s="13" t="str">
        <f t="shared" si="18"/>
        <v>cheat summon ToxicBaryonyx_Character_BP_S_C</v>
      </c>
      <c r="J128" s="13" t="str">
        <f t="shared" si="19"/>
        <v>admincheat GMSummon "ToxicBaryonyx_Character_BP_S_C" 225</v>
      </c>
      <c r="K128" s="12" t="s">
        <v>394</v>
      </c>
      <c r="L128" s="12" t="str">
        <f t="shared" si="20"/>
        <v>cheat spawndino "/ArkSupreme/Content/SupremeDinos/3Toxic/Baryonyx/ToxicBaryonyx_Character_BP_S_C" 500 0 0 35</v>
      </c>
      <c r="M128" s="13" t="str">
        <f t="shared" si="21"/>
        <v>NPCReplacements=(FromClassName="ToxicBaryonyx_Character_BP_S_C",ToClassName="")</v>
      </c>
      <c r="N128" s="2"/>
    </row>
    <row r="129">
      <c r="A129" s="2"/>
      <c r="B129" s="7"/>
      <c r="C129" s="4"/>
      <c r="D129" s="8" t="s">
        <v>395</v>
      </c>
      <c r="E129" s="9"/>
      <c r="F129" s="10"/>
      <c r="G129" s="9"/>
      <c r="H129" s="9" t="s">
        <v>396</v>
      </c>
      <c r="I129" s="10" t="str">
        <f t="shared" si="18"/>
        <v>cheat summon Basilisk_Character_BP_Toxic_S_C</v>
      </c>
      <c r="J129" s="10" t="str">
        <f t="shared" si="19"/>
        <v>admincheat GMSummon "Basilisk_Character_BP_Toxic_S_C" 225</v>
      </c>
      <c r="K129" s="9" t="s">
        <v>397</v>
      </c>
      <c r="L129" s="9" t="str">
        <f t="shared" si="20"/>
        <v>cheat spawndino "/ArkSupreme/Content/SupremeDinos/3Toxic/Basilisk/Basilisk_Character_BP_Toxic_S_C" 500 0 0 35</v>
      </c>
      <c r="M129" s="10" t="str">
        <f t="shared" si="21"/>
        <v>NPCReplacements=(FromClassName="Basilisk_Character_BP_Toxic_S_C",ToClassName="")</v>
      </c>
      <c r="N129" s="2"/>
    </row>
    <row r="130">
      <c r="A130" s="2"/>
      <c r="B130" s="7"/>
      <c r="C130" s="4"/>
      <c r="D130" s="11" t="s">
        <v>398</v>
      </c>
      <c r="E130" s="12"/>
      <c r="F130" s="13"/>
      <c r="G130" s="12"/>
      <c r="H130" s="12" t="s">
        <v>399</v>
      </c>
      <c r="I130" s="13" t="str">
        <f t="shared" si="18"/>
        <v>cheat summon ToxicSauropod_Character_BP_S_C</v>
      </c>
      <c r="J130" s="13" t="str">
        <f t="shared" si="19"/>
        <v>admincheat GMSummon "ToxicSauropod_Character_BP_S_C" 225</v>
      </c>
      <c r="K130" s="12" t="s">
        <v>400</v>
      </c>
      <c r="L130" s="12" t="str">
        <f t="shared" si="20"/>
        <v>cheat spawndino "/ArkSupreme/Content/SupremeDinos/3Toxic/Brontosaurus/ToxicSauropod_Character_BP_S_C" 500 0 0 35</v>
      </c>
      <c r="M130" s="13" t="str">
        <f t="shared" si="21"/>
        <v>NPCReplacements=(FromClassName="ToxicSauropod_Character_BP_S_C",ToClassName="")</v>
      </c>
      <c r="N130" s="2"/>
    </row>
    <row r="131">
      <c r="A131" s="2"/>
      <c r="B131" s="7"/>
      <c r="C131" s="4"/>
      <c r="D131" s="8" t="s">
        <v>401</v>
      </c>
      <c r="E131" s="9"/>
      <c r="F131" s="10"/>
      <c r="G131" s="9"/>
      <c r="H131" s="9" t="s">
        <v>402</v>
      </c>
      <c r="I131" s="10" t="str">
        <f t="shared" si="18"/>
        <v>cheat summon SpiderL_Character_BP_Toxic_S_C</v>
      </c>
      <c r="J131" s="10" t="str">
        <f t="shared" si="19"/>
        <v>admincheat GMSummon "SpiderL_Character_BP_Toxic_S_C" 225</v>
      </c>
      <c r="K131" s="9" t="s">
        <v>403</v>
      </c>
      <c r="L131" s="9" t="str">
        <f t="shared" si="20"/>
        <v>cheat spawndino "/ArkSupreme/Content/SupremeDinos/3Toxic/Broodmother/SpiderL_Character_BP_Toxic_S_C" 500 0 0 35</v>
      </c>
      <c r="M131" s="10" t="str">
        <f t="shared" si="21"/>
        <v>NPCReplacements=(FromClassName="SpiderL_Character_BP_Toxic_S_C",ToClassName="")</v>
      </c>
      <c r="N131" s="2"/>
    </row>
    <row r="132">
      <c r="A132" s="2"/>
      <c r="B132" s="7"/>
      <c r="C132" s="4"/>
      <c r="D132" s="11" t="s">
        <v>404</v>
      </c>
      <c r="E132" s="12"/>
      <c r="F132" s="13"/>
      <c r="G132" s="12"/>
      <c r="H132" s="12" t="s">
        <v>405</v>
      </c>
      <c r="I132" s="13" t="str">
        <f t="shared" si="18"/>
        <v>cheat summon Toxic_LanternPug_Character_BP_S_C</v>
      </c>
      <c r="J132" s="13" t="str">
        <f t="shared" si="19"/>
        <v>admincheat GMSummon "Toxic_LanternPug_Character_BP_S_C" 225</v>
      </c>
      <c r="K132" s="12" t="s">
        <v>406</v>
      </c>
      <c r="L132" s="12" t="str">
        <f t="shared" si="20"/>
        <v>cheat spawndino "/ArkSupreme/Content/SupremeDinos/3Toxic/Bulbdog/Toxic_LanternPug_Character_BP_S_C" 500 0 0 35</v>
      </c>
      <c r="M132" s="13" t="str">
        <f t="shared" si="21"/>
        <v>NPCReplacements=(FromClassName="Toxic_LanternPug_Character_BP_S_C",ToClassName="")</v>
      </c>
      <c r="N132" s="2"/>
    </row>
    <row r="133">
      <c r="A133" s="2"/>
      <c r="B133" s="7"/>
      <c r="C133" s="4"/>
      <c r="D133" s="8" t="s">
        <v>407</v>
      </c>
      <c r="E133" s="9"/>
      <c r="F133" s="10"/>
      <c r="G133" s="9"/>
      <c r="H133" s="9" t="s">
        <v>408</v>
      </c>
      <c r="I133" s="10" t="str">
        <f t="shared" si="18"/>
        <v>cheat summon ToxicCarcha_Character_BP_S_C</v>
      </c>
      <c r="J133" s="10" t="str">
        <f t="shared" si="19"/>
        <v>admincheat GMSummon "ToxicCarcha_Character_BP_S_C" 225</v>
      </c>
      <c r="K133" s="9" t="s">
        <v>409</v>
      </c>
      <c r="L133" s="9" t="str">
        <f t="shared" si="20"/>
        <v>cheat spawndino "/ArkSupreme/Content/SupremeDinos/3Toxic/Carcha/ToxicCarcha_Character_BP_S_C" 500 0 0 35</v>
      </c>
      <c r="M133" s="10" t="str">
        <f t="shared" si="21"/>
        <v>NPCReplacements=(FromClassName="ToxicCarcha_Character_BP_S_C",ToClassName="")</v>
      </c>
      <c r="N133" s="2"/>
    </row>
    <row r="134">
      <c r="A134" s="2"/>
      <c r="B134" s="7"/>
      <c r="C134" s="4"/>
      <c r="D134" s="11" t="s">
        <v>410</v>
      </c>
      <c r="E134" s="12"/>
      <c r="F134" s="13"/>
      <c r="G134" s="12"/>
      <c r="H134" s="12" t="s">
        <v>411</v>
      </c>
      <c r="I134" s="13" t="str">
        <f t="shared" si="18"/>
        <v>cheat summon ToxicCarno_Character_BP_S_C</v>
      </c>
      <c r="J134" s="13" t="str">
        <f t="shared" si="19"/>
        <v>admincheat GMSummon "ToxicCarno_Character_BP_S_C" 225</v>
      </c>
      <c r="K134" s="12" t="s">
        <v>412</v>
      </c>
      <c r="L134" s="12" t="str">
        <f t="shared" si="20"/>
        <v>cheat spawndino "/ArkSupreme/Content/SupremeDinos/3Toxic/Carno/ToxicCarno_Character_BP_S_C" 500 0 0 35</v>
      </c>
      <c r="M134" s="13" t="str">
        <f t="shared" si="21"/>
        <v>NPCReplacements=(FromClassName="ToxicCarno_Character_BP_S_C",ToClassName="")</v>
      </c>
      <c r="N134" s="2"/>
    </row>
    <row r="135">
      <c r="A135" s="2"/>
      <c r="B135" s="7"/>
      <c r="C135" s="4"/>
      <c r="D135" s="8" t="s">
        <v>413</v>
      </c>
      <c r="E135" s="9"/>
      <c r="F135" s="10"/>
      <c r="G135" s="9"/>
      <c r="H135" s="9" t="s">
        <v>414</v>
      </c>
      <c r="I135" s="10" t="str">
        <f t="shared" si="18"/>
        <v>cheat summon ToxicBeaver_Character_BP_S_C</v>
      </c>
      <c r="J135" s="10" t="str">
        <f t="shared" si="19"/>
        <v>admincheat GMSummon "ToxicBeaver_Character_BP_S_C" 225</v>
      </c>
      <c r="K135" s="9" t="s">
        <v>415</v>
      </c>
      <c r="L135" s="9" t="str">
        <f t="shared" si="20"/>
        <v>cheat spawndino "/ArkSupreme/Content/SupremeDinos/3Toxic/Castoroides/ToxicBeaver_Character_BP_S_C" 500 0 0 35</v>
      </c>
      <c r="M135" s="10" t="str">
        <f t="shared" si="21"/>
        <v>NPCReplacements=(FromClassName="ToxicBeaver_Character_BP_S_C",ToClassName="")</v>
      </c>
      <c r="N135" s="2"/>
    </row>
    <row r="136">
      <c r="A136" s="2"/>
      <c r="B136" s="7"/>
      <c r="C136" s="4"/>
      <c r="D136" s="11" t="s">
        <v>416</v>
      </c>
      <c r="E136" s="12"/>
      <c r="F136" s="13"/>
      <c r="G136" s="12"/>
      <c r="H136" s="12" t="s">
        <v>417</v>
      </c>
      <c r="I136" s="13" t="str">
        <f t="shared" si="18"/>
        <v>cheat summon ToxicChalico_Character_BP_S_C</v>
      </c>
      <c r="J136" s="13" t="str">
        <f t="shared" si="19"/>
        <v>admincheat GMSummon "ToxicChalico_Character_BP_S_C" 225</v>
      </c>
      <c r="K136" s="12" t="s">
        <v>418</v>
      </c>
      <c r="L136" s="12" t="str">
        <f t="shared" si="20"/>
        <v>cheat spawndino "/ArkSupreme/Content/SupremeDinos/3Toxic/Chalicotherium/ToxicChalico_Character_BP_S_C" 500 0 0 35</v>
      </c>
      <c r="M136" s="13" t="str">
        <f t="shared" si="21"/>
        <v>NPCReplacements=(FromClassName="ToxicChalico_Character_BP_S_C",ToClassName="")</v>
      </c>
      <c r="N136" s="2"/>
    </row>
    <row r="137">
      <c r="A137" s="2"/>
      <c r="B137" s="7"/>
      <c r="C137" s="4"/>
      <c r="D137" s="8" t="s">
        <v>419</v>
      </c>
      <c r="E137" s="9"/>
      <c r="F137" s="10"/>
      <c r="G137" s="9"/>
      <c r="H137" s="9" t="s">
        <v>420</v>
      </c>
      <c r="I137" s="10" t="str">
        <f t="shared" si="18"/>
        <v>cheat summon ToxicCompy_Character_BP_S_C</v>
      </c>
      <c r="J137" s="10" t="str">
        <f t="shared" si="19"/>
        <v>admincheat GMSummon "ToxicCompy_Character_BP_S_C" 225</v>
      </c>
      <c r="K137" s="9" t="s">
        <v>421</v>
      </c>
      <c r="L137" s="9" t="str">
        <f t="shared" si="20"/>
        <v>cheat spawndino "/ArkSupreme/Content/SupremeDinos/3Toxic/Compy/ToxicCompy_Character_BP_S_C" 500 0 0 35</v>
      </c>
      <c r="M137" s="10" t="str">
        <f t="shared" si="21"/>
        <v>NPCReplacements=(FromClassName="ToxicCompy_Character_BP_S_C",ToClassName="")</v>
      </c>
      <c r="N137" s="2"/>
    </row>
    <row r="138">
      <c r="A138" s="2"/>
      <c r="B138" s="7"/>
      <c r="C138" s="4"/>
      <c r="D138" s="11" t="s">
        <v>422</v>
      </c>
      <c r="E138" s="12"/>
      <c r="F138" s="13"/>
      <c r="G138" s="12"/>
      <c r="H138" s="12" t="s">
        <v>423</v>
      </c>
      <c r="I138" s="13" t="str">
        <f t="shared" si="18"/>
        <v>cheat summon ToxicDaeodon_Character_BP_S_C</v>
      </c>
      <c r="J138" s="13" t="str">
        <f t="shared" si="19"/>
        <v>admincheat GMSummon "ToxicDaeodon_Character_BP_S_C" 225</v>
      </c>
      <c r="K138" s="12" t="s">
        <v>424</v>
      </c>
      <c r="L138" s="12" t="str">
        <f t="shared" si="20"/>
        <v>cheat spawndino "/ArkSupreme/Content/SupremeDinos/3Toxic/Daeodon/ToxicDaeodon_Character_BP_S_C" 500 0 0 35</v>
      </c>
      <c r="M138" s="13" t="str">
        <f t="shared" si="21"/>
        <v>NPCReplacements=(FromClassName="ToxicDaeodon_Character_BP_S_C",ToClassName="")</v>
      </c>
      <c r="N138" s="2"/>
    </row>
    <row r="139">
      <c r="A139" s="2"/>
      <c r="B139" s="7"/>
      <c r="C139" s="4"/>
      <c r="D139" s="8" t="s">
        <v>425</v>
      </c>
      <c r="E139" s="9"/>
      <c r="F139" s="10"/>
      <c r="G139" s="9"/>
      <c r="H139" s="9" t="s">
        <v>426</v>
      </c>
      <c r="I139" s="10" t="str">
        <f t="shared" si="18"/>
        <v>cheat summon Defender_Character_BP_Toxic_S_C</v>
      </c>
      <c r="J139" s="10" t="str">
        <f t="shared" si="19"/>
        <v>admincheat GMSummon "Defender_Character_BP_Toxic_S_C" 225</v>
      </c>
      <c r="K139" s="9" t="s">
        <v>427</v>
      </c>
      <c r="L139" s="9" t="str">
        <f t="shared" si="20"/>
        <v>cheat spawndino "/ArkSupreme/Content/SupremeDinos/3Toxic/DefenseUnit/Defender_Character_BP_Toxic_S_C" 500 0 0 35</v>
      </c>
      <c r="M139" s="10" t="str">
        <f t="shared" si="21"/>
        <v>NPCReplacements=(FromClassName="Defender_Character_BP_Toxic_S_C",ToClassName="")</v>
      </c>
      <c r="N139" s="2"/>
    </row>
    <row r="140">
      <c r="A140" s="2"/>
      <c r="B140" s="7"/>
      <c r="C140" s="4"/>
      <c r="D140" s="11" t="s">
        <v>428</v>
      </c>
      <c r="E140" s="12"/>
      <c r="F140" s="13"/>
      <c r="G140" s="12"/>
      <c r="H140" s="12" t="s">
        <v>429</v>
      </c>
      <c r="I140" s="13" t="str">
        <f t="shared" si="18"/>
        <v>cheat summon ToxicDilo_Character_BP_S_C</v>
      </c>
      <c r="J140" s="13" t="str">
        <f t="shared" si="19"/>
        <v>admincheat GMSummon "ToxicDilo_Character_BP_S_C" 225</v>
      </c>
      <c r="K140" s="12" t="s">
        <v>430</v>
      </c>
      <c r="L140" s="12" t="str">
        <f t="shared" si="20"/>
        <v>cheat spawndino "/ArkSupreme/Content/SupremeDinos/3Toxic/Dilo/ToxicDilo_Character_BP_S_C" 500 0 0 35</v>
      </c>
      <c r="M140" s="13" t="str">
        <f t="shared" si="21"/>
        <v>NPCReplacements=(FromClassName="ToxicDilo_Character_BP_S_C",ToClassName="")</v>
      </c>
      <c r="N140" s="2"/>
    </row>
    <row r="141">
      <c r="A141" s="2"/>
      <c r="B141" s="7"/>
      <c r="C141" s="4"/>
      <c r="D141" s="8" t="s">
        <v>431</v>
      </c>
      <c r="E141" s="9"/>
      <c r="F141" s="10"/>
      <c r="G141" s="9"/>
      <c r="H141" s="9" t="s">
        <v>432</v>
      </c>
      <c r="I141" s="10" t="str">
        <f t="shared" si="18"/>
        <v>cheat summon ToxicDimetro_Character_BP_S_C</v>
      </c>
      <c r="J141" s="10" t="str">
        <f t="shared" si="19"/>
        <v>admincheat GMSummon "ToxicDimetro_Character_BP_S_C" 225</v>
      </c>
      <c r="K141" s="9" t="s">
        <v>433</v>
      </c>
      <c r="L141" s="9" t="str">
        <f t="shared" si="20"/>
        <v>cheat spawndino "/ArkSupreme/Content/SupremeDinos/3Toxic/Dimetrodon/ToxicDimetro_Character_BP_S_C" 500 0 0 35</v>
      </c>
      <c r="M141" s="10" t="str">
        <f t="shared" si="21"/>
        <v>NPCReplacements=(FromClassName="ToxicDimetro_Character_BP_S_C",ToClassName="")</v>
      </c>
      <c r="N141" s="2"/>
    </row>
    <row r="142">
      <c r="A142" s="2"/>
      <c r="B142" s="7"/>
      <c r="C142" s="4"/>
      <c r="D142" s="11" t="s">
        <v>434</v>
      </c>
      <c r="E142" s="12"/>
      <c r="F142" s="13"/>
      <c r="G142" s="12"/>
      <c r="H142" s="12" t="s">
        <v>435</v>
      </c>
      <c r="I142" s="13" t="str">
        <f t="shared" si="18"/>
        <v>cheat summon ToxicDimorph_Character_BP_S_C</v>
      </c>
      <c r="J142" s="13" t="str">
        <f t="shared" si="19"/>
        <v>admincheat GMSummon "ToxicDimorph_Character_BP_S_C" 225</v>
      </c>
      <c r="K142" s="12" t="s">
        <v>436</v>
      </c>
      <c r="L142" s="12" t="str">
        <f t="shared" si="20"/>
        <v>cheat spawndino "/ArkSupreme/Content/SupremeDinos/3Toxic/Dimorphodon/ToxicDimorph_Character_BP_S_C" 500 0 0 35</v>
      </c>
      <c r="M142" s="13" t="str">
        <f t="shared" si="21"/>
        <v>NPCReplacements=(FromClassName="ToxicDimorph_Character_BP_S_C",ToClassName="")</v>
      </c>
      <c r="N142" s="2"/>
    </row>
    <row r="143">
      <c r="A143" s="2"/>
      <c r="B143" s="7"/>
      <c r="C143" s="4"/>
      <c r="D143" s="8" t="s">
        <v>437</v>
      </c>
      <c r="E143" s="9"/>
      <c r="F143" s="10"/>
      <c r="G143" s="9"/>
      <c r="H143" s="9" t="s">
        <v>438</v>
      </c>
      <c r="I143" s="10" t="str">
        <f t="shared" si="18"/>
        <v>cheat summon ToxicDiplodocus_Character_BP_S_C</v>
      </c>
      <c r="J143" s="10" t="str">
        <f t="shared" si="19"/>
        <v>admincheat GMSummon "ToxicDiplodocus_Character_BP_S_C" 225</v>
      </c>
      <c r="K143" s="9" t="s">
        <v>439</v>
      </c>
      <c r="L143" s="9" t="str">
        <f t="shared" si="20"/>
        <v>cheat spawndino "/ArkSupreme/Content/SupremeDinos/3Toxic/Diplodocus/ToxicDiplodocus_Character_BP_S_C" 500 0 0 35</v>
      </c>
      <c r="M143" s="10" t="str">
        <f t="shared" si="21"/>
        <v>NPCReplacements=(FromClassName="ToxicDiplodocus_Character_BP_S_C",ToClassName="")</v>
      </c>
      <c r="N143" s="2"/>
    </row>
    <row r="144">
      <c r="A144" s="2"/>
      <c r="B144" s="7"/>
      <c r="C144" s="4"/>
      <c r="D144" s="11" t="s">
        <v>440</v>
      </c>
      <c r="E144" s="12"/>
      <c r="F144" s="13"/>
      <c r="G144" s="12"/>
      <c r="H144" s="12" t="s">
        <v>441</v>
      </c>
      <c r="I144" s="13" t="str">
        <f t="shared" si="18"/>
        <v>cheat summon ToxicDirebear_Character_BP_S_C</v>
      </c>
      <c r="J144" s="13" t="str">
        <f t="shared" si="19"/>
        <v>admincheat GMSummon "ToxicDirebear_Character_BP_S_C" 225</v>
      </c>
      <c r="K144" s="12" t="s">
        <v>442</v>
      </c>
      <c r="L144" s="12" t="str">
        <f t="shared" si="20"/>
        <v>cheat spawndino "/ArkSupreme/Content/SupremeDinos/3Toxic/Direbear/ToxicDirebear_Character_BP_S_C" 500 0 0 35</v>
      </c>
      <c r="M144" s="13" t="str">
        <f t="shared" si="21"/>
        <v>NPCReplacements=(FromClassName="ToxicDirebear_Character_BP_S_C",ToClassName="")</v>
      </c>
      <c r="N144" s="2"/>
    </row>
    <row r="145">
      <c r="A145" s="2"/>
      <c r="B145" s="7"/>
      <c r="C145" s="4"/>
      <c r="D145" s="8" t="s">
        <v>443</v>
      </c>
      <c r="E145" s="9"/>
      <c r="F145" s="10"/>
      <c r="G145" s="9"/>
      <c r="H145" s="9" t="s">
        <v>444</v>
      </c>
      <c r="I145" s="10" t="str">
        <f t="shared" si="18"/>
        <v>cheat summon ToxicDirewolf_Character_BP_S_C</v>
      </c>
      <c r="J145" s="10" t="str">
        <f t="shared" si="19"/>
        <v>admincheat GMSummon "ToxicDirewolf_Character_BP_S_C" 225</v>
      </c>
      <c r="K145" s="9" t="s">
        <v>445</v>
      </c>
      <c r="L145" s="9" t="str">
        <f t="shared" si="20"/>
        <v>cheat spawndino "/ArkSupreme/Content/SupremeDinos/3Toxic/Direwolf/ToxicDirewolf_Character_BP_S_C" 500 0 0 35</v>
      </c>
      <c r="M145" s="10" t="str">
        <f t="shared" si="21"/>
        <v>NPCReplacements=(FromClassName="ToxicDirewolf_Character_BP_S_C",ToClassName="")</v>
      </c>
      <c r="N145" s="2"/>
    </row>
    <row r="146">
      <c r="A146" s="2"/>
      <c r="B146" s="7"/>
      <c r="C146" s="4"/>
      <c r="D146" s="11" t="s">
        <v>446</v>
      </c>
      <c r="E146" s="12"/>
      <c r="F146" s="13"/>
      <c r="G146" s="12"/>
      <c r="H146" s="12" t="s">
        <v>447</v>
      </c>
      <c r="I146" s="13" t="str">
        <f t="shared" si="18"/>
        <v>cheat summon ToxicDodo_Character_BP_S_C</v>
      </c>
      <c r="J146" s="13" t="str">
        <f t="shared" si="19"/>
        <v>admincheat GMSummon "ToxicDodo_Character_BP_S_C" 225</v>
      </c>
      <c r="K146" s="12" t="s">
        <v>448</v>
      </c>
      <c r="L146" s="12" t="str">
        <f t="shared" si="20"/>
        <v>cheat spawndino "/ArkSupreme/Content/SupremeDinos/3Toxic/Dodo/ToxicDodo_Character_BP_S_C" 500 0 0 35</v>
      </c>
      <c r="M146" s="13" t="str">
        <f t="shared" si="21"/>
        <v>NPCReplacements=(FromClassName="ToxicDodo_Character_BP_S_C",ToClassName="")</v>
      </c>
      <c r="N146" s="2"/>
    </row>
    <row r="147">
      <c r="A147" s="2"/>
      <c r="B147" s="7"/>
      <c r="C147" s="4"/>
      <c r="D147" s="8" t="s">
        <v>449</v>
      </c>
      <c r="E147" s="9"/>
      <c r="F147" s="10"/>
      <c r="G147" s="9"/>
      <c r="H147" s="9" t="s">
        <v>450</v>
      </c>
      <c r="I147" s="10" t="str">
        <f t="shared" si="18"/>
        <v>cheat summon DodoRex_Character_BP_Toxic_S_C</v>
      </c>
      <c r="J147" s="10" t="str">
        <f t="shared" si="19"/>
        <v>admincheat GMSummon "DodoRex_Character_BP_Toxic_S_C" 225</v>
      </c>
      <c r="K147" s="9" t="s">
        <v>451</v>
      </c>
      <c r="L147" s="9" t="str">
        <f t="shared" si="20"/>
        <v>cheat spawndino "/ArkSupreme/Content/SupremeDinos/3Toxic/Dodorex/DodoRex_Character_BP_Toxic_S_C" 500 0 0 35</v>
      </c>
      <c r="M147" s="10" t="str">
        <f t="shared" si="21"/>
        <v>NPCReplacements=(FromClassName="DodoRex_Character_BP_Toxic_S_C",ToClassName="")</v>
      </c>
      <c r="N147" s="2"/>
    </row>
    <row r="148">
      <c r="A148" s="2"/>
      <c r="B148" s="7"/>
      <c r="C148" s="4"/>
      <c r="D148" s="11" t="s">
        <v>452</v>
      </c>
      <c r="E148" s="12"/>
      <c r="F148" s="13"/>
      <c r="G148" s="12"/>
      <c r="H148" s="12" t="s">
        <v>453</v>
      </c>
      <c r="I148" s="13" t="str">
        <f t="shared" si="18"/>
        <v>cheat summon DodoWyvern_Character_BP_Toxic_S_C</v>
      </c>
      <c r="J148" s="13" t="str">
        <f t="shared" si="19"/>
        <v>admincheat GMSummon "DodoWyvern_Character_BP_Toxic_S_C" 225</v>
      </c>
      <c r="K148" s="12" t="s">
        <v>454</v>
      </c>
      <c r="L148" s="12" t="str">
        <f t="shared" si="20"/>
        <v>cheat spawndino "/ArkSupreme/Content/SupremeDinos/3Toxic/Dodowvyern/DodoWyvern_Character_BP_Toxic_S_C" 500 0 0 35</v>
      </c>
      <c r="M148" s="13" t="str">
        <f t="shared" si="21"/>
        <v>NPCReplacements=(FromClassName="DodoWyvern_Character_BP_Toxic_S_C",ToClassName="")</v>
      </c>
      <c r="N148" s="2"/>
    </row>
    <row r="149">
      <c r="A149" s="2"/>
      <c r="B149" s="7"/>
      <c r="C149" s="4"/>
      <c r="D149" s="8" t="s">
        <v>455</v>
      </c>
      <c r="E149" s="9"/>
      <c r="F149" s="10"/>
      <c r="G149" s="9"/>
      <c r="H149" s="9" t="s">
        <v>456</v>
      </c>
      <c r="I149" s="10" t="str">
        <f t="shared" si="18"/>
        <v>cheat summon ToxicDoed_Character_BP_S_C</v>
      </c>
      <c r="J149" s="10" t="str">
        <f t="shared" si="19"/>
        <v>admincheat GMSummon "ToxicDoed_Character_BP_S_C" 225</v>
      </c>
      <c r="K149" s="9" t="s">
        <v>457</v>
      </c>
      <c r="L149" s="9" t="str">
        <f t="shared" si="20"/>
        <v>cheat spawndino "/ArkSupreme/Content/SupremeDinos/3Toxic/Doedicurus/ToxicDoed_Character_BP_S_C" 500 0 0 35</v>
      </c>
      <c r="M149" s="10" t="str">
        <f t="shared" si="21"/>
        <v>NPCReplacements=(FromClassName="ToxicDoed_Character_BP_S_C",ToClassName="")</v>
      </c>
      <c r="N149" s="2"/>
    </row>
    <row r="150">
      <c r="A150" s="2"/>
      <c r="B150" s="7"/>
      <c r="C150" s="4"/>
      <c r="D150" s="11" t="s">
        <v>458</v>
      </c>
      <c r="E150" s="12"/>
      <c r="F150" s="13"/>
      <c r="G150" s="12"/>
      <c r="H150" s="12" t="s">
        <v>459</v>
      </c>
      <c r="I150" s="13" t="str">
        <f t="shared" si="18"/>
        <v>cheat summon ToxicDragonfly_Character_BP_S_C</v>
      </c>
      <c r="J150" s="13" t="str">
        <f t="shared" si="19"/>
        <v>admincheat GMSummon "ToxicDragonfly_Character_BP_S_C" 225</v>
      </c>
      <c r="K150" s="12" t="s">
        <v>460</v>
      </c>
      <c r="L150" s="12" t="str">
        <f t="shared" si="20"/>
        <v>cheat spawndino "/ArkSupreme/Content/SupremeDinos/3Toxic/Dragonfly/ToxicDragonfly_Character_BP_S_C" 500 0 0 35</v>
      </c>
      <c r="M150" s="13" t="str">
        <f t="shared" si="21"/>
        <v>NPCReplacements=(FromClassName="ToxicDragonfly_Character_BP_S_C",ToClassName="")</v>
      </c>
      <c r="N150" s="2"/>
    </row>
    <row r="151">
      <c r="A151" s="2"/>
      <c r="B151" s="7"/>
      <c r="C151" s="4"/>
      <c r="D151" s="8" t="s">
        <v>461</v>
      </c>
      <c r="E151" s="9"/>
      <c r="F151" s="10"/>
      <c r="G151" s="9"/>
      <c r="H151" s="9" t="s">
        <v>462</v>
      </c>
      <c r="I151" s="10" t="str">
        <f t="shared" si="18"/>
        <v>cheat summon ToxicDungBeetle_Character_BP_S_C</v>
      </c>
      <c r="J151" s="10" t="str">
        <f t="shared" si="19"/>
        <v>admincheat GMSummon "ToxicDungBeetle_Character_BP_S_C" 225</v>
      </c>
      <c r="K151" s="9" t="s">
        <v>463</v>
      </c>
      <c r="L151" s="9" t="str">
        <f t="shared" si="20"/>
        <v>cheat spawndino "/ArkSupreme/Content/SupremeDinos/3Toxic/Dungbeetle/ToxicDungBeetle_Character_BP_S_C" 500 0 0 35</v>
      </c>
      <c r="M151" s="10" t="str">
        <f t="shared" si="21"/>
        <v>NPCReplacements=(FromClassName="ToxicDungBeetle_Character_BP_S_C",ToClassName="")</v>
      </c>
      <c r="N151" s="2"/>
    </row>
    <row r="152">
      <c r="A152" s="2"/>
      <c r="B152" s="7"/>
      <c r="C152" s="4"/>
      <c r="D152" s="11" t="s">
        <v>464</v>
      </c>
      <c r="E152" s="12"/>
      <c r="F152" s="13"/>
      <c r="G152" s="12"/>
      <c r="H152" s="12" t="s">
        <v>465</v>
      </c>
      <c r="I152" s="13" t="str">
        <f t="shared" si="18"/>
        <v>cheat summon Enforcer_Character_BP_Toxic_S_C</v>
      </c>
      <c r="J152" s="13" t="str">
        <f t="shared" si="19"/>
        <v>admincheat GMSummon "Enforcer_Character_BP_Toxic_S_C" 225</v>
      </c>
      <c r="K152" s="12" t="s">
        <v>466</v>
      </c>
      <c r="L152" s="12" t="str">
        <f t="shared" si="20"/>
        <v>cheat spawndino "/ArkSupreme/Content/SupremeDinos/3Toxic/Enforcer/Enforcer_Character_BP_Toxic_S_C" 500 0 0 35</v>
      </c>
      <c r="M152" s="13" t="str">
        <f t="shared" si="21"/>
        <v>NPCReplacements=(FromClassName="Enforcer_Character_BP_Toxic_S_C",ToClassName="")</v>
      </c>
      <c r="N152" s="2"/>
    </row>
    <row r="153">
      <c r="A153" s="2"/>
      <c r="B153" s="7"/>
      <c r="C153" s="4"/>
      <c r="D153" s="8" t="s">
        <v>467</v>
      </c>
      <c r="E153" s="9"/>
      <c r="F153" s="10"/>
      <c r="G153" s="9"/>
      <c r="H153" s="9" t="s">
        <v>468</v>
      </c>
      <c r="I153" s="10" t="str">
        <f t="shared" si="18"/>
        <v>cheat summon ToxicEquus_Character_BP_S_C</v>
      </c>
      <c r="J153" s="10" t="str">
        <f t="shared" si="19"/>
        <v>admincheat GMSummon "ToxicEquus_Character_BP_S_C" 225</v>
      </c>
      <c r="K153" s="9" t="s">
        <v>469</v>
      </c>
      <c r="L153" s="9" t="str">
        <f t="shared" si="20"/>
        <v>cheat spawndino "/ArkSupreme/Content/SupremeDinos/3Toxic/Equus/ToxicEquus_Character_BP_S_C" 500 0 0 35</v>
      </c>
      <c r="M153" s="10" t="str">
        <f t="shared" si="21"/>
        <v>NPCReplacements=(FromClassName="ToxicEquus_Character_BP_S_C",ToClassName="")</v>
      </c>
      <c r="N153" s="2"/>
    </row>
    <row r="154">
      <c r="A154" s="2"/>
      <c r="B154" s="7"/>
      <c r="C154" s="4"/>
      <c r="D154" s="11" t="s">
        <v>470</v>
      </c>
      <c r="E154" s="12"/>
      <c r="F154" s="13"/>
      <c r="G154" s="12"/>
      <c r="H154" s="12" t="s">
        <v>471</v>
      </c>
      <c r="I154" s="13" t="str">
        <f t="shared" si="18"/>
        <v>cheat summon LanternBird_Character_BP_Toxic_S_C</v>
      </c>
      <c r="J154" s="13" t="str">
        <f t="shared" si="19"/>
        <v>admincheat GMSummon "LanternBird_Character_BP_Toxic_S_C" 225</v>
      </c>
      <c r="K154" s="12" t="s">
        <v>472</v>
      </c>
      <c r="L154" s="12" t="str">
        <f t="shared" si="20"/>
        <v>cheat spawndino "/ArkSupreme/Content/SupremeDinos/3Toxic/Featherlight/LanternBird_Character_BP_Toxic_S_C" 500 0 0 35</v>
      </c>
      <c r="M154" s="13" t="str">
        <f t="shared" si="21"/>
        <v>NPCReplacements=(FromClassName="LanternBird_Character_BP_Toxic_S_C",ToClassName="")</v>
      </c>
      <c r="N154" s="2"/>
    </row>
    <row r="155">
      <c r="A155" s="2"/>
      <c r="B155" s="7"/>
      <c r="C155" s="4"/>
      <c r="D155" s="8" t="s">
        <v>473</v>
      </c>
      <c r="E155" s="9"/>
      <c r="F155" s="10"/>
      <c r="G155" s="9"/>
      <c r="H155" s="9" t="s">
        <v>474</v>
      </c>
      <c r="I155" s="10" t="str">
        <f t="shared" si="18"/>
        <v>cheat summon ToxicToad_Character_BP_S_C</v>
      </c>
      <c r="J155" s="10" t="str">
        <f t="shared" si="19"/>
        <v>admincheat GMSummon "ToxicToad_Character_BP_S_C" 225</v>
      </c>
      <c r="K155" s="9" t="s">
        <v>475</v>
      </c>
      <c r="L155" s="9" t="str">
        <f t="shared" si="20"/>
        <v>cheat spawndino "/ArkSupreme/Content/SupremeDinos/3Toxic/Frog/ToxicToad_Character_BP_S_C" 500 0 0 35</v>
      </c>
      <c r="M155" s="10" t="str">
        <f t="shared" si="21"/>
        <v>NPCReplacements=(FromClassName="ToxicToad_Character_BP_S_C",ToClassName="")</v>
      </c>
      <c r="N155" s="2"/>
    </row>
    <row r="156">
      <c r="A156" s="2"/>
      <c r="B156" s="7"/>
      <c r="C156" s="4"/>
      <c r="D156" s="11" t="s">
        <v>476</v>
      </c>
      <c r="E156" s="12"/>
      <c r="F156" s="13"/>
      <c r="G156" s="12"/>
      <c r="H156" s="12" t="s">
        <v>477</v>
      </c>
      <c r="I156" s="13" t="str">
        <f t="shared" si="18"/>
        <v>cheat summon ToxicGalli_Character_BP_S_C</v>
      </c>
      <c r="J156" s="13" t="str">
        <f t="shared" si="19"/>
        <v>admincheat GMSummon "ToxicGalli_Character_BP_S_C" 225</v>
      </c>
      <c r="K156" s="12" t="s">
        <v>478</v>
      </c>
      <c r="L156" s="12" t="str">
        <f t="shared" si="20"/>
        <v>cheat spawndino "/ArkSupreme/Content/SupremeDinos/3Toxic/Gallimimus/ToxicGalli_Character_BP_S_C" 500 0 0 35</v>
      </c>
      <c r="M156" s="13" t="str">
        <f t="shared" si="21"/>
        <v>NPCReplacements=(FromClassName="ToxicGalli_Character_BP_S_C",ToClassName="")</v>
      </c>
      <c r="N156" s="2"/>
    </row>
    <row r="157">
      <c r="A157" s="2"/>
      <c r="B157" s="7"/>
      <c r="C157" s="4"/>
      <c r="D157" s="8" t="s">
        <v>479</v>
      </c>
      <c r="E157" s="9"/>
      <c r="F157" s="10"/>
      <c r="G157" s="9"/>
      <c r="H157" s="9" t="s">
        <v>480</v>
      </c>
      <c r="I157" s="10" t="str">
        <f t="shared" si="18"/>
        <v>cheat summon GasBags_Character_BP_Toxic_S_C</v>
      </c>
      <c r="J157" s="10" t="str">
        <f t="shared" si="19"/>
        <v>admincheat GMSummon "GasBags_Character_BP_Toxic_S_C" 225</v>
      </c>
      <c r="K157" s="9" t="s">
        <v>481</v>
      </c>
      <c r="L157" s="9" t="str">
        <f t="shared" si="20"/>
        <v>cheat spawndino "/ArkSupreme/Content/SupremeDinos/3Toxic/Gasbag/GasBags_Character_BP_Toxic_S_C" 500 0 0 35</v>
      </c>
      <c r="M157" s="10" t="str">
        <f t="shared" si="21"/>
        <v>NPCReplacements=(FromClassName="GasBags_Character_BP_Toxic_S_C",ToClassName="")</v>
      </c>
      <c r="N157" s="2"/>
    </row>
    <row r="158">
      <c r="A158" s="2"/>
      <c r="B158" s="7"/>
      <c r="C158" s="4"/>
      <c r="D158" s="11" t="s">
        <v>482</v>
      </c>
      <c r="E158" s="12"/>
      <c r="F158" s="13"/>
      <c r="G158" s="12"/>
      <c r="H158" s="12" t="s">
        <v>483</v>
      </c>
      <c r="I158" s="13" t="str">
        <f t="shared" si="18"/>
        <v>cheat summon ToxicGigant_Character_BP_S_C</v>
      </c>
      <c r="J158" s="13" t="str">
        <f t="shared" si="19"/>
        <v>admincheat GMSummon "ToxicGigant_Character_BP_S_C" 225</v>
      </c>
      <c r="K158" s="12" t="s">
        <v>484</v>
      </c>
      <c r="L158" s="12" t="str">
        <f t="shared" si="20"/>
        <v>cheat spawndino "/ArkSupreme/Content/SupremeDinos/3Toxic/Giga/ToxicGigant_Character_BP_S_C" 500 0 0 35</v>
      </c>
      <c r="M158" s="13" t="str">
        <f t="shared" si="21"/>
        <v>NPCReplacements=(FromClassName="ToxicGigant_Character_BP_S_C",ToClassName="")</v>
      </c>
      <c r="N158" s="2"/>
    </row>
    <row r="159">
      <c r="A159" s="2"/>
      <c r="B159" s="7"/>
      <c r="C159" s="4"/>
      <c r="D159" s="8" t="s">
        <v>485</v>
      </c>
      <c r="E159" s="9"/>
      <c r="F159" s="10"/>
      <c r="G159" s="9"/>
      <c r="H159" s="9" t="s">
        <v>486</v>
      </c>
      <c r="I159" s="10" t="str">
        <f t="shared" si="18"/>
        <v>cheat summon ToxicBigfoot_Character_BP_S_C</v>
      </c>
      <c r="J159" s="10" t="str">
        <f t="shared" si="19"/>
        <v>admincheat GMSummon "ToxicBigfoot_Character_BP_S_C" 225</v>
      </c>
      <c r="K159" s="9" t="s">
        <v>487</v>
      </c>
      <c r="L159" s="9" t="str">
        <f t="shared" si="20"/>
        <v>cheat spawndino "/ArkSupreme/Content/SupremeDinos/3Toxic/Gigantopithecus/ToxicBigfoot_Character_BP_S_C" 500 0 0 35</v>
      </c>
      <c r="M159" s="10" t="str">
        <f t="shared" si="21"/>
        <v>NPCReplacements=(FromClassName="ToxicBigfoot_Character_BP_S_C",ToClassName="")</v>
      </c>
      <c r="N159" s="2"/>
    </row>
    <row r="160">
      <c r="A160" s="2"/>
      <c r="B160" s="7"/>
      <c r="C160" s="4"/>
      <c r="D160" s="11" t="s">
        <v>488</v>
      </c>
      <c r="E160" s="12"/>
      <c r="F160" s="13"/>
      <c r="G160" s="12"/>
      <c r="H160" s="12" t="s">
        <v>489</v>
      </c>
      <c r="I160" s="13" t="str">
        <f t="shared" si="18"/>
        <v>cheat summon LanternLizard_Character_BP_Toxic_S_C</v>
      </c>
      <c r="J160" s="13" t="str">
        <f t="shared" si="19"/>
        <v>admincheat GMSummon "LanternLizard_Character_BP_Toxic_S_C" 225</v>
      </c>
      <c r="K160" s="12" t="s">
        <v>490</v>
      </c>
      <c r="L160" s="12" t="str">
        <f t="shared" si="20"/>
        <v>cheat spawndino "/ArkSupreme/Content/SupremeDinos/3Toxic/Glowtail/LanternLizard_Character_BP_Toxic_S_C" 500 0 0 35</v>
      </c>
      <c r="M160" s="13" t="str">
        <f t="shared" si="21"/>
        <v>NPCReplacements=(FromClassName="LanternLizard_Character_BP_Toxic_S_C",ToClassName="")</v>
      </c>
      <c r="N160" s="2"/>
    </row>
    <row r="161">
      <c r="A161" s="2"/>
      <c r="B161" s="7"/>
      <c r="C161" s="4"/>
      <c r="D161" s="8" t="s">
        <v>491</v>
      </c>
      <c r="E161" s="9"/>
      <c r="F161" s="10"/>
      <c r="G161" s="9"/>
      <c r="H161" s="9" t="s">
        <v>492</v>
      </c>
      <c r="I161" s="10" t="str">
        <f t="shared" si="18"/>
        <v>cheat summon Gorilla_Character_BP_Toxic_S_C</v>
      </c>
      <c r="J161" s="10" t="str">
        <f t="shared" si="19"/>
        <v>admincheat GMSummon "Gorilla_Character_BP_Toxic_S_C" 225</v>
      </c>
      <c r="K161" s="9" t="s">
        <v>493</v>
      </c>
      <c r="L161" s="9" t="str">
        <f t="shared" si="20"/>
        <v>cheat spawndino "/ArkSupreme/Content/SupremeDinos/3Toxic/Gorilla/Gorilla_Character_BP_Toxic_S_C" 500 0 0 35</v>
      </c>
      <c r="M161" s="10" t="str">
        <f t="shared" si="21"/>
        <v>NPCReplacements=(FromClassName="Gorilla_Character_BP_Toxic_S_C",ToClassName="")</v>
      </c>
      <c r="N161" s="2"/>
    </row>
    <row r="162">
      <c r="A162" s="2"/>
      <c r="B162" s="7"/>
      <c r="C162" s="4"/>
      <c r="D162" s="11" t="s">
        <v>494</v>
      </c>
      <c r="E162" s="12"/>
      <c r="F162" s="13"/>
      <c r="G162" s="12"/>
      <c r="H162" s="12" t="s">
        <v>495</v>
      </c>
      <c r="I162" s="13" t="str">
        <f t="shared" si="18"/>
        <v>cheat summon ToxicHesperornis_Character_BP_S_C</v>
      </c>
      <c r="J162" s="13" t="str">
        <f t="shared" si="19"/>
        <v>admincheat GMSummon "ToxicHesperornis_Character_BP_S_C" 225</v>
      </c>
      <c r="K162" s="12" t="s">
        <v>496</v>
      </c>
      <c r="L162" s="12" t="str">
        <f t="shared" si="20"/>
        <v>cheat spawndino "/ArkSupreme/Content/SupremeDinos/3Toxic/Hesperornis/ToxicHesperornis_Character_BP_S_C" 500 0 0 35</v>
      </c>
      <c r="M162" s="13" t="str">
        <f t="shared" si="21"/>
        <v>NPCReplacements=(FromClassName="ToxicHesperornis_Character_BP_S_C",ToClassName="")</v>
      </c>
      <c r="N162" s="2"/>
    </row>
    <row r="163">
      <c r="A163" s="2"/>
      <c r="B163" s="7"/>
      <c r="C163" s="4"/>
      <c r="D163" s="8" t="s">
        <v>497</v>
      </c>
      <c r="E163" s="9"/>
      <c r="F163" s="10"/>
      <c r="G163" s="9"/>
      <c r="H163" s="9" t="s">
        <v>498</v>
      </c>
      <c r="I163" s="10" t="str">
        <f t="shared" si="18"/>
        <v>cheat summon ToxicHyaenodon_Character_BP_S_C</v>
      </c>
      <c r="J163" s="10" t="str">
        <f t="shared" si="19"/>
        <v>admincheat GMSummon "ToxicHyaenodon_Character_BP_S_C" 225</v>
      </c>
      <c r="K163" s="9" t="s">
        <v>499</v>
      </c>
      <c r="L163" s="9" t="str">
        <f t="shared" si="20"/>
        <v>cheat spawndino "/ArkSupreme/Content/SupremeDinos/3Toxic/Hyena/ToxicHyaenodon_Character_BP_S_C" 500 0 0 35</v>
      </c>
      <c r="M163" s="10" t="str">
        <f t="shared" si="21"/>
        <v>NPCReplacements=(FromClassName="ToxicHyaenodon_Character_BP_S_C",ToClassName="")</v>
      </c>
      <c r="N163" s="2"/>
    </row>
    <row r="164">
      <c r="A164" s="2"/>
      <c r="B164" s="7"/>
      <c r="C164" s="4"/>
      <c r="D164" s="11" t="s">
        <v>500</v>
      </c>
      <c r="E164" s="12"/>
      <c r="F164" s="13"/>
      <c r="G164" s="12"/>
      <c r="H164" s="12" t="s">
        <v>501</v>
      </c>
      <c r="I164" s="13" t="str">
        <f t="shared" si="18"/>
        <v>cheat summon ToxicIguanodon_Character_BP_S_C</v>
      </c>
      <c r="J164" s="13" t="str">
        <f t="shared" si="19"/>
        <v>admincheat GMSummon "ToxicIguanodon_Character_BP_S_C" 225</v>
      </c>
      <c r="K164" s="12" t="s">
        <v>502</v>
      </c>
      <c r="L164" s="12" t="str">
        <f t="shared" si="20"/>
        <v>cheat spawndino "/ArkSupreme/Content/SupremeDinos/3Toxic/Iguanodon/ToxicIguanodon_Character_BP_S_C" 500 0 0 35</v>
      </c>
      <c r="M164" s="13" t="str">
        <f t="shared" si="21"/>
        <v>NPCReplacements=(FromClassName="ToxicIguanodon_Character_BP_S_C",ToClassName="")</v>
      </c>
      <c r="N164" s="2"/>
    </row>
    <row r="165">
      <c r="A165" s="2"/>
      <c r="B165" s="7"/>
      <c r="C165" s="4"/>
      <c r="D165" s="8" t="s">
        <v>503</v>
      </c>
      <c r="E165" s="9"/>
      <c r="F165" s="10"/>
      <c r="G165" s="9"/>
      <c r="H165" s="9" t="s">
        <v>504</v>
      </c>
      <c r="I165" s="10" t="str">
        <f t="shared" si="18"/>
        <v>cheat summon Jerboa_Character_BP_Toxic_S_C</v>
      </c>
      <c r="J165" s="10" t="str">
        <f t="shared" si="19"/>
        <v>admincheat GMSummon "Jerboa_Character_BP_Toxic_S_C" 225</v>
      </c>
      <c r="K165" s="9" t="s">
        <v>505</v>
      </c>
      <c r="L165" s="9" t="str">
        <f t="shared" si="20"/>
        <v>cheat spawndino "/ArkSupreme/Content/SupremeDinos/3Toxic/Jerboa/Jerboa_Character_BP_Toxic_S_C" 500 0 0 35</v>
      </c>
      <c r="M165" s="10" t="str">
        <f t="shared" si="21"/>
        <v>NPCReplacements=(FromClassName="Jerboa_Character_BP_Toxic_S_C",ToClassName="")</v>
      </c>
      <c r="N165" s="2"/>
    </row>
    <row r="166">
      <c r="A166" s="2"/>
      <c r="B166" s="7"/>
      <c r="C166" s="4"/>
      <c r="D166" s="11" t="s">
        <v>506</v>
      </c>
      <c r="E166" s="12"/>
      <c r="F166" s="13"/>
      <c r="G166" s="12"/>
      <c r="H166" s="12" t="s">
        <v>507</v>
      </c>
      <c r="I166" s="13" t="str">
        <f t="shared" si="18"/>
        <v>cheat summon ToxicKairuku_Character_BP_S_C</v>
      </c>
      <c r="J166" s="13" t="str">
        <f t="shared" si="19"/>
        <v>admincheat GMSummon "ToxicKairuku_Character_BP_S_C" 225</v>
      </c>
      <c r="K166" s="12" t="s">
        <v>508</v>
      </c>
      <c r="L166" s="12" t="str">
        <f t="shared" si="20"/>
        <v>cheat spawndino "/ArkSupreme/Content/SupremeDinos/3Toxic/Kairuku/ToxicKairuku_Character_BP_S_C" 500 0 0 35</v>
      </c>
      <c r="M166" s="13" t="str">
        <f t="shared" si="21"/>
        <v>NPCReplacements=(FromClassName="ToxicKairuku_Character_BP_S_C",ToClassName="")</v>
      </c>
      <c r="N166" s="2"/>
    </row>
    <row r="167">
      <c r="A167" s="2"/>
      <c r="B167" s="7"/>
      <c r="C167" s="4"/>
      <c r="D167" s="8" t="s">
        <v>509</v>
      </c>
      <c r="E167" s="9"/>
      <c r="F167" s="10"/>
      <c r="G167" s="9"/>
      <c r="H167" s="9" t="s">
        <v>510</v>
      </c>
      <c r="I167" s="10" t="str">
        <f t="shared" si="18"/>
        <v>cheat summon ToxicKaprosuchus_Character_BP_S_C</v>
      </c>
      <c r="J167" s="10" t="str">
        <f t="shared" si="19"/>
        <v>admincheat GMSummon "ToxicKaprosuchus_Character_BP_S_C" 225</v>
      </c>
      <c r="K167" s="9" t="s">
        <v>511</v>
      </c>
      <c r="L167" s="9" t="str">
        <f t="shared" si="20"/>
        <v>cheat spawndino "/ArkSupreme/Content/SupremeDinos/3Toxic/Kaprosuchus/ToxicKaprosuchus_Character_BP_S_C" 500 0 0 35</v>
      </c>
      <c r="M167" s="10" t="str">
        <f t="shared" si="21"/>
        <v>NPCReplacements=(FromClassName="ToxicKaprosuchus_Character_BP_S_C",ToClassName="")</v>
      </c>
      <c r="N167" s="2"/>
    </row>
    <row r="168">
      <c r="A168" s="2"/>
      <c r="B168" s="7"/>
      <c r="C168" s="4"/>
      <c r="D168" s="11" t="s">
        <v>512</v>
      </c>
      <c r="E168" s="12"/>
      <c r="F168" s="13"/>
      <c r="G168" s="12"/>
      <c r="H168" s="12" t="s">
        <v>513</v>
      </c>
      <c r="I168" s="13" t="str">
        <f t="shared" si="18"/>
        <v>cheat summon Crab_Character_BP_Toxic_S_C</v>
      </c>
      <c r="J168" s="13" t="str">
        <f t="shared" si="19"/>
        <v>admincheat GMSummon "Crab_Character_BP_Toxic_S_C" 225</v>
      </c>
      <c r="K168" s="12" t="s">
        <v>514</v>
      </c>
      <c r="L168" s="12" t="str">
        <f t="shared" si="20"/>
        <v>cheat spawndino "/ArkSupreme/Content/SupremeDinos/3Toxic/Karkinos/Crab_Character_BP_Toxic_S_C" 500 0 0 35</v>
      </c>
      <c r="M168" s="13" t="str">
        <f t="shared" si="21"/>
        <v>NPCReplacements=(FromClassName="Crab_Character_BP_Toxic_S_C",ToClassName="")</v>
      </c>
      <c r="N168" s="2"/>
    </row>
    <row r="169">
      <c r="A169" s="2"/>
      <c r="B169" s="7"/>
      <c r="C169" s="4"/>
      <c r="D169" s="8" t="s">
        <v>515</v>
      </c>
      <c r="E169" s="9"/>
      <c r="F169" s="10"/>
      <c r="G169" s="9"/>
      <c r="H169" s="9" t="s">
        <v>516</v>
      </c>
      <c r="I169" s="10" t="str">
        <f t="shared" si="18"/>
        <v>cheat summon ToxicKentro_Character_BP_S_C</v>
      </c>
      <c r="J169" s="10" t="str">
        <f t="shared" si="19"/>
        <v>admincheat GMSummon "ToxicKentro_Character_BP_S_C" 225</v>
      </c>
      <c r="K169" s="9" t="s">
        <v>517</v>
      </c>
      <c r="L169" s="9" t="str">
        <f t="shared" si="20"/>
        <v>cheat spawndino "/ArkSupreme/Content/SupremeDinos/3Toxic/Kentro/ToxicKentro_Character_BP_S_C" 500 0 0 35</v>
      </c>
      <c r="M169" s="10" t="str">
        <f t="shared" si="21"/>
        <v>NPCReplacements=(FromClassName="ToxicKentro_Character_BP_S_C",ToClassName="")</v>
      </c>
      <c r="N169" s="2"/>
    </row>
    <row r="170">
      <c r="A170" s="2"/>
      <c r="B170" s="7"/>
      <c r="C170" s="4"/>
      <c r="D170" s="11" t="s">
        <v>518</v>
      </c>
      <c r="E170" s="12"/>
      <c r="F170" s="13"/>
      <c r="G170" s="12"/>
      <c r="H170" s="12" t="s">
        <v>519</v>
      </c>
      <c r="I170" s="13" t="str">
        <f t="shared" si="18"/>
        <v>cheat summon ToxicLystro_Character_BP_S_C</v>
      </c>
      <c r="J170" s="13" t="str">
        <f t="shared" si="19"/>
        <v>admincheat GMSummon "ToxicLystro_Character_BP_S_C" 225</v>
      </c>
      <c r="K170" s="12" t="s">
        <v>520</v>
      </c>
      <c r="L170" s="12" t="str">
        <f t="shared" si="20"/>
        <v>cheat spawndino "/ArkSupreme/Content/SupremeDinos/3Toxic/Lystro/ToxicLystro_Character_BP_S_C" 500 0 0 35</v>
      </c>
      <c r="M170" s="13" t="str">
        <f t="shared" si="21"/>
        <v>NPCReplacements=(FromClassName="ToxicLystro_Character_BP_S_C",ToClassName="")</v>
      </c>
      <c r="N170" s="2"/>
    </row>
    <row r="171">
      <c r="A171" s="2"/>
      <c r="B171" s="7"/>
      <c r="C171" s="4"/>
      <c r="D171" s="8" t="s">
        <v>521</v>
      </c>
      <c r="E171" s="9"/>
      <c r="F171" s="10"/>
      <c r="G171" s="9"/>
      <c r="H171" s="9" t="s">
        <v>522</v>
      </c>
      <c r="I171" s="10" t="str">
        <f t="shared" si="18"/>
        <v>cheat summon ToxicMammoth_Character_BP_S_C</v>
      </c>
      <c r="J171" s="10" t="str">
        <f t="shared" si="19"/>
        <v>admincheat GMSummon "ToxicMammoth_Character_BP_S_C" 225</v>
      </c>
      <c r="K171" s="9" t="s">
        <v>523</v>
      </c>
      <c r="L171" s="9" t="str">
        <f t="shared" si="20"/>
        <v>cheat spawndino "/ArkSupreme/Content/SupremeDinos/3Toxic/Mammoth/ToxicMammoth_Character_BP_S_C" 500 0 0 35</v>
      </c>
      <c r="M171" s="10" t="str">
        <f t="shared" si="21"/>
        <v>NPCReplacements=(FromClassName="ToxicMammoth_Character_BP_S_C",ToClassName="")</v>
      </c>
      <c r="N171" s="2"/>
    </row>
    <row r="172">
      <c r="A172" s="2"/>
      <c r="B172" s="7"/>
      <c r="C172" s="4"/>
      <c r="D172" s="11" t="s">
        <v>524</v>
      </c>
      <c r="E172" s="12"/>
      <c r="F172" s="13"/>
      <c r="G172" s="12"/>
      <c r="H172" s="12" t="s">
        <v>525</v>
      </c>
      <c r="I172" s="13" t="str">
        <f t="shared" si="18"/>
        <v>cheat summon IceJumper_Character_BP_Toxic_S_C</v>
      </c>
      <c r="J172" s="13" t="str">
        <f t="shared" si="19"/>
        <v>admincheat GMSummon "IceJumper_Character_BP_Toxic_S_C" 225</v>
      </c>
      <c r="K172" s="12" t="s">
        <v>526</v>
      </c>
      <c r="L172" s="12" t="str">
        <f t="shared" si="20"/>
        <v>cheat spawndino "/ArkSupreme/Content/SupremeDinos/3Toxic/Managarm/IceJumper_Character_BP_Toxic_S_C" 500 0 0 35</v>
      </c>
      <c r="M172" s="13" t="str">
        <f t="shared" si="21"/>
        <v>NPCReplacements=(FromClassName="IceJumper_Character_BP_Toxic_S_C",ToClassName="")</v>
      </c>
      <c r="N172" s="2"/>
    </row>
    <row r="173">
      <c r="A173" s="2"/>
      <c r="B173" s="7"/>
      <c r="C173" s="4"/>
      <c r="D173" s="8" t="s">
        <v>527</v>
      </c>
      <c r="E173" s="9"/>
      <c r="F173" s="10"/>
      <c r="G173" s="9"/>
      <c r="H173" s="9" t="s">
        <v>528</v>
      </c>
      <c r="I173" s="10" t="str">
        <f t="shared" si="18"/>
        <v>cheat summon Manticore_Character_BP_Toxic_S_C</v>
      </c>
      <c r="J173" s="10" t="str">
        <f t="shared" si="19"/>
        <v>admincheat GMSummon "Manticore_Character_BP_Toxic_S_C" 225</v>
      </c>
      <c r="K173" s="9" t="s">
        <v>529</v>
      </c>
      <c r="L173" s="9" t="str">
        <f t="shared" si="20"/>
        <v>cheat spawndino "/ArkSupreme/Content/SupremeDinos/3Toxic/Manticore/Manticore_Character_BP_Toxic_S_C" 500 0 0 35</v>
      </c>
      <c r="M173" s="10" t="str">
        <f t="shared" si="21"/>
        <v>NPCReplacements=(FromClassName="Manticore_Character_BP_Toxic_S_C",ToClassName="")</v>
      </c>
      <c r="N173" s="2"/>
    </row>
    <row r="174">
      <c r="A174" s="2"/>
      <c r="B174" s="7"/>
      <c r="C174" s="4"/>
      <c r="D174" s="11" t="s">
        <v>530</v>
      </c>
      <c r="E174" s="12"/>
      <c r="F174" s="13"/>
      <c r="G174" s="12"/>
      <c r="H174" s="12" t="s">
        <v>531</v>
      </c>
      <c r="I174" s="13" t="str">
        <f t="shared" si="18"/>
        <v>cheat summon Mantis_Character_BP_Toxic_S_C</v>
      </c>
      <c r="J174" s="13" t="str">
        <f t="shared" si="19"/>
        <v>admincheat GMSummon "Mantis_Character_BP_Toxic_S_C" 225</v>
      </c>
      <c r="K174" s="12" t="s">
        <v>532</v>
      </c>
      <c r="L174" s="12" t="str">
        <f t="shared" si="20"/>
        <v>cheat spawndino "/ArkSupreme/Content/SupremeDinos/3Toxic/Mantis/Mantis_Character_BP_Toxic_S_C" 500 0 0 35</v>
      </c>
      <c r="M174" s="13" t="str">
        <f t="shared" si="21"/>
        <v>NPCReplacements=(FromClassName="Mantis_Character_BP_Toxic_S_C",ToClassName="")</v>
      </c>
      <c r="N174" s="2"/>
    </row>
    <row r="175">
      <c r="A175" s="2"/>
      <c r="B175" s="7"/>
      <c r="C175" s="4"/>
      <c r="D175" s="8" t="s">
        <v>533</v>
      </c>
      <c r="E175" s="9"/>
      <c r="F175" s="10"/>
      <c r="G175" s="9"/>
      <c r="H175" s="9" t="s">
        <v>534</v>
      </c>
      <c r="I175" s="10" t="str">
        <f t="shared" si="18"/>
        <v>cheat summon ToxicMegalania_Character_BP_S_C</v>
      </c>
      <c r="J175" s="10" t="str">
        <f t="shared" si="19"/>
        <v>admincheat GMSummon "ToxicMegalania_Character_BP_S_C" 225</v>
      </c>
      <c r="K175" s="9" t="s">
        <v>535</v>
      </c>
      <c r="L175" s="9" t="str">
        <f t="shared" si="20"/>
        <v>cheat spawndino "/ArkSupreme/Content/SupremeDinos/3Toxic/Megalania/ToxicMegalania_Character_BP_S_C" 500 0 0 35</v>
      </c>
      <c r="M175" s="10" t="str">
        <f t="shared" si="21"/>
        <v>NPCReplacements=(FromClassName="ToxicMegalania_Character_BP_S_C",ToClassName="")</v>
      </c>
      <c r="N175" s="2"/>
    </row>
    <row r="176">
      <c r="A176" s="2"/>
      <c r="B176" s="7"/>
      <c r="C176" s="4"/>
      <c r="D176" s="11" t="s">
        <v>536</v>
      </c>
      <c r="E176" s="12"/>
      <c r="F176" s="13"/>
      <c r="G176" s="12"/>
      <c r="H176" s="12" t="s">
        <v>537</v>
      </c>
      <c r="I176" s="13" t="str">
        <f t="shared" si="18"/>
        <v>cheat summon ToxicMegalosaurus_Character_BP_S_C</v>
      </c>
      <c r="J176" s="13" t="str">
        <f t="shared" si="19"/>
        <v>admincheat GMSummon "ToxicMegalosaurus_Character_BP_S_C" 225</v>
      </c>
      <c r="K176" s="12" t="s">
        <v>538</v>
      </c>
      <c r="L176" s="12" t="str">
        <f t="shared" si="20"/>
        <v>cheat spawndino "/ArkSupreme/Content/SupremeDinos/3Toxic/Megalo/ToxicMegalosaurus_Character_BP_S_C" 500 0 0 35</v>
      </c>
      <c r="M176" s="13" t="str">
        <f t="shared" si="21"/>
        <v>NPCReplacements=(FromClassName="ToxicMegalosaurus_Character_BP_S_C",ToClassName="")</v>
      </c>
      <c r="N176" s="2"/>
    </row>
    <row r="177">
      <c r="A177" s="2"/>
      <c r="B177" s="7"/>
      <c r="C177" s="4"/>
      <c r="D177" s="8" t="s">
        <v>539</v>
      </c>
      <c r="E177" s="9"/>
      <c r="F177" s="10"/>
      <c r="G177" s="9"/>
      <c r="H177" s="9" t="s">
        <v>540</v>
      </c>
      <c r="I177" s="10" t="str">
        <f t="shared" si="18"/>
        <v>cheat summon ToxicStag_Character_BP_S_C</v>
      </c>
      <c r="J177" s="10" t="str">
        <f t="shared" si="19"/>
        <v>admincheat GMSummon "ToxicStag_Character_BP_S_C" 225</v>
      </c>
      <c r="K177" s="9" t="s">
        <v>541</v>
      </c>
      <c r="L177" s="9" t="str">
        <f t="shared" si="20"/>
        <v>cheat spawndino "/ArkSupreme/Content/SupremeDinos/3Toxic/Megaloceros/ToxicStag_Character_BP_S_C" 500 0 0 35</v>
      </c>
      <c r="M177" s="10" t="str">
        <f t="shared" si="21"/>
        <v>NPCReplacements=(FromClassName="ToxicStag_Character_BP_S_C",ToClassName="")</v>
      </c>
      <c r="N177" s="2"/>
    </row>
    <row r="178">
      <c r="A178" s="2"/>
      <c r="B178" s="7"/>
      <c r="C178" s="4"/>
      <c r="D178" s="11" t="s">
        <v>542</v>
      </c>
      <c r="E178" s="12"/>
      <c r="F178" s="13"/>
      <c r="G178" s="12"/>
      <c r="H178" s="12" t="s">
        <v>543</v>
      </c>
      <c r="I178" s="13" t="str">
        <f t="shared" si="18"/>
        <v>cheat summon ToxicMegatherium_Character_BP_S_C</v>
      </c>
      <c r="J178" s="13" t="str">
        <f t="shared" si="19"/>
        <v>admincheat GMSummon "ToxicMegatherium_Character_BP_S_C" 225</v>
      </c>
      <c r="K178" s="12" t="s">
        <v>544</v>
      </c>
      <c r="L178" s="12" t="str">
        <f t="shared" si="20"/>
        <v>cheat spawndino "/ArkSupreme/Content/SupremeDinos/3Toxic/Megatherium/ToxicMegatherium_Character_BP_S_C" 500 0 0 35</v>
      </c>
      <c r="M178" s="13" t="str">
        <f t="shared" si="21"/>
        <v>NPCReplacements=(FromClassName="ToxicMegatherium_Character_BP_S_C",ToClassName="")</v>
      </c>
      <c r="N178" s="2"/>
    </row>
    <row r="179">
      <c r="A179" s="2"/>
      <c r="B179" s="7"/>
      <c r="C179" s="4"/>
      <c r="D179" s="8" t="s">
        <v>545</v>
      </c>
      <c r="E179" s="9"/>
      <c r="F179" s="10"/>
      <c r="G179" s="9"/>
      <c r="H179" s="9" t="s">
        <v>546</v>
      </c>
      <c r="I179" s="10" t="str">
        <f t="shared" si="18"/>
        <v>cheat summon MoleRat_Character_BP_Toxic_S_C</v>
      </c>
      <c r="J179" s="10" t="str">
        <f t="shared" si="19"/>
        <v>admincheat GMSummon "MoleRat_Character_BP_Toxic_S_C" 225</v>
      </c>
      <c r="K179" s="9" t="s">
        <v>547</v>
      </c>
      <c r="L179" s="9" t="str">
        <f t="shared" si="20"/>
        <v>cheat spawndino "/ArkSupreme/Content/SupremeDinos/3Toxic/Molerat/MoleRat_Character_BP_Toxic_S_C" 500 0 0 35</v>
      </c>
      <c r="M179" s="10" t="str">
        <f t="shared" si="21"/>
        <v>NPCReplacements=(FromClassName="MoleRat_Character_BP_Toxic_S_C",ToClassName="")</v>
      </c>
      <c r="N179" s="2"/>
    </row>
    <row r="180">
      <c r="A180" s="2"/>
      <c r="B180" s="7"/>
      <c r="C180" s="4"/>
      <c r="D180" s="11" t="s">
        <v>548</v>
      </c>
      <c r="E180" s="12"/>
      <c r="F180" s="13"/>
      <c r="G180" s="12"/>
      <c r="H180" s="12" t="s">
        <v>549</v>
      </c>
      <c r="I180" s="13" t="str">
        <f t="shared" si="18"/>
        <v>cheat summon ToxicMonkey_Character_BP_S_C</v>
      </c>
      <c r="J180" s="13" t="str">
        <f t="shared" si="19"/>
        <v>admincheat GMSummon "ToxicMonkey_Character_BP_S_C" 225</v>
      </c>
      <c r="K180" s="12" t="s">
        <v>550</v>
      </c>
      <c r="L180" s="12" t="str">
        <f t="shared" si="20"/>
        <v>cheat spawndino "/ArkSupreme/Content/SupremeDinos/3Toxic/Monkey/ToxicMonkey_Character_BP_S_C" 500 0 0 35</v>
      </c>
      <c r="M180" s="13" t="str">
        <f t="shared" si="21"/>
        <v>NPCReplacements=(FromClassName="ToxicMonkey_Character_BP_S_C",ToClassName="")</v>
      </c>
      <c r="N180" s="2"/>
    </row>
    <row r="181">
      <c r="A181" s="2"/>
      <c r="B181" s="7"/>
      <c r="C181" s="4"/>
      <c r="D181" s="8" t="s">
        <v>551</v>
      </c>
      <c r="E181" s="9"/>
      <c r="F181" s="10"/>
      <c r="G181" s="9"/>
      <c r="H181" s="9" t="s">
        <v>552</v>
      </c>
      <c r="I181" s="10" t="str">
        <f t="shared" si="18"/>
        <v>cheat summon camelsaurus_Character_BP_Toxic_S_C</v>
      </c>
      <c r="J181" s="10" t="str">
        <f t="shared" si="19"/>
        <v>admincheat GMSummon "camelsaurus_Character_BP_Toxic_S_C" 225</v>
      </c>
      <c r="K181" s="9" t="s">
        <v>553</v>
      </c>
      <c r="L181" s="9" t="str">
        <f t="shared" si="20"/>
        <v>cheat spawndino "/ArkSupreme/Content/SupremeDinos/3Toxic/Morellatops/camelsaurus_Character_BP_Toxic_S_C" 500 0 0 35</v>
      </c>
      <c r="M181" s="10" t="str">
        <f t="shared" si="21"/>
        <v>NPCReplacements=(FromClassName="camelsaurus_Character_BP_Toxic_S_C",ToClassName="")</v>
      </c>
      <c r="N181" s="2"/>
    </row>
    <row r="182">
      <c r="A182" s="2"/>
      <c r="B182" s="7"/>
      <c r="C182" s="4"/>
      <c r="D182" s="11" t="s">
        <v>554</v>
      </c>
      <c r="E182" s="12"/>
      <c r="F182" s="13"/>
      <c r="G182" s="12"/>
      <c r="H182" s="12" t="s">
        <v>555</v>
      </c>
      <c r="I182" s="13" t="str">
        <f t="shared" si="18"/>
        <v>cheat summon ToxicMoschops_Character_BP_S_C</v>
      </c>
      <c r="J182" s="13" t="str">
        <f t="shared" si="19"/>
        <v>admincheat GMSummon "ToxicMoschops_Character_BP_S_C" 225</v>
      </c>
      <c r="K182" s="12" t="s">
        <v>556</v>
      </c>
      <c r="L182" s="12" t="str">
        <f t="shared" si="20"/>
        <v>cheat spawndino "/ArkSupreme/Content/SupremeDinos/3Toxic/Moschops/ToxicMoschops_Character_BP_S_C" 500 0 0 35</v>
      </c>
      <c r="M182" s="13" t="str">
        <f t="shared" si="21"/>
        <v>NPCReplacements=(FromClassName="ToxicMoschops_Character_BP_S_C",ToClassName="")</v>
      </c>
      <c r="N182" s="2"/>
    </row>
    <row r="183">
      <c r="A183" s="2"/>
      <c r="B183" s="7"/>
      <c r="C183" s="4"/>
      <c r="D183" s="8" t="s">
        <v>557</v>
      </c>
      <c r="E183" s="9"/>
      <c r="F183" s="10"/>
      <c r="G183" s="9"/>
      <c r="H183" s="9" t="s">
        <v>558</v>
      </c>
      <c r="I183" s="10" t="str">
        <f t="shared" si="18"/>
        <v>cheat summon Moth_Character_BP_Toxic_S_C</v>
      </c>
      <c r="J183" s="10" t="str">
        <f t="shared" si="19"/>
        <v>admincheat GMSummon "Moth_Character_BP_Toxic_S_C" 225</v>
      </c>
      <c r="K183" s="9" t="s">
        <v>559</v>
      </c>
      <c r="L183" s="9" t="str">
        <f t="shared" si="20"/>
        <v>cheat spawndino "/ArkSupreme/Content/SupremeDinos/3Toxic/Moth/Moth_Character_BP_Toxic_S_C" 500 0 0 35</v>
      </c>
      <c r="M183" s="10" t="str">
        <f t="shared" si="21"/>
        <v>NPCReplacements=(FromClassName="Moth_Character_BP_Toxic_S_C",ToClassName="")</v>
      </c>
      <c r="N183" s="2"/>
    </row>
    <row r="184">
      <c r="A184" s="2"/>
      <c r="B184" s="7"/>
      <c r="C184" s="4"/>
      <c r="D184" s="11" t="s">
        <v>560</v>
      </c>
      <c r="E184" s="12"/>
      <c r="F184" s="13"/>
      <c r="G184" s="12"/>
      <c r="H184" s="12" t="s">
        <v>561</v>
      </c>
      <c r="I184" s="13" t="str">
        <f t="shared" si="18"/>
        <v>cheat summon ChupaCabra_Character_BP_Toxic_S_C</v>
      </c>
      <c r="J184" s="13" t="str">
        <f t="shared" si="19"/>
        <v>admincheat GMSummon "ChupaCabra_Character_BP_Toxic_S_C" 225</v>
      </c>
      <c r="K184" s="12" t="s">
        <v>562</v>
      </c>
      <c r="L184" s="12" t="str">
        <f t="shared" si="20"/>
        <v>cheat spawndino "/ArkSupreme/Content/SupremeDinos/3Toxic/Nameless/ChupaCabra_Character_BP_Toxic_S_C" 500 0 0 35</v>
      </c>
      <c r="M184" s="13" t="str">
        <f t="shared" si="21"/>
        <v>NPCReplacements=(FromClassName="ChupaCabra_Character_BP_Toxic_S_C",ToClassName="")</v>
      </c>
      <c r="N184" s="2"/>
    </row>
    <row r="185">
      <c r="A185" s="2"/>
      <c r="B185" s="7"/>
      <c r="C185" s="4"/>
      <c r="D185" s="8" t="s">
        <v>563</v>
      </c>
      <c r="E185" s="9"/>
      <c r="F185" s="10"/>
      <c r="G185" s="9"/>
      <c r="H185" s="9" t="s">
        <v>564</v>
      </c>
      <c r="I185" s="10" t="str">
        <f t="shared" si="18"/>
        <v>cheat summon ToxicOnyc_Character_BP_S_C</v>
      </c>
      <c r="J185" s="10" t="str">
        <f t="shared" si="19"/>
        <v>admincheat GMSummon "ToxicOnyc_Character_BP_S_C" 225</v>
      </c>
      <c r="K185" s="9" t="s">
        <v>565</v>
      </c>
      <c r="L185" s="9" t="str">
        <f t="shared" si="20"/>
        <v>cheat spawndino "/ArkSupreme/Content/SupremeDinos/3Toxic/Onyc/ToxicOnyc_Character_BP_S_C" 500 0 0 35</v>
      </c>
      <c r="M185" s="10" t="str">
        <f t="shared" si="21"/>
        <v>NPCReplacements=(FromClassName="ToxicOnyc_Character_BP_S_C",ToClassName="")</v>
      </c>
      <c r="N185" s="2"/>
    </row>
    <row r="186">
      <c r="A186" s="2"/>
      <c r="B186" s="7"/>
      <c r="C186" s="4"/>
      <c r="D186" s="11" t="s">
        <v>566</v>
      </c>
      <c r="E186" s="12"/>
      <c r="F186" s="13"/>
      <c r="G186" s="12"/>
      <c r="H186" s="12" t="s">
        <v>567</v>
      </c>
      <c r="I186" s="13" t="str">
        <f t="shared" si="18"/>
        <v>cheat summon ToxicOtter_Character_BP_S_C</v>
      </c>
      <c r="J186" s="13" t="str">
        <f t="shared" si="19"/>
        <v>admincheat GMSummon "ToxicOtter_Character_BP_S_C" 225</v>
      </c>
      <c r="K186" s="12" t="s">
        <v>568</v>
      </c>
      <c r="L186" s="12" t="str">
        <f t="shared" si="20"/>
        <v>cheat spawndino "/ArkSupreme/Content/SupremeDinos/3Toxic/Otter/ToxicOtter_Character_BP_S_C" 500 0 0 35</v>
      </c>
      <c r="M186" s="13" t="str">
        <f t="shared" si="21"/>
        <v>NPCReplacements=(FromClassName="ToxicOtter_Character_BP_S_C",ToClassName="")</v>
      </c>
      <c r="N186" s="2"/>
    </row>
    <row r="187">
      <c r="A187" s="2"/>
      <c r="B187" s="7"/>
      <c r="C187" s="4"/>
      <c r="D187" s="8" t="s">
        <v>569</v>
      </c>
      <c r="E187" s="9"/>
      <c r="F187" s="10"/>
      <c r="G187" s="9"/>
      <c r="H187" s="9" t="s">
        <v>570</v>
      </c>
      <c r="I187" s="10" t="str">
        <f t="shared" si="18"/>
        <v>cheat summon ToxicOviraptor_Character_BP_S_C</v>
      </c>
      <c r="J187" s="10" t="str">
        <f t="shared" si="19"/>
        <v>admincheat GMSummon "ToxicOviraptor_Character_BP_S_C" 225</v>
      </c>
      <c r="K187" s="9" t="s">
        <v>571</v>
      </c>
      <c r="L187" s="9" t="str">
        <f t="shared" si="20"/>
        <v>cheat spawndino "/ArkSupreme/Content/SupremeDinos/3Toxic/Oviraptor/ToxicOviraptor_Character_BP_S_C" 500 0 0 35</v>
      </c>
      <c r="M187" s="10" t="str">
        <f t="shared" si="21"/>
        <v>NPCReplacements=(FromClassName="ToxicOviraptor_Character_BP_S_C",ToClassName="")</v>
      </c>
      <c r="N187" s="2"/>
    </row>
    <row r="188">
      <c r="A188" s="2"/>
      <c r="B188" s="7"/>
      <c r="C188" s="4"/>
      <c r="D188" s="11" t="s">
        <v>572</v>
      </c>
      <c r="E188" s="12"/>
      <c r="F188" s="13"/>
      <c r="G188" s="12"/>
      <c r="H188" s="12" t="s">
        <v>573</v>
      </c>
      <c r="I188" s="13" t="str">
        <f t="shared" si="18"/>
        <v>cheat summon ToxicOvis_Character_BP_S_C</v>
      </c>
      <c r="J188" s="13" t="str">
        <f t="shared" si="19"/>
        <v>admincheat GMSummon "ToxicOvis_Character_BP_S_C" 225</v>
      </c>
      <c r="K188" s="12" t="s">
        <v>574</v>
      </c>
      <c r="L188" s="12" t="str">
        <f t="shared" si="20"/>
        <v>cheat spawndino "/ArkSupreme/Content/SupremeDinos/3Toxic/Ovis/ToxicOvis_Character_BP_S_C" 500 0 0 35</v>
      </c>
      <c r="M188" s="13" t="str">
        <f t="shared" si="21"/>
        <v>NPCReplacements=(FromClassName="ToxicOvis_Character_BP_S_C",ToClassName="")</v>
      </c>
      <c r="N188" s="2"/>
    </row>
    <row r="189">
      <c r="A189" s="2"/>
      <c r="B189" s="7"/>
      <c r="C189" s="4"/>
      <c r="D189" s="8" t="s">
        <v>575</v>
      </c>
      <c r="E189" s="9"/>
      <c r="F189" s="10"/>
      <c r="G189" s="9"/>
      <c r="H189" s="9" t="s">
        <v>576</v>
      </c>
      <c r="I189" s="10" t="str">
        <f t="shared" si="18"/>
        <v>cheat summon Owl_Character_BP_Toxic_S_C</v>
      </c>
      <c r="J189" s="10" t="str">
        <f t="shared" si="19"/>
        <v>admincheat GMSummon "Owl_Character_BP_Toxic_S_C" 225</v>
      </c>
      <c r="K189" s="9" t="s">
        <v>577</v>
      </c>
      <c r="L189" s="9" t="str">
        <f t="shared" si="20"/>
        <v>cheat spawndino "/ArkSupreme/Content/SupremeDinos/3Toxic/Owl/Owl_Character_BP_Toxic_S_C" 500 0 0 35</v>
      </c>
      <c r="M189" s="10" t="str">
        <f t="shared" si="21"/>
        <v>NPCReplacements=(FromClassName="Owl_Character_BP_Toxic_S_C",ToClassName="")</v>
      </c>
      <c r="N189" s="2"/>
    </row>
    <row r="190">
      <c r="A190" s="2"/>
      <c r="B190" s="7"/>
      <c r="C190" s="4"/>
      <c r="D190" s="11" t="s">
        <v>578</v>
      </c>
      <c r="E190" s="12"/>
      <c r="F190" s="13"/>
      <c r="G190" s="12"/>
      <c r="H190" s="12" t="s">
        <v>579</v>
      </c>
      <c r="I190" s="13" t="str">
        <f t="shared" si="18"/>
        <v>cheat summon ToxicPachy_Character_BP_S_C</v>
      </c>
      <c r="J190" s="13" t="str">
        <f t="shared" si="19"/>
        <v>admincheat GMSummon "ToxicPachy_Character_BP_S_C" 225</v>
      </c>
      <c r="K190" s="12" t="s">
        <v>580</v>
      </c>
      <c r="L190" s="12" t="str">
        <f t="shared" si="20"/>
        <v>cheat spawndino "/ArkSupreme/Content/SupremeDinos/3Toxic/Pachy/ToxicPachy_Character_BP_S_C" 500 0 0 35</v>
      </c>
      <c r="M190" s="13" t="str">
        <f t="shared" si="21"/>
        <v>NPCReplacements=(FromClassName="ToxicPachy_Character_BP_S_C",ToClassName="")</v>
      </c>
      <c r="N190" s="2"/>
    </row>
    <row r="191">
      <c r="A191" s="2"/>
      <c r="B191" s="7"/>
      <c r="C191" s="4"/>
      <c r="D191" s="8" t="s">
        <v>581</v>
      </c>
      <c r="E191" s="9"/>
      <c r="F191" s="10"/>
      <c r="G191" s="9"/>
      <c r="H191" s="9" t="s">
        <v>582</v>
      </c>
      <c r="I191" s="10" t="str">
        <f t="shared" si="18"/>
        <v>cheat summon ToxicPachyrhino_Character_BP_S_C</v>
      </c>
      <c r="J191" s="10" t="str">
        <f t="shared" si="19"/>
        <v>admincheat GMSummon "ToxicPachyrhino_Character_BP_S_C" 225</v>
      </c>
      <c r="K191" s="9" t="s">
        <v>583</v>
      </c>
      <c r="L191" s="9" t="str">
        <f t="shared" si="20"/>
        <v>cheat spawndino "/ArkSupreme/Content/SupremeDinos/3Toxic/Pachyrhino/ToxicPachyrhino_Character_BP_S_C" 500 0 0 35</v>
      </c>
      <c r="M191" s="10" t="str">
        <f t="shared" si="21"/>
        <v>NPCReplacements=(FromClassName="ToxicPachyrhino_Character_BP_S_C",ToClassName="")</v>
      </c>
      <c r="N191" s="2"/>
    </row>
    <row r="192">
      <c r="A192" s="2"/>
      <c r="B192" s="7"/>
      <c r="C192" s="4"/>
      <c r="D192" s="11" t="s">
        <v>584</v>
      </c>
      <c r="E192" s="12"/>
      <c r="F192" s="13"/>
      <c r="G192" s="12"/>
      <c r="H192" s="12" t="s">
        <v>585</v>
      </c>
      <c r="I192" s="13" t="str">
        <f t="shared" si="18"/>
        <v>cheat summon ToxicParacer_Character_BP_S_C</v>
      </c>
      <c r="J192" s="13" t="str">
        <f t="shared" si="19"/>
        <v>admincheat GMSummon "ToxicParacer_Character_BP_S_C" 225</v>
      </c>
      <c r="K192" s="12" t="s">
        <v>586</v>
      </c>
      <c r="L192" s="12" t="str">
        <f t="shared" si="20"/>
        <v>cheat spawndino "/ArkSupreme/Content/SupremeDinos/3Toxic/Paraceratherium/ToxicParacer_Character_BP_S_C" 500 0 0 35</v>
      </c>
      <c r="M192" s="13" t="str">
        <f t="shared" si="21"/>
        <v>NPCReplacements=(FromClassName="ToxicParacer_Character_BP_S_C",ToClassName="")</v>
      </c>
      <c r="N192" s="2"/>
    </row>
    <row r="193">
      <c r="A193" s="2"/>
      <c r="B193" s="7"/>
      <c r="C193" s="4"/>
      <c r="D193" s="8" t="s">
        <v>587</v>
      </c>
      <c r="E193" s="9"/>
      <c r="F193" s="10"/>
      <c r="G193" s="9"/>
      <c r="H193" s="9" t="s">
        <v>588</v>
      </c>
      <c r="I193" s="10" t="str">
        <f t="shared" si="18"/>
        <v>cheat summon ToxicPara_Character_BP_S_C</v>
      </c>
      <c r="J193" s="10" t="str">
        <f t="shared" si="19"/>
        <v>admincheat GMSummon "ToxicPara_Character_BP_S_C" 225</v>
      </c>
      <c r="K193" s="9" t="s">
        <v>589</v>
      </c>
      <c r="L193" s="9" t="str">
        <f t="shared" si="20"/>
        <v>cheat spawndino "/ArkSupreme/Content/SupremeDinos/3Toxic/Parasaur/ToxicPara_Character_BP_S_C" 500 0 0 35</v>
      </c>
      <c r="M193" s="10" t="str">
        <f t="shared" si="21"/>
        <v>NPCReplacements=(FromClassName="ToxicPara_Character_BP_S_C",ToClassName="")</v>
      </c>
      <c r="N193" s="2"/>
    </row>
    <row r="194">
      <c r="A194" s="2"/>
      <c r="B194" s="7"/>
      <c r="C194" s="4"/>
      <c r="D194" s="11" t="s">
        <v>590</v>
      </c>
      <c r="E194" s="12"/>
      <c r="F194" s="13"/>
      <c r="G194" s="12"/>
      <c r="H194" s="12" t="s">
        <v>591</v>
      </c>
      <c r="I194" s="13" t="str">
        <f t="shared" si="18"/>
        <v>cheat summon ToxicPegomastax_Character_BP_S_C</v>
      </c>
      <c r="J194" s="13" t="str">
        <f t="shared" si="19"/>
        <v>admincheat GMSummon "ToxicPegomastax_Character_BP_S_C" 225</v>
      </c>
      <c r="K194" s="12" t="s">
        <v>592</v>
      </c>
      <c r="L194" s="12" t="str">
        <f t="shared" si="20"/>
        <v>cheat spawndino "/ArkSupreme/Content/SupremeDinos/3Toxic/Pegomastax/ToxicPegomastax_Character_BP_S_C" 500 0 0 35</v>
      </c>
      <c r="M194" s="13" t="str">
        <f t="shared" si="21"/>
        <v>NPCReplacements=(FromClassName="ToxicPegomastax_Character_BP_S_C",ToClassName="")</v>
      </c>
      <c r="N194" s="2"/>
    </row>
    <row r="195">
      <c r="A195" s="2"/>
      <c r="B195" s="7"/>
      <c r="C195" s="4"/>
      <c r="D195" s="8" t="s">
        <v>593</v>
      </c>
      <c r="E195" s="9"/>
      <c r="F195" s="10"/>
      <c r="G195" s="9"/>
      <c r="H195" s="9" t="s">
        <v>594</v>
      </c>
      <c r="I195" s="10" t="str">
        <f t="shared" si="18"/>
        <v>cheat summon ToxicPela_Character_BP_S_C</v>
      </c>
      <c r="J195" s="10" t="str">
        <f t="shared" si="19"/>
        <v>admincheat GMSummon "ToxicPela_Character_BP_S_C" 225</v>
      </c>
      <c r="K195" s="9" t="s">
        <v>595</v>
      </c>
      <c r="L195" s="9" t="str">
        <f t="shared" si="20"/>
        <v>cheat spawndino "/ArkSupreme/Content/SupremeDinos/3Toxic/Pelagornis/ToxicPela_Character_BP_S_C" 500 0 0 35</v>
      </c>
      <c r="M195" s="10" t="str">
        <f t="shared" si="21"/>
        <v>NPCReplacements=(FromClassName="ToxicPela_Character_BP_S_C",ToClassName="")</v>
      </c>
      <c r="N195" s="2"/>
    </row>
    <row r="196">
      <c r="A196" s="2"/>
      <c r="B196" s="7"/>
      <c r="C196" s="4"/>
      <c r="D196" s="11" t="s">
        <v>596</v>
      </c>
      <c r="E196" s="12"/>
      <c r="F196" s="13"/>
      <c r="G196" s="12"/>
      <c r="H196" s="12" t="s">
        <v>597</v>
      </c>
      <c r="I196" s="13" t="str">
        <f t="shared" si="18"/>
        <v>cheat summon ToxicPhiomia_Character_BP_S_C</v>
      </c>
      <c r="J196" s="13" t="str">
        <f t="shared" si="19"/>
        <v>admincheat GMSummon "ToxicPhiomia_Character_BP_S_C" 225</v>
      </c>
      <c r="K196" s="12" t="s">
        <v>598</v>
      </c>
      <c r="L196" s="12" t="str">
        <f t="shared" si="20"/>
        <v>cheat spawndino "/ArkSupreme/Content/SupremeDinos/3Toxic/Phiomia/ToxicPhiomia_Character_BP_S_C" 500 0 0 35</v>
      </c>
      <c r="M196" s="13" t="str">
        <f t="shared" si="21"/>
        <v>NPCReplacements=(FromClassName="ToxicPhiomia_Character_BP_S_C",ToClassName="")</v>
      </c>
      <c r="N196" s="2"/>
    </row>
    <row r="197">
      <c r="A197" s="2"/>
      <c r="B197" s="7"/>
      <c r="C197" s="4"/>
      <c r="D197" s="8" t="s">
        <v>599</v>
      </c>
      <c r="E197" s="9"/>
      <c r="F197" s="10"/>
      <c r="G197" s="9"/>
      <c r="H197" s="9" t="s">
        <v>600</v>
      </c>
      <c r="I197" s="10" t="str">
        <f t="shared" si="18"/>
        <v>cheat summon Phoenix_Character_BP_Toxic_S_C</v>
      </c>
      <c r="J197" s="10" t="str">
        <f t="shared" si="19"/>
        <v>admincheat GMSummon "Phoenix_Character_BP_Toxic_S_C" 225</v>
      </c>
      <c r="K197" s="9" t="s">
        <v>601</v>
      </c>
      <c r="L197" s="9" t="str">
        <f t="shared" si="20"/>
        <v>cheat spawndino "/ArkSupreme/Content/SupremeDinos/3Toxic/Phoenix/Phoenix_Character_BP_Toxic_S_C" 500 0 0 35</v>
      </c>
      <c r="M197" s="10" t="str">
        <f t="shared" si="21"/>
        <v>NPCReplacements=(FromClassName="Phoenix_Character_BP_Toxic_S_C",ToClassName="")</v>
      </c>
      <c r="N197" s="2"/>
    </row>
    <row r="198">
      <c r="A198" s="2"/>
      <c r="B198" s="7"/>
      <c r="C198" s="4"/>
      <c r="D198" s="11" t="s">
        <v>602</v>
      </c>
      <c r="E198" s="12"/>
      <c r="F198" s="13"/>
      <c r="G198" s="12"/>
      <c r="H198" s="12" t="s">
        <v>603</v>
      </c>
      <c r="I198" s="13" t="str">
        <f t="shared" si="18"/>
        <v>cheat summon ToxicProcoptodon_Character_BP_S_C</v>
      </c>
      <c r="J198" s="13" t="str">
        <f t="shared" si="19"/>
        <v>admincheat GMSummon "ToxicProcoptodon_Character_BP_S_C" 225</v>
      </c>
      <c r="K198" s="12" t="s">
        <v>604</v>
      </c>
      <c r="L198" s="12" t="str">
        <f t="shared" si="20"/>
        <v>cheat spawndino "/ArkSupreme/Content/SupremeDinos/3Toxic/Procoptodon/ToxicProcoptodon_Character_BP_S_C" 500 0 0 35</v>
      </c>
      <c r="M198" s="13" t="str">
        <f t="shared" si="21"/>
        <v>NPCReplacements=(FromClassName="ToxicProcoptodon_Character_BP_S_C",ToClassName="")</v>
      </c>
      <c r="N198" s="2"/>
    </row>
    <row r="199">
      <c r="A199" s="2"/>
      <c r="B199" s="7"/>
      <c r="C199" s="4"/>
      <c r="D199" s="8" t="s">
        <v>605</v>
      </c>
      <c r="E199" s="9"/>
      <c r="F199" s="10"/>
      <c r="G199" s="9"/>
      <c r="H199" s="9" t="s">
        <v>606</v>
      </c>
      <c r="I199" s="10" t="str">
        <f t="shared" si="18"/>
        <v>cheat summon ToxicPtero_Character_BP_S_C</v>
      </c>
      <c r="J199" s="10" t="str">
        <f t="shared" si="19"/>
        <v>admincheat GMSummon "ToxicPtero_Character_BP_S_C" 225</v>
      </c>
      <c r="K199" s="9" t="s">
        <v>607</v>
      </c>
      <c r="L199" s="9" t="str">
        <f t="shared" si="20"/>
        <v>cheat spawndino "/ArkSupreme/Content/SupremeDinos/3Toxic/Ptera/ToxicPtero_Character_BP_S_C" 500 0 0 35</v>
      </c>
      <c r="M199" s="10" t="str">
        <f t="shared" si="21"/>
        <v>NPCReplacements=(FromClassName="ToxicPtero_Character_BP_S_C",ToClassName="")</v>
      </c>
      <c r="N199" s="2"/>
    </row>
    <row r="200">
      <c r="A200" s="2"/>
      <c r="B200" s="7"/>
      <c r="C200" s="4"/>
      <c r="D200" s="11" t="s">
        <v>608</v>
      </c>
      <c r="E200" s="12"/>
      <c r="F200" s="13"/>
      <c r="G200" s="12"/>
      <c r="H200" s="12" t="s">
        <v>609</v>
      </c>
      <c r="I200" s="13" t="str">
        <f t="shared" si="18"/>
        <v>cheat summon Pteroteuthis_Character_BP_Toxic_S_C</v>
      </c>
      <c r="J200" s="13" t="str">
        <f t="shared" si="19"/>
        <v>admincheat GMSummon "Pteroteuthis_Character_BP_Toxic_S_C" 225</v>
      </c>
      <c r="K200" s="12" t="s">
        <v>610</v>
      </c>
      <c r="L200" s="12" t="str">
        <f t="shared" si="20"/>
        <v>cheat spawndino "/ArkSupreme/Content/SupremeDinos/3Toxic/PteroTeuthis/Pteroteuthis_Character_BP_Toxic_S_C" 500 0 0 35</v>
      </c>
      <c r="M200" s="13" t="str">
        <f t="shared" si="21"/>
        <v>NPCReplacements=(FromClassName="Pteroteuthis_Character_BP_Toxic_S_C",ToClassName="")</v>
      </c>
      <c r="N200" s="2"/>
    </row>
    <row r="201">
      <c r="A201" s="2"/>
      <c r="B201" s="7"/>
      <c r="C201" s="4">
        <f t="shared" ref="C201:C211" si="22">IF(E201="Alpha",1)+IF(E201="Apex",2)+IF(E201="Earth",3)+IF(E201="Frost",3)+IF(E201="Nature",3)+IF(E201="Storm",4)+IF(E201="Volcanic",4)+IF(E201="Bionic",5)+IF(E201="Legendary",5)+IF(E201="Demonic",6)+IF(E201="Celestial",6)+IF(E201="Godly",7)+IF(E201="Loot",8)+IF(E201="Boss",9)</f>
        <v>2</v>
      </c>
      <c r="D201" s="8" t="s">
        <v>611</v>
      </c>
      <c r="E201" s="9" t="s">
        <v>612</v>
      </c>
      <c r="F201" s="10"/>
      <c r="G201" s="9"/>
      <c r="H201" s="9" t="s">
        <v>613</v>
      </c>
      <c r="I201" s="10" t="str">
        <f t="shared" si="18"/>
        <v>cheat summon ToxicScorpion_Character_BP_S_C</v>
      </c>
      <c r="J201" s="10" t="str">
        <f t="shared" si="19"/>
        <v>admincheat GMSummon "ToxicScorpion_Character_BP_S_C" 225</v>
      </c>
      <c r="K201" s="9" t="s">
        <v>614</v>
      </c>
      <c r="L201" s="9" t="str">
        <f t="shared" si="20"/>
        <v>cheat spawndino "/ArkSupreme/Content/SupremeDinos/3Toxic/Pulmonoscorpius/ToxicScorpion_Character_BP_S_C" 500 0 0 35</v>
      </c>
      <c r="M201" s="10" t="str">
        <f t="shared" si="21"/>
        <v>NPCReplacements=(FromClassName="ToxicScorpion_Character_BP_S_C",ToClassName="")</v>
      </c>
      <c r="N201" s="2"/>
    </row>
    <row r="202">
      <c r="A202" s="2"/>
      <c r="B202" s="7"/>
      <c r="C202" s="4">
        <f t="shared" si="22"/>
        <v>2</v>
      </c>
      <c r="D202" s="11" t="s">
        <v>615</v>
      </c>
      <c r="E202" s="12" t="s">
        <v>612</v>
      </c>
      <c r="F202" s="13"/>
      <c r="G202" s="12"/>
      <c r="H202" s="12" t="s">
        <v>616</v>
      </c>
      <c r="I202" s="13" t="str">
        <f t="shared" si="18"/>
        <v>cheat summon ToxicPurlovia_Character_BP_S_C</v>
      </c>
      <c r="J202" s="13" t="str">
        <f t="shared" si="19"/>
        <v>admincheat GMSummon "ToxicPurlovia_Character_BP_S_C" 225</v>
      </c>
      <c r="K202" s="12" t="s">
        <v>617</v>
      </c>
      <c r="L202" s="12" t="str">
        <f t="shared" si="20"/>
        <v>cheat spawndino "/ArkSupreme/Content/SupremeDinos/3Toxic/Purlovia/ToxicPurlovia_Character_BP_S_C" 500 0 0 35</v>
      </c>
      <c r="M202" s="13" t="str">
        <f t="shared" si="21"/>
        <v>NPCReplacements=(FromClassName="ToxicPurlovia_Character_BP_S_C",ToClassName="")</v>
      </c>
      <c r="N202" s="2"/>
    </row>
    <row r="203">
      <c r="A203" s="2"/>
      <c r="B203" s="7"/>
      <c r="C203" s="4">
        <f t="shared" si="22"/>
        <v>2</v>
      </c>
      <c r="D203" s="8" t="s">
        <v>618</v>
      </c>
      <c r="E203" s="9" t="s">
        <v>612</v>
      </c>
      <c r="F203" s="10"/>
      <c r="G203" s="9"/>
      <c r="H203" s="9" t="s">
        <v>619</v>
      </c>
      <c r="I203" s="10" t="str">
        <f t="shared" si="18"/>
        <v>cheat summon ToxicQuetz_Character_BP_S_C</v>
      </c>
      <c r="J203" s="10" t="str">
        <f t="shared" si="19"/>
        <v>admincheat GMSummon "ToxicQuetz_Character_BP_S_C" 225</v>
      </c>
      <c r="K203" s="9" t="s">
        <v>620</v>
      </c>
      <c r="L203" s="9" t="str">
        <f t="shared" si="20"/>
        <v>cheat spawndino "/ArkSupreme/Content/SupremeDinos/3Toxic/Quetzal/ToxicQuetz_Character_BP_S_C" 500 0 0 35</v>
      </c>
      <c r="M203" s="10" t="str">
        <f t="shared" si="21"/>
        <v>NPCReplacements=(FromClassName="ToxicQuetz_Character_BP_S_C",ToClassName="")</v>
      </c>
      <c r="N203" s="2"/>
    </row>
    <row r="204">
      <c r="A204" s="2"/>
      <c r="B204" s="7"/>
      <c r="C204" s="4">
        <f t="shared" si="22"/>
        <v>2</v>
      </c>
      <c r="D204" s="11" t="s">
        <v>621</v>
      </c>
      <c r="E204" s="12" t="s">
        <v>612</v>
      </c>
      <c r="F204" s="13"/>
      <c r="G204" s="12"/>
      <c r="H204" s="12" t="s">
        <v>622</v>
      </c>
      <c r="I204" s="13" t="str">
        <f t="shared" si="18"/>
        <v>cheat summon ToxicRaptor_Character_BP_S_C</v>
      </c>
      <c r="J204" s="13" t="str">
        <f t="shared" si="19"/>
        <v>admincheat GMSummon "ToxicRaptor_Character_BP_S_C" 225</v>
      </c>
      <c r="K204" s="12" t="s">
        <v>623</v>
      </c>
      <c r="L204" s="12" t="str">
        <f t="shared" si="20"/>
        <v>cheat spawndino "/ArkSupreme/Content/SupremeDinos/3Toxic/Raptor/ToxicRaptor_Character_BP_S_C" 500 0 0 35</v>
      </c>
      <c r="M204" s="13" t="str">
        <f t="shared" si="21"/>
        <v>NPCReplacements=(FromClassName="ToxicRaptor_Character_BP_S_C",ToClassName="")</v>
      </c>
      <c r="N204" s="2"/>
    </row>
    <row r="205">
      <c r="A205" s="2"/>
      <c r="B205" s="7"/>
      <c r="C205" s="4">
        <f t="shared" si="22"/>
        <v>2</v>
      </c>
      <c r="D205" s="8" t="s">
        <v>624</v>
      </c>
      <c r="E205" s="9" t="s">
        <v>612</v>
      </c>
      <c r="F205" s="10"/>
      <c r="G205" s="9"/>
      <c r="H205" s="9" t="s">
        <v>625</v>
      </c>
      <c r="I205" s="10" t="str">
        <f t="shared" si="18"/>
        <v>cheat summon CaveWolf_Character_BP_Toxic_S_C</v>
      </c>
      <c r="J205" s="10" t="str">
        <f t="shared" si="19"/>
        <v>admincheat GMSummon "CaveWolf_Character_BP_Toxic_S_C" 225</v>
      </c>
      <c r="K205" s="9" t="s">
        <v>626</v>
      </c>
      <c r="L205" s="9" t="str">
        <f t="shared" si="20"/>
        <v>cheat spawndino "/ArkSupreme/Content/SupremeDinos/3Toxic/Ravager/CaveWolf_Character_BP_Toxic_S_C" 500 0 0 35</v>
      </c>
      <c r="M205" s="10" t="str">
        <f t="shared" si="21"/>
        <v>NPCReplacements=(FromClassName="CaveWolf_Character_BP_Toxic_S_C",ToClassName="")</v>
      </c>
      <c r="N205" s="2"/>
    </row>
    <row r="206">
      <c r="A206" s="2"/>
      <c r="B206" s="7"/>
      <c r="C206" s="4">
        <f t="shared" si="22"/>
        <v>2</v>
      </c>
      <c r="D206" s="11" t="s">
        <v>627</v>
      </c>
      <c r="E206" s="12" t="s">
        <v>612</v>
      </c>
      <c r="F206" s="13"/>
      <c r="G206" s="12"/>
      <c r="H206" s="12" t="s">
        <v>628</v>
      </c>
      <c r="I206" s="13" t="str">
        <f t="shared" si="18"/>
        <v>cheat summon ToxicRex_Character_BP_S_C</v>
      </c>
      <c r="J206" s="13" t="str">
        <f t="shared" si="19"/>
        <v>admincheat GMSummon "ToxicRex_Character_BP_S_C" 225</v>
      </c>
      <c r="K206" s="12" t="s">
        <v>629</v>
      </c>
      <c r="L206" s="12" t="str">
        <f t="shared" si="20"/>
        <v>cheat spawndino "/ArkSupreme/Content/SupremeDinos/3Toxic/Rex/ToxicRex_Character_BP_S_C" 500 0 0 35</v>
      </c>
      <c r="M206" s="13" t="str">
        <f t="shared" si="21"/>
        <v>NPCReplacements=(FromClassName="ToxicRex_Character_BP_S_C",ToClassName="")</v>
      </c>
      <c r="N206" s="2"/>
    </row>
    <row r="207">
      <c r="A207" s="2"/>
      <c r="B207" s="7"/>
      <c r="C207" s="4">
        <f t="shared" si="22"/>
        <v>2</v>
      </c>
      <c r="D207" s="8" t="s">
        <v>630</v>
      </c>
      <c r="E207" s="9" t="s">
        <v>612</v>
      </c>
      <c r="F207" s="10"/>
      <c r="G207" s="9"/>
      <c r="H207" s="9" t="s">
        <v>631</v>
      </c>
      <c r="I207" s="10" t="str">
        <f t="shared" si="18"/>
        <v>cheat summon ToxicRhynio_Character_BP_S_C</v>
      </c>
      <c r="J207" s="10" t="str">
        <f t="shared" si="19"/>
        <v>admincheat GMSummon "ToxicRhynio_Character_BP_S_C" 225</v>
      </c>
      <c r="K207" s="9" t="s">
        <v>632</v>
      </c>
      <c r="L207" s="9" t="str">
        <f t="shared" si="20"/>
        <v>cheat spawndino "/ArkSupreme/Content/SupremeDinos/3Toxic/Rhynio/ToxicRhynio_Character_BP_S_C" 500 0 0 35</v>
      </c>
      <c r="M207" s="10" t="str">
        <f t="shared" si="21"/>
        <v>NPCReplacements=(FromClassName="ToxicRhynio_Character_BP_S_C",ToClassName="")</v>
      </c>
      <c r="N207" s="2"/>
    </row>
    <row r="208">
      <c r="A208" s="2"/>
      <c r="B208" s="7"/>
      <c r="C208" s="4">
        <f t="shared" si="22"/>
        <v>2</v>
      </c>
      <c r="D208" s="11" t="s">
        <v>633</v>
      </c>
      <c r="E208" s="12" t="s">
        <v>612</v>
      </c>
      <c r="F208" s="13"/>
      <c r="G208" s="12"/>
      <c r="H208" s="12" t="s">
        <v>634</v>
      </c>
      <c r="I208" s="13" t="str">
        <f t="shared" si="18"/>
        <v>cheat summon RockDrake_Character_BP_Toxic_S_C</v>
      </c>
      <c r="J208" s="13" t="str">
        <f t="shared" si="19"/>
        <v>admincheat GMSummon "RockDrake_Character_BP_Toxic_S_C" 225</v>
      </c>
      <c r="K208" s="12" t="s">
        <v>635</v>
      </c>
      <c r="L208" s="12" t="str">
        <f t="shared" si="20"/>
        <v>cheat spawndino "/ArkSupreme/Content/SupremeDinos/3Toxic/Rockdrake/RockDrake_Character_BP_Toxic_S_C" 500 0 0 35</v>
      </c>
      <c r="M208" s="13" t="str">
        <f t="shared" si="21"/>
        <v>NPCReplacements=(FromClassName="RockDrake_Character_BP_Toxic_S_C",ToClassName="")</v>
      </c>
      <c r="N208" s="2"/>
    </row>
    <row r="209">
      <c r="A209" s="2"/>
      <c r="B209" s="7"/>
      <c r="C209" s="4">
        <f t="shared" si="22"/>
        <v>2</v>
      </c>
      <c r="D209" s="8" t="s">
        <v>636</v>
      </c>
      <c r="E209" s="9" t="s">
        <v>612</v>
      </c>
      <c r="F209" s="10"/>
      <c r="G209" s="9"/>
      <c r="H209" s="9" t="s">
        <v>637</v>
      </c>
      <c r="I209" s="10" t="str">
        <f t="shared" si="18"/>
        <v>cheat summon RockGolem_Character_BP_Toxic_S_C</v>
      </c>
      <c r="J209" s="10" t="str">
        <f t="shared" si="19"/>
        <v>admincheat GMSummon "RockGolem_Character_BP_Toxic_S_C" 225</v>
      </c>
      <c r="K209" s="9" t="s">
        <v>638</v>
      </c>
      <c r="L209" s="9" t="str">
        <f t="shared" si="20"/>
        <v>cheat spawndino "/ArkSupreme/Content/SupremeDinos/3Toxic/Rockgolem/RockGolem_Character_BP_Toxic_S_C" 500 0 0 35</v>
      </c>
      <c r="M209" s="10" t="str">
        <f t="shared" si="21"/>
        <v>NPCReplacements=(FromClassName="RockGolem_Character_BP_Toxic_S_C",ToClassName="")</v>
      </c>
      <c r="N209" s="2"/>
    </row>
    <row r="210">
      <c r="A210" s="2"/>
      <c r="B210" s="7"/>
      <c r="C210" s="4">
        <f t="shared" si="22"/>
        <v>2</v>
      </c>
      <c r="D210" s="11" t="s">
        <v>639</v>
      </c>
      <c r="E210" s="12" t="s">
        <v>612</v>
      </c>
      <c r="F210" s="13"/>
      <c r="G210" s="12"/>
      <c r="H210" s="12" t="s">
        <v>640</v>
      </c>
      <c r="I210" s="13" t="str">
        <f t="shared" si="18"/>
        <v>cheat summon ToxicSaber_Character_BP_S_C</v>
      </c>
      <c r="J210" s="13" t="str">
        <f t="shared" si="19"/>
        <v>admincheat GMSummon "ToxicSaber_Character_BP_S_C" 225</v>
      </c>
      <c r="K210" s="12" t="s">
        <v>641</v>
      </c>
      <c r="L210" s="12" t="str">
        <f t="shared" si="20"/>
        <v>cheat spawndino "/ArkSupreme/Content/SupremeDinos/3Toxic/Sabertooth/ToxicSaber_Character_BP_S_C" 500 0 0 35</v>
      </c>
      <c r="M210" s="13" t="str">
        <f t="shared" si="21"/>
        <v>NPCReplacements=(FromClassName="ToxicSaber_Character_BP_S_C",ToClassName="")</v>
      </c>
      <c r="N210" s="2"/>
    </row>
    <row r="211">
      <c r="A211" s="2"/>
      <c r="B211" s="7"/>
      <c r="C211" s="4">
        <f t="shared" si="22"/>
        <v>2</v>
      </c>
      <c r="D211" s="8" t="s">
        <v>642</v>
      </c>
      <c r="E211" s="9" t="s">
        <v>612</v>
      </c>
      <c r="F211" s="10"/>
      <c r="G211" s="9"/>
      <c r="H211" s="9" t="s">
        <v>643</v>
      </c>
      <c r="I211" s="10" t="str">
        <f t="shared" si="18"/>
        <v>cheat summon ToxicSarco_Character_BP_S_C</v>
      </c>
      <c r="J211" s="10" t="str">
        <f t="shared" si="19"/>
        <v>admincheat GMSummon "ToxicSarco_Character_BP_S_C" 225</v>
      </c>
      <c r="K211" s="9" t="s">
        <v>644</v>
      </c>
      <c r="L211" s="9" t="str">
        <f t="shared" si="20"/>
        <v>cheat spawndino "/ArkSupreme/Content/SupremeDinos/3Toxic/Sarco/ToxicSarco_Character_BP_S_C" 500 0 0 35</v>
      </c>
      <c r="M211" s="10" t="str">
        <f t="shared" si="21"/>
        <v>NPCReplacements=(FromClassName="ToxicSarco_Character_BP_S_C",ToClassName="")</v>
      </c>
      <c r="N211" s="2"/>
    </row>
    <row r="212">
      <c r="A212" s="2"/>
      <c r="B212" s="7"/>
      <c r="C212" s="4"/>
      <c r="D212" s="11" t="s">
        <v>645</v>
      </c>
      <c r="E212" s="12" t="s">
        <v>51</v>
      </c>
      <c r="F212" s="13"/>
      <c r="G212" s="12"/>
      <c r="H212" s="12" t="s">
        <v>646</v>
      </c>
      <c r="I212" s="13" t="str">
        <f t="shared" si="18"/>
        <v>cheat summon Scout_Character_BP_Toxic_S_C</v>
      </c>
      <c r="J212" s="13" t="str">
        <f t="shared" si="19"/>
        <v>admincheat GMSummon "Scout_Character_BP_Toxic_S_C" 225</v>
      </c>
      <c r="K212" s="12" t="s">
        <v>647</v>
      </c>
      <c r="L212" s="12" t="str">
        <f t="shared" si="20"/>
        <v>cheat spawndino "/ArkSupreme/Content/SupremeDinos/3Toxic/Scout/Scout_Character_BP_Toxic_S_C" 500 0 0 35</v>
      </c>
      <c r="M212" s="13" t="str">
        <f t="shared" si="21"/>
        <v>NPCReplacements=(FromClassName="Scout_Character_BP_Toxic_S_C",ToClassName="")</v>
      </c>
      <c r="N212" s="2"/>
    </row>
    <row r="213">
      <c r="A213" s="2"/>
      <c r="B213" s="7"/>
      <c r="C213" s="4"/>
      <c r="D213" s="8" t="s">
        <v>648</v>
      </c>
      <c r="E213" s="9" t="s">
        <v>612</v>
      </c>
      <c r="F213" s="10"/>
      <c r="G213" s="9"/>
      <c r="H213" s="9" t="s">
        <v>649</v>
      </c>
      <c r="I213" s="10" t="str">
        <f t="shared" si="18"/>
        <v>cheat summon LanternGoat_Character_BP_Toxic_S_C</v>
      </c>
      <c r="J213" s="10" t="str">
        <f t="shared" si="19"/>
        <v>admincheat GMSummon "LanternGoat_Character_BP_Toxic_S_C" 225</v>
      </c>
      <c r="K213" s="9" t="s">
        <v>650</v>
      </c>
      <c r="L213" s="9" t="str">
        <f t="shared" si="20"/>
        <v>cheat spawndino "/ArkSupreme/Content/SupremeDinos/3Toxic/Shinehorn/LanternGoat_Character_BP_Toxic_S_C" 500 0 0 35</v>
      </c>
      <c r="M213" s="10" t="str">
        <f t="shared" si="21"/>
        <v>NPCReplacements=(FromClassName="LanternGoat_Character_BP_Toxic_S_C",ToClassName="")</v>
      </c>
      <c r="N213" s="2"/>
    </row>
    <row r="214">
      <c r="A214" s="2"/>
      <c r="B214" s="7"/>
      <c r="C214" s="4">
        <f t="shared" ref="C214:C225" si="23">IF(E214="Alpha",1)+IF(E214="Apex",2)+IF(E214="Earth",3)+IF(E214="Frost",3)+IF(E214="Nature",3)+IF(E214="Storm",4)+IF(E214="Volcanic",4)+IF(E214="Bionic",5)+IF(E214="Legendary",5)+IF(E214="Demonic",6)+IF(E214="Celestial",6)+IF(E214="Godly",7)+IF(E214="Loot",8)+IF(E214="Boss",9)</f>
        <v>2</v>
      </c>
      <c r="D214" s="11" t="s">
        <v>651</v>
      </c>
      <c r="E214" s="12" t="s">
        <v>612</v>
      </c>
      <c r="F214" s="13"/>
      <c r="G214" s="12"/>
      <c r="H214" s="12" t="s">
        <v>652</v>
      </c>
      <c r="I214" s="13" t="str">
        <f t="shared" si="18"/>
        <v>cheat summon ToxicBoaFrill_Character_BP_S_C</v>
      </c>
      <c r="J214" s="13" t="str">
        <f t="shared" si="19"/>
        <v>admincheat GMSummon "ToxicBoaFrill_Character_BP_S_C" 225</v>
      </c>
      <c r="K214" s="12" t="s">
        <v>653</v>
      </c>
      <c r="L214" s="12" t="str">
        <f t="shared" si="20"/>
        <v>cheat spawndino "/ArkSupreme/Content/SupremeDinos/3Toxic/Snake/ToxicBoaFrill_Character_BP_S_C" 500 0 0 35</v>
      </c>
      <c r="M214" s="13" t="str">
        <f t="shared" si="21"/>
        <v>NPCReplacements=(FromClassName="ToxicBoaFrill_Character_BP_S_C",ToClassName="")</v>
      </c>
      <c r="N214" s="2"/>
    </row>
    <row r="215">
      <c r="A215" s="2"/>
      <c r="B215" s="7"/>
      <c r="C215" s="4">
        <f t="shared" si="23"/>
        <v>2</v>
      </c>
      <c r="D215" s="8" t="s">
        <v>654</v>
      </c>
      <c r="E215" s="9" t="s">
        <v>612</v>
      </c>
      <c r="F215" s="10"/>
      <c r="G215" s="9"/>
      <c r="H215" s="9" t="s">
        <v>655</v>
      </c>
      <c r="I215" s="10" t="str">
        <f t="shared" si="18"/>
        <v>cheat summon ToxicSpino_Character_BP_S_C</v>
      </c>
      <c r="J215" s="10" t="str">
        <f t="shared" si="19"/>
        <v>admincheat GMSummon "ToxicSpino_Character_BP_S_C" 225</v>
      </c>
      <c r="K215" s="9" t="s">
        <v>656</v>
      </c>
      <c r="L215" s="9" t="str">
        <f t="shared" si="20"/>
        <v>cheat spawndino "/ArkSupreme/Content/SupremeDinos/3Toxic/Spinosaurus/ToxicSpino_Character_BP_S_C" 500 0 0 35</v>
      </c>
      <c r="M215" s="10" t="str">
        <f t="shared" si="21"/>
        <v>NPCReplacements=(FromClassName="ToxicSpino_Character_BP_S_C",ToClassName="")</v>
      </c>
      <c r="N215" s="2"/>
    </row>
    <row r="216">
      <c r="A216" s="2"/>
      <c r="B216" s="7"/>
      <c r="C216" s="4">
        <f t="shared" si="23"/>
        <v>2</v>
      </c>
      <c r="D216" s="11" t="s">
        <v>657</v>
      </c>
      <c r="E216" s="12" t="s">
        <v>612</v>
      </c>
      <c r="F216" s="13"/>
      <c r="G216" s="12"/>
      <c r="H216" s="12" t="s">
        <v>658</v>
      </c>
      <c r="I216" s="13" t="str">
        <f t="shared" si="18"/>
        <v>cheat summon ToxicStego_Character_BP_C</v>
      </c>
      <c r="J216" s="13" t="str">
        <f t="shared" si="19"/>
        <v>admincheat GMSummon "ToxicStego_Character_BP_C" 225</v>
      </c>
      <c r="K216" s="12" t="s">
        <v>659</v>
      </c>
      <c r="L216" s="12" t="str">
        <f t="shared" si="20"/>
        <v>cheat spawndino "/ArkSupreme/Content/SupremeDinos/3Toxic/Stego/ToxicStego_Character_BP_C" 500 0 0 35</v>
      </c>
      <c r="M216" s="13" t="str">
        <f t="shared" si="21"/>
        <v>NPCReplacements=(FromClassName="ToxicStego_Character_BP_C",ToClassName="")</v>
      </c>
      <c r="N216" s="2"/>
    </row>
    <row r="217">
      <c r="A217" s="2"/>
      <c r="B217" s="7"/>
      <c r="C217" s="4">
        <f t="shared" si="23"/>
        <v>2</v>
      </c>
      <c r="D217" s="8" t="s">
        <v>660</v>
      </c>
      <c r="E217" s="9" t="s">
        <v>612</v>
      </c>
      <c r="F217" s="10"/>
      <c r="G217" s="9"/>
      <c r="H217" s="9" t="s">
        <v>661</v>
      </c>
      <c r="I217" s="10" t="str">
        <f t="shared" si="18"/>
        <v>cheat summon ToxicTapejara_Character_BP_S_C</v>
      </c>
      <c r="J217" s="10" t="str">
        <f t="shared" si="19"/>
        <v>admincheat GMSummon "ToxicTapejara_Character_BP_S_C" 225</v>
      </c>
      <c r="K217" s="9" t="s">
        <v>662</v>
      </c>
      <c r="L217" s="9" t="str">
        <f t="shared" si="20"/>
        <v>cheat spawndino "/ArkSupreme/Content/SupremeDinos/3Toxic/Tapejara/ToxicTapejara_Character_BP_S_C" 500 0 0 35</v>
      </c>
      <c r="M217" s="10" t="str">
        <f t="shared" si="21"/>
        <v>NPCReplacements=(FromClassName="ToxicTapejara_Character_BP_S_C",ToClassName="")</v>
      </c>
      <c r="N217" s="2"/>
    </row>
    <row r="218">
      <c r="A218" s="2"/>
      <c r="B218" s="7"/>
      <c r="C218" s="4">
        <f t="shared" si="23"/>
        <v>2</v>
      </c>
      <c r="D218" s="11" t="s">
        <v>663</v>
      </c>
      <c r="E218" s="12" t="s">
        <v>612</v>
      </c>
      <c r="F218" s="13"/>
      <c r="G218" s="12"/>
      <c r="H218" s="12" t="s">
        <v>664</v>
      </c>
      <c r="I218" s="13" t="str">
        <f t="shared" si="18"/>
        <v>cheat summon ToxicTerrorBird_Character_BP_S_C</v>
      </c>
      <c r="J218" s="13" t="str">
        <f t="shared" si="19"/>
        <v>admincheat GMSummon "ToxicTerrorBird_Character_BP_S_C" 225</v>
      </c>
      <c r="K218" s="12" t="s">
        <v>665</v>
      </c>
      <c r="L218" s="12" t="str">
        <f t="shared" si="20"/>
        <v>cheat spawndino "/ArkSupreme/Content/SupremeDinos/3Toxic/TerrorBird/ToxicTerrorBird_Character_BP_S_C" 500 0 0 35</v>
      </c>
      <c r="M218" s="13" t="str">
        <f t="shared" si="21"/>
        <v>NPCReplacements=(FromClassName="ToxicTerrorBird_Character_BP_S_C",ToClassName="")</v>
      </c>
      <c r="N218" s="2"/>
    </row>
    <row r="219">
      <c r="A219" s="2"/>
      <c r="B219" s="7"/>
      <c r="C219" s="4">
        <f t="shared" si="23"/>
        <v>2</v>
      </c>
      <c r="D219" s="8" t="s">
        <v>666</v>
      </c>
      <c r="E219" s="9" t="s">
        <v>612</v>
      </c>
      <c r="F219" s="10"/>
      <c r="G219" s="9"/>
      <c r="H219" s="9" t="s">
        <v>667</v>
      </c>
      <c r="I219" s="10" t="str">
        <f t="shared" si="18"/>
        <v>cheat summon ToxicTherizino_Character_BP_S_C</v>
      </c>
      <c r="J219" s="10" t="str">
        <f t="shared" si="19"/>
        <v>admincheat GMSummon "ToxicTherizino_Character_BP_S_C" 225</v>
      </c>
      <c r="K219" s="9" t="s">
        <v>668</v>
      </c>
      <c r="L219" s="9" t="str">
        <f t="shared" si="20"/>
        <v>cheat spawndino "/ArkSupreme/Content/SupremeDinos/3Toxic/Therizinosaurus/ToxicTherizino_Character_BP_S_C" 500 0 0 35</v>
      </c>
      <c r="M219" s="10" t="str">
        <f t="shared" si="21"/>
        <v>NPCReplacements=(FromClassName="ToxicTherizino_Character_BP_S_C",ToClassName="")</v>
      </c>
      <c r="N219" s="2"/>
    </row>
    <row r="220">
      <c r="A220" s="2"/>
      <c r="B220" s="7"/>
      <c r="C220" s="4">
        <f t="shared" si="23"/>
        <v>2</v>
      </c>
      <c r="D220" s="11" t="s">
        <v>669</v>
      </c>
      <c r="E220" s="12" t="s">
        <v>612</v>
      </c>
      <c r="F220" s="13"/>
      <c r="G220" s="12"/>
      <c r="H220" s="12" t="s">
        <v>670</v>
      </c>
      <c r="I220" s="13" t="str">
        <f t="shared" si="18"/>
        <v>cheat summon SpineyLizard_Character_BP_Toxic_S_C</v>
      </c>
      <c r="J220" s="13" t="str">
        <f t="shared" si="19"/>
        <v>admincheat GMSummon "SpineyLizard_Character_BP_Toxic_S_C" 225</v>
      </c>
      <c r="K220" s="12" t="s">
        <v>671</v>
      </c>
      <c r="L220" s="12" t="str">
        <f t="shared" si="20"/>
        <v>cheat spawndino "/ArkSupreme/Content/SupremeDinos/3Toxic/Thornydragon/SpineyLizard_Character_BP_Toxic_S_C" 500 0 0 35</v>
      </c>
      <c r="M220" s="13" t="str">
        <f t="shared" si="21"/>
        <v>NPCReplacements=(FromClassName="SpineyLizard_Character_BP_Toxic_S_C",ToClassName="")</v>
      </c>
      <c r="N220" s="2"/>
    </row>
    <row r="221">
      <c r="A221" s="2"/>
      <c r="B221" s="7"/>
      <c r="C221" s="4">
        <f t="shared" si="23"/>
        <v>2</v>
      </c>
      <c r="D221" s="8" t="s">
        <v>672</v>
      </c>
      <c r="E221" s="9" t="s">
        <v>612</v>
      </c>
      <c r="F221" s="10"/>
      <c r="G221" s="9"/>
      <c r="H221" s="9" t="s">
        <v>673</v>
      </c>
      <c r="I221" s="10" t="str">
        <f t="shared" si="18"/>
        <v>cheat summon ToxicThylacoleo_Character_BP_S_C</v>
      </c>
      <c r="J221" s="10" t="str">
        <f t="shared" si="19"/>
        <v>admincheat GMSummon "ToxicThylacoleo_Character_BP_S_C" 225</v>
      </c>
      <c r="K221" s="9" t="s">
        <v>674</v>
      </c>
      <c r="L221" s="9" t="str">
        <f t="shared" si="20"/>
        <v>cheat spawndino "/ArkSupreme/Content/SupremeDinos/3Toxic/Thyla/ToxicThylacoleo_Character_BP_S_C" 500 0 0 35</v>
      </c>
      <c r="M221" s="10" t="str">
        <f t="shared" si="21"/>
        <v>NPCReplacements=(FromClassName="ToxicThylacoleo_Character_BP_S_C",ToClassName="")</v>
      </c>
      <c r="N221" s="2"/>
    </row>
    <row r="222">
      <c r="A222" s="2"/>
      <c r="B222" s="7"/>
      <c r="C222" s="4">
        <f t="shared" si="23"/>
        <v>2</v>
      </c>
      <c r="D222" s="11" t="s">
        <v>675</v>
      </c>
      <c r="E222" s="12" t="s">
        <v>612</v>
      </c>
      <c r="F222" s="13"/>
      <c r="G222" s="12"/>
      <c r="H222" s="12" t="s">
        <v>676</v>
      </c>
      <c r="I222" s="13" t="str">
        <f t="shared" si="18"/>
        <v>cheat summon ToxicTitanosaur_Character_BP_S_C</v>
      </c>
      <c r="J222" s="13" t="str">
        <f t="shared" si="19"/>
        <v>admincheat GMSummon "ToxicTitanosaur_Character_BP_S_C" 225</v>
      </c>
      <c r="K222" s="12" t="s">
        <v>677</v>
      </c>
      <c r="L222" s="12" t="str">
        <f t="shared" si="20"/>
        <v>cheat spawndino "/ArkSupreme/Content/SupremeDinos/3Toxic/Titanosaur/ToxicTitanosaur_Character_BP_S_C" 500 0 0 35</v>
      </c>
      <c r="M222" s="13" t="str">
        <f t="shared" si="21"/>
        <v>NPCReplacements=(FromClassName="ToxicTitanosaur_Character_BP_S_C",ToClassName="")</v>
      </c>
      <c r="N222" s="2"/>
    </row>
    <row r="223">
      <c r="A223" s="2"/>
      <c r="B223" s="7"/>
      <c r="C223" s="4">
        <f t="shared" si="23"/>
        <v>2</v>
      </c>
      <c r="D223" s="8" t="s">
        <v>678</v>
      </c>
      <c r="E223" s="9" t="s">
        <v>612</v>
      </c>
      <c r="F223" s="10"/>
      <c r="G223" s="9"/>
      <c r="H223" s="9" t="s">
        <v>679</v>
      </c>
      <c r="I223" s="10" t="str">
        <f t="shared" si="18"/>
        <v>cheat summon ToxicTrike_Character_BP_S_C</v>
      </c>
      <c r="J223" s="10" t="str">
        <f t="shared" si="19"/>
        <v>admincheat GMSummon "ToxicTrike_Character_BP_S_C" 225</v>
      </c>
      <c r="K223" s="9" t="s">
        <v>680</v>
      </c>
      <c r="L223" s="9" t="str">
        <f t="shared" si="20"/>
        <v>cheat spawndino "/ArkSupreme/Content/SupremeDinos/3Toxic/Trike/ToxicTrike_Character_BP_S_C" 500 0 0 35</v>
      </c>
      <c r="M223" s="10" t="str">
        <f t="shared" si="21"/>
        <v>NPCReplacements=(FromClassName="ToxicTrike_Character_BP_S_C",ToClassName="")</v>
      </c>
      <c r="N223" s="2"/>
    </row>
    <row r="224">
      <c r="A224" s="2"/>
      <c r="B224" s="7"/>
      <c r="C224" s="4">
        <f t="shared" si="23"/>
        <v>2</v>
      </c>
      <c r="D224" s="11" t="s">
        <v>681</v>
      </c>
      <c r="E224" s="12" t="s">
        <v>612</v>
      </c>
      <c r="F224" s="13"/>
      <c r="G224" s="12"/>
      <c r="H224" s="12" t="s">
        <v>682</v>
      </c>
      <c r="I224" s="13" t="str">
        <f t="shared" si="18"/>
        <v>cheat summon ToxicTroodon_Character_BP_S_C</v>
      </c>
      <c r="J224" s="13" t="str">
        <f t="shared" si="19"/>
        <v>admincheat GMSummon "ToxicTroodon_Character_BP_S_C" 225</v>
      </c>
      <c r="K224" s="12" t="s">
        <v>683</v>
      </c>
      <c r="L224" s="12" t="str">
        <f t="shared" si="20"/>
        <v>cheat spawndino "/ArkSupreme/Content/SupremeDinos/3Toxic/Troodon/ToxicTroodon_Character_BP_S_C" 500 0 0 35</v>
      </c>
      <c r="M224" s="13" t="str">
        <f t="shared" si="21"/>
        <v>NPCReplacements=(FromClassName="ToxicTroodon_Character_BP_S_C",ToClassName="")</v>
      </c>
      <c r="N224" s="2"/>
    </row>
    <row r="225">
      <c r="A225" s="2"/>
      <c r="B225" s="7"/>
      <c r="C225" s="4">
        <f t="shared" si="23"/>
        <v>2</v>
      </c>
      <c r="D225" s="8" t="s">
        <v>684</v>
      </c>
      <c r="E225" s="9" t="s">
        <v>612</v>
      </c>
      <c r="F225" s="10"/>
      <c r="G225" s="9"/>
      <c r="H225" s="9" t="s">
        <v>685</v>
      </c>
      <c r="I225" s="10" t="str">
        <f t="shared" si="18"/>
        <v>cheat summon ToxicTurkey_Character_BP_S_C</v>
      </c>
      <c r="J225" s="10" t="str">
        <f t="shared" si="19"/>
        <v>admincheat GMSummon "ToxicTurkey_Character_BP_S_C" 225</v>
      </c>
      <c r="K225" s="9" t="s">
        <v>686</v>
      </c>
      <c r="L225" s="9" t="str">
        <f t="shared" si="20"/>
        <v>cheat spawndino "/ArkSupreme/Content/SupremeDinos/3Toxic/Turkey/ToxicTurkey_Character_BP_S_C" 500 0 0 35</v>
      </c>
      <c r="M225" s="10" t="str">
        <f t="shared" si="21"/>
        <v>NPCReplacements=(FromClassName="ToxicTurkey_Character_BP_S_C",ToClassName="")</v>
      </c>
      <c r="N225" s="2"/>
    </row>
    <row r="226">
      <c r="A226" s="2"/>
      <c r="B226" s="7"/>
      <c r="C226" s="4"/>
      <c r="D226" s="11" t="s">
        <v>687</v>
      </c>
      <c r="E226" s="12" t="s">
        <v>51</v>
      </c>
      <c r="F226" s="13"/>
      <c r="G226" s="12"/>
      <c r="H226" s="12" t="s">
        <v>688</v>
      </c>
      <c r="I226" s="13" t="str">
        <f t="shared" si="18"/>
        <v>cheat summon ToxicTurtle_Character_BP_S_C</v>
      </c>
      <c r="J226" s="13" t="str">
        <f t="shared" si="19"/>
        <v>admincheat GMSummon "ToxicTurtle_Character_BP_S_C" 225</v>
      </c>
      <c r="K226" s="12" t="s">
        <v>689</v>
      </c>
      <c r="L226" s="12" t="str">
        <f t="shared" si="20"/>
        <v>cheat spawndino "/ArkSupreme/Content/SupremeDinos/3Toxic/Turtle/ToxicTurtle_Character_BP_S_C" 500 0 0 35</v>
      </c>
      <c r="M226" s="13" t="str">
        <f t="shared" si="21"/>
        <v>NPCReplacements=(FromClassName="ToxicTurtle_Character_BP_S_C",ToClassName="")</v>
      </c>
      <c r="N226" s="2"/>
    </row>
    <row r="227">
      <c r="A227" s="2"/>
      <c r="B227" s="7"/>
      <c r="C227" s="4"/>
      <c r="D227" s="8" t="s">
        <v>690</v>
      </c>
      <c r="E227" s="9" t="s">
        <v>51</v>
      </c>
      <c r="F227" s="10"/>
      <c r="G227" s="9"/>
      <c r="H227" s="9" t="s">
        <v>691</v>
      </c>
      <c r="I227" s="10" t="str">
        <f t="shared" si="18"/>
        <v>cheat summon Spindles_Character_BP_Toxic_S_C</v>
      </c>
      <c r="J227" s="10" t="str">
        <f t="shared" si="19"/>
        <v>admincheat GMSummon "Spindles_Character_BP_Toxic_S_C" 225</v>
      </c>
      <c r="K227" s="9" t="s">
        <v>692</v>
      </c>
      <c r="L227" s="9" t="str">
        <f t="shared" si="20"/>
        <v>cheat spawndino "/ArkSupreme/Content/SupremeDinos/3Toxic/Velonasaur/Spindles_Character_BP_Toxic_S_C" 500 0 0 35</v>
      </c>
      <c r="M227" s="10" t="str">
        <f t="shared" si="21"/>
        <v>NPCReplacements=(FromClassName="Spindles_Character_BP_Toxic_S_C",ToClassName="")</v>
      </c>
      <c r="N227" s="2"/>
    </row>
    <row r="228">
      <c r="A228" s="2"/>
      <c r="B228" s="7"/>
      <c r="C228" s="4">
        <f>IF(E228="Alpha",1)+IF(E228="Apex",2)+IF(E228="Earth",3)+IF(E228="Frost",3)+IF(E228="Nature",3)+IF(E228="Storm",4)+IF(E228="Volcanic",4)+IF(E228="Bionic",5)+IF(E228="Legendary",5)+IF(E228="Demonic",6)+IF(E228="Celestial",6)+IF(E228="Godly",7)+IF(E228="Loot",8)+IF(E228="Boss",9)</f>
        <v>2</v>
      </c>
      <c r="D228" s="11" t="s">
        <v>693</v>
      </c>
      <c r="E228" s="12" t="s">
        <v>612</v>
      </c>
      <c r="F228" s="13"/>
      <c r="G228" s="12"/>
      <c r="H228" s="12" t="s">
        <v>694</v>
      </c>
      <c r="I228" s="13" t="str">
        <f t="shared" si="18"/>
        <v>cheat summon Vulture_Character_BP_Toxic_S_C</v>
      </c>
      <c r="J228" s="13" t="str">
        <f t="shared" si="19"/>
        <v>admincheat GMSummon "Vulture_Character_BP_Toxic_S_C" 225</v>
      </c>
      <c r="K228" s="12" t="s">
        <v>695</v>
      </c>
      <c r="L228" s="12" t="str">
        <f t="shared" si="20"/>
        <v>cheat spawndino "/ArkSupreme/Content/SupremeDinos/3Toxic/Vulture/Vulture_Character_BP_Toxic_S_C" 500 0 0 35</v>
      </c>
      <c r="M228" s="13" t="str">
        <f t="shared" si="21"/>
        <v>NPCReplacements=(FromClassName="Vulture_Character_BP_Toxic_S_C",ToClassName="")</v>
      </c>
      <c r="N228" s="2"/>
    </row>
    <row r="229">
      <c r="A229" s="2"/>
      <c r="B229" s="7"/>
      <c r="C229" s="4"/>
      <c r="D229" s="8" t="s">
        <v>696</v>
      </c>
      <c r="E229" s="9" t="s">
        <v>51</v>
      </c>
      <c r="F229" s="10"/>
      <c r="G229" s="9"/>
      <c r="H229" s="9" t="s">
        <v>697</v>
      </c>
      <c r="I229" s="10" t="str">
        <f t="shared" si="18"/>
        <v>cheat summon ToxicRhino_Character_BP_S_C</v>
      </c>
      <c r="J229" s="10" t="str">
        <f t="shared" si="19"/>
        <v>admincheat GMSummon "ToxicRhino_Character_BP_S_C" 225</v>
      </c>
      <c r="K229" s="9" t="s">
        <v>698</v>
      </c>
      <c r="L229" s="9" t="str">
        <f t="shared" si="20"/>
        <v>cheat spawndino "/ArkSupreme/Content/SupremeDinos/3Toxic/WoollyRhino/ToxicRhino_Character_BP_S_C" 500 0 0 35</v>
      </c>
      <c r="M229" s="10" t="str">
        <f t="shared" si="21"/>
        <v>NPCReplacements=(FromClassName="ToxicRhino_Character_BP_S_C",ToClassName="")</v>
      </c>
      <c r="N229" s="2"/>
    </row>
    <row r="230">
      <c r="A230" s="2"/>
      <c r="B230" s="7"/>
      <c r="C230" s="4">
        <f t="shared" ref="C230:C234" si="24">IF(E230="Alpha",1)+IF(E230="Apex",2)+IF(E230="Earth",3)+IF(E230="Frost",3)+IF(E230="Nature",3)+IF(E230="Storm",4)+IF(E230="Volcanic",4)+IF(E230="Bionic",5)+IF(E230="Legendary",5)+IF(E230="Demonic",6)+IF(E230="Celestial",6)+IF(E230="Godly",7)+IF(E230="Loot",8)+IF(E230="Boss",9)</f>
        <v>2</v>
      </c>
      <c r="D230" s="11" t="s">
        <v>699</v>
      </c>
      <c r="E230" s="12" t="s">
        <v>612</v>
      </c>
      <c r="F230" s="13"/>
      <c r="G230" s="12"/>
      <c r="H230" s="12" t="s">
        <v>700</v>
      </c>
      <c r="I230" s="13" t="str">
        <f t="shared" si="18"/>
        <v>cheat summon Wyvern_Character_BP_Fire_Toxic_S_C</v>
      </c>
      <c r="J230" s="13" t="str">
        <f t="shared" si="19"/>
        <v>admincheat GMSummon "Wyvern_Character_BP_Fire_Toxic_S_C" 225</v>
      </c>
      <c r="K230" s="12" t="s">
        <v>701</v>
      </c>
      <c r="L230" s="12" t="str">
        <f t="shared" si="20"/>
        <v>cheat spawndino "/ArkSupreme/Content/SupremeDinos/3Toxic/Wyvern_Fire/Wyvern_Character_BP_Fire_Toxic_S_C" 500 0 0 35</v>
      </c>
      <c r="M230" s="13" t="str">
        <f t="shared" si="21"/>
        <v>NPCReplacements=(FromClassName="Wyvern_Character_BP_Fire_Toxic_S_C",ToClassName="")</v>
      </c>
      <c r="N230" s="2"/>
    </row>
    <row r="231">
      <c r="A231" s="2"/>
      <c r="B231" s="7"/>
      <c r="C231" s="4">
        <f t="shared" si="24"/>
        <v>2</v>
      </c>
      <c r="D231" s="8" t="s">
        <v>702</v>
      </c>
      <c r="E231" s="9" t="s">
        <v>612</v>
      </c>
      <c r="F231" s="10"/>
      <c r="G231" s="9"/>
      <c r="H231" s="9" t="s">
        <v>703</v>
      </c>
      <c r="I231" s="10" t="str">
        <f t="shared" si="18"/>
        <v>cheat summon Wyvern_Character_BP_Lightning_Toxic_S_C</v>
      </c>
      <c r="J231" s="10" t="str">
        <f t="shared" si="19"/>
        <v>admincheat GMSummon "Wyvern_Character_BP_Lightning_Toxic_S_C" 225</v>
      </c>
      <c r="K231" s="9" t="s">
        <v>704</v>
      </c>
      <c r="L231" s="9" t="str">
        <f t="shared" si="20"/>
        <v>cheat spawndino "/ArkSupreme/Content/SupremeDinos/3Toxic/Wyvern_Lightning/Wyvern_Character_BP_Lightning_Toxic_S_C" 500 0 0 35</v>
      </c>
      <c r="M231" s="10" t="str">
        <f t="shared" si="21"/>
        <v>NPCReplacements=(FromClassName="Wyvern_Character_BP_Lightning_Toxic_S_C",ToClassName="")</v>
      </c>
      <c r="N231" s="2"/>
    </row>
    <row r="232">
      <c r="A232" s="2"/>
      <c r="B232" s="7"/>
      <c r="C232" s="4">
        <f t="shared" si="24"/>
        <v>2</v>
      </c>
      <c r="D232" s="11" t="s">
        <v>705</v>
      </c>
      <c r="E232" s="12" t="s">
        <v>612</v>
      </c>
      <c r="F232" s="13"/>
      <c r="G232" s="12"/>
      <c r="H232" s="12" t="s">
        <v>706</v>
      </c>
      <c r="I232" s="13" t="str">
        <f t="shared" si="18"/>
        <v>cheat summon Wyvern_Character_BP_Poison_Toxic_S_C</v>
      </c>
      <c r="J232" s="13" t="str">
        <f t="shared" si="19"/>
        <v>admincheat GMSummon "Wyvern_Character_BP_Poison_Toxic_S_C" 225</v>
      </c>
      <c r="K232" s="12" t="s">
        <v>707</v>
      </c>
      <c r="L232" s="12" t="str">
        <f t="shared" si="20"/>
        <v>cheat spawndino "/ArkSupreme/Content/SupremeDinos/3Toxic/Wyvern_Poison/Wyvern_Character_BP_Poison_Toxic_S_C" 500 0 0 35</v>
      </c>
      <c r="M232" s="13" t="str">
        <f t="shared" si="21"/>
        <v>NPCReplacements=(FromClassName="Wyvern_Character_BP_Poison_Toxic_S_C",ToClassName="")</v>
      </c>
      <c r="N232" s="2"/>
    </row>
    <row r="233">
      <c r="A233" s="2"/>
      <c r="B233" s="7"/>
      <c r="C233" s="4">
        <f t="shared" si="24"/>
        <v>2</v>
      </c>
      <c r="D233" s="8" t="s">
        <v>708</v>
      </c>
      <c r="E233" s="9" t="s">
        <v>612</v>
      </c>
      <c r="F233" s="10"/>
      <c r="G233" s="9"/>
      <c r="H233" s="9" t="s">
        <v>709</v>
      </c>
      <c r="I233" s="10" t="str">
        <f t="shared" si="18"/>
        <v>cheat summon YiLing_Character_BP_Toxic_S_C</v>
      </c>
      <c r="J233" s="10" t="str">
        <f t="shared" si="19"/>
        <v>admincheat GMSummon "YiLing_Character_BP_Toxic_S_C" 225</v>
      </c>
      <c r="K233" s="9" t="s">
        <v>710</v>
      </c>
      <c r="L233" s="9" t="str">
        <f t="shared" si="20"/>
        <v>cheat spawndino "/ArkSupreme/Content/SupremeDinos/3Toxic/YiLing/YiLing_Character_BP_Toxic_S_C" 500 0 0 35</v>
      </c>
      <c r="M233" s="10" t="str">
        <f t="shared" si="21"/>
        <v>NPCReplacements=(FromClassName="YiLing_Character_BP_Toxic_S_C",ToClassName="")</v>
      </c>
      <c r="N233" s="2"/>
    </row>
    <row r="234">
      <c r="A234" s="2"/>
      <c r="B234" s="7"/>
      <c r="C234" s="4">
        <f t="shared" si="24"/>
        <v>2</v>
      </c>
      <c r="D234" s="11" t="s">
        <v>711</v>
      </c>
      <c r="E234" s="12" t="s">
        <v>612</v>
      </c>
      <c r="F234" s="13"/>
      <c r="G234" s="12"/>
      <c r="H234" s="12" t="s">
        <v>712</v>
      </c>
      <c r="I234" s="13" t="str">
        <f t="shared" si="18"/>
        <v>cheat summon ToxicYutyrannus_Character_BP_S_C</v>
      </c>
      <c r="J234" s="13" t="str">
        <f t="shared" si="19"/>
        <v>admincheat GMSummon "ToxicYutyrannus_Character_BP_S_C" 225</v>
      </c>
      <c r="K234" s="12" t="s">
        <v>713</v>
      </c>
      <c r="L234" s="12" t="str">
        <f t="shared" si="20"/>
        <v>cheat spawndino "/ArkSupreme/Content/SupremeDinos/3Toxic/Yuty/ToxicYutyrannus_Character_BP_S_C" 500 0 0 35</v>
      </c>
      <c r="M234" s="13" t="str">
        <f t="shared" si="21"/>
        <v>NPCReplacements=(FromClassName="ToxicYutyrannus_Character_BP_S_C",ToClassName="")</v>
      </c>
      <c r="N234" s="2"/>
    </row>
    <row r="235">
      <c r="A235" s="2"/>
      <c r="B235" s="7"/>
      <c r="C235" s="4"/>
      <c r="D235" s="8" t="s">
        <v>714</v>
      </c>
      <c r="E235" s="9" t="s">
        <v>51</v>
      </c>
      <c r="F235" s="10"/>
      <c r="G235" s="9"/>
      <c r="H235" s="9" t="s">
        <v>715</v>
      </c>
      <c r="I235" s="10" t="str">
        <f t="shared" si="18"/>
        <v>cheat summon Toxic_Parrot_Character_BP_S_C</v>
      </c>
      <c r="J235" s="10" t="str">
        <f t="shared" si="19"/>
        <v>admincheat GMSummon "Toxic_Parrot_Character_BP_S_C" 225</v>
      </c>
      <c r="K235" s="9" t="s">
        <v>716</v>
      </c>
      <c r="L235" s="9" t="str">
        <f t="shared" si="20"/>
        <v>cheat spawndino "/ArkSupreme/Content/SupremeDinos/3Toxic/parrot/Toxic_Parrot_Character_BP_S_C" 500 0 0 35</v>
      </c>
      <c r="M235" s="10" t="str">
        <f t="shared" si="21"/>
        <v>NPCReplacements=(FromClassName="Toxic_Parrot_Character_BP_S_C",ToClassName="")</v>
      </c>
      <c r="N235" s="2"/>
    </row>
    <row r="236">
      <c r="A236" s="2"/>
      <c r="B236" s="23"/>
      <c r="C236" s="19"/>
      <c r="D236" s="20"/>
      <c r="E236" s="20"/>
      <c r="F236" s="21"/>
      <c r="G236" s="20"/>
      <c r="H236" s="20"/>
      <c r="I236" s="21"/>
      <c r="J236" s="21"/>
      <c r="K236" s="20"/>
      <c r="L236" s="20"/>
      <c r="M236" s="21"/>
      <c r="N236" s="2"/>
    </row>
    <row r="237">
      <c r="A237" s="2"/>
      <c r="B237" s="24" t="s">
        <v>717</v>
      </c>
      <c r="C237" s="4"/>
      <c r="D237" s="8" t="s">
        <v>718</v>
      </c>
      <c r="E237" s="9"/>
      <c r="F237" s="10"/>
      <c r="G237" s="9"/>
      <c r="H237" s="9" t="s">
        <v>719</v>
      </c>
      <c r="I237" s="10" t="str">
        <f t="shared" ref="I237:I353" si="25">"cheat summon "&amp;H237</f>
        <v>cheat summon BerserkAchatina_Character_BP_S_C</v>
      </c>
      <c r="J237" s="10" t="str">
        <f t="shared" ref="J237:J353" si="26"> "admincheat GMSummon " &amp;CHAR(34) &amp; H237&amp;CHAR(34)&amp; " 225"</f>
        <v>admincheat GMSummon "BerserkAchatina_Character_BP_S_C" 225</v>
      </c>
      <c r="K237" s="9" t="s">
        <v>720</v>
      </c>
      <c r="L237" s="9" t="str">
        <f t="shared" ref="L237:L353" si="27"> "cheat spawndino " &amp;CHAR(34) &amp; K237&amp;CHAR(34)&amp; " 500 0 0 35"</f>
        <v>cheat spawndino "/ArkSupreme/Content/SupremeDinos/4Berserk/Achitina/BerserkAchatina_Character_BP_S_C" 500 0 0 35</v>
      </c>
      <c r="M237" s="10" t="str">
        <f t="shared" ref="M237:M353" si="28">"NPCReplacements=(FromClassName="&amp;CHAR(34)&amp;H237&amp;""&amp;CHAR(34)&amp;",ToClassName="&amp;CHAR(34)&amp;CHAR(34)&amp;")"</f>
        <v>NPCReplacements=(FromClassName="BerserkAchatina_Character_BP_S_C",ToClassName="")</v>
      </c>
      <c r="N237" s="2"/>
    </row>
    <row r="238">
      <c r="A238" s="2"/>
      <c r="B238" s="7"/>
      <c r="C238" s="4"/>
      <c r="D238" s="11" t="s">
        <v>721</v>
      </c>
      <c r="E238" s="12"/>
      <c r="F238" s="13"/>
      <c r="G238" s="12"/>
      <c r="H238" s="12" t="s">
        <v>722</v>
      </c>
      <c r="I238" s="13" t="str">
        <f t="shared" si="25"/>
        <v>cheat summon BerserkAllo_Character_BP_S_C</v>
      </c>
      <c r="J238" s="13" t="str">
        <f t="shared" si="26"/>
        <v>admincheat GMSummon "BerserkAllo_Character_BP_S_C" 225</v>
      </c>
      <c r="K238" s="12" t="s">
        <v>723</v>
      </c>
      <c r="L238" s="12" t="str">
        <f t="shared" si="27"/>
        <v>cheat spawndino "/ArkSupreme/Content/SupremeDinos/4Berserk/Allo/BerserkAllo_Character_BP_S_C" 500 0 0 35</v>
      </c>
      <c r="M238" s="13" t="str">
        <f t="shared" si="28"/>
        <v>NPCReplacements=(FromClassName="BerserkAllo_Character_BP_S_C",ToClassName="")</v>
      </c>
      <c r="N238" s="2"/>
    </row>
    <row r="239">
      <c r="A239" s="2"/>
      <c r="B239" s="7"/>
      <c r="C239" s="4"/>
      <c r="D239" s="8" t="s">
        <v>724</v>
      </c>
      <c r="E239" s="9"/>
      <c r="F239" s="10"/>
      <c r="G239" s="9"/>
      <c r="H239" s="9" t="s">
        <v>725</v>
      </c>
      <c r="I239" s="10" t="str">
        <f t="shared" si="25"/>
        <v>cheat summon BerserkAnkylo_Character_BP_S_C</v>
      </c>
      <c r="J239" s="10" t="str">
        <f t="shared" si="26"/>
        <v>admincheat GMSummon "BerserkAnkylo_Character_BP_S_C" 225</v>
      </c>
      <c r="K239" s="9" t="s">
        <v>726</v>
      </c>
      <c r="L239" s="9" t="str">
        <f t="shared" si="27"/>
        <v>cheat spawndino "/ArkSupreme/Content/SupremeDinos/4Berserk/Ankylosaurus/BerserkAnkylo_Character_BP_S_C" 500 0 0 35</v>
      </c>
      <c r="M239" s="10" t="str">
        <f t="shared" si="28"/>
        <v>NPCReplacements=(FromClassName="BerserkAnkylo_Character_BP_S_C",ToClassName="")</v>
      </c>
      <c r="N239" s="2"/>
    </row>
    <row r="240">
      <c r="A240" s="2"/>
      <c r="B240" s="7"/>
      <c r="C240" s="4"/>
      <c r="D240" s="11" t="s">
        <v>727</v>
      </c>
      <c r="E240" s="12"/>
      <c r="F240" s="13"/>
      <c r="G240" s="12"/>
      <c r="H240" s="12" t="s">
        <v>728</v>
      </c>
      <c r="I240" s="13" t="str">
        <f t="shared" si="25"/>
        <v>cheat summon BerserkAnt_Character_BP_S_C</v>
      </c>
      <c r="J240" s="13" t="str">
        <f t="shared" si="26"/>
        <v>admincheat GMSummon "BerserkAnt_Character_BP_S_C" 225</v>
      </c>
      <c r="K240" s="12" t="s">
        <v>729</v>
      </c>
      <c r="L240" s="12" t="str">
        <f t="shared" si="27"/>
        <v>cheat spawndino "/ArkSupreme/Content/SupremeDinos/4Berserk/Ant/BerserkAnt_Character_BP_S_C" 500 0 0 35</v>
      </c>
      <c r="M240" s="13" t="str">
        <f t="shared" si="28"/>
        <v>NPCReplacements=(FromClassName="BerserkAnt_Character_BP_S_C",ToClassName="")</v>
      </c>
      <c r="N240" s="2"/>
    </row>
    <row r="241">
      <c r="A241" s="2"/>
      <c r="B241" s="7"/>
      <c r="C241" s="4"/>
      <c r="D241" s="8" t="s">
        <v>730</v>
      </c>
      <c r="E241" s="9"/>
      <c r="F241" s="10"/>
      <c r="G241" s="9"/>
      <c r="H241" s="9" t="s">
        <v>731</v>
      </c>
      <c r="I241" s="10" t="str">
        <f t="shared" si="25"/>
        <v>cheat summon BerserkSpider_Character_BP_S_C</v>
      </c>
      <c r="J241" s="10" t="str">
        <f t="shared" si="26"/>
        <v>admincheat GMSummon "BerserkSpider_Character_BP_S_C" 225</v>
      </c>
      <c r="K241" s="9" t="s">
        <v>732</v>
      </c>
      <c r="L241" s="9" t="str">
        <f t="shared" si="27"/>
        <v>cheat spawndino "/ArkSupreme/Content/SupremeDinos/4Berserk/Araneo/BerserkSpider_Character_BP_S_C" 500 0 0 35</v>
      </c>
      <c r="M241" s="10" t="str">
        <f t="shared" si="28"/>
        <v>NPCReplacements=(FromClassName="BerserkSpider_Character_BP_S_C",ToClassName="")</v>
      </c>
      <c r="N241" s="2"/>
    </row>
    <row r="242">
      <c r="A242" s="2"/>
      <c r="B242" s="7"/>
      <c r="C242" s="4"/>
      <c r="D242" s="11" t="s">
        <v>733</v>
      </c>
      <c r="E242" s="12"/>
      <c r="F242" s="13"/>
      <c r="G242" s="12"/>
      <c r="H242" s="12" t="s">
        <v>734</v>
      </c>
      <c r="I242" s="13" t="str">
        <f t="shared" si="25"/>
        <v>cheat summon BerserkArcha_Character_BP_S_C</v>
      </c>
      <c r="J242" s="13" t="str">
        <f t="shared" si="26"/>
        <v>admincheat GMSummon "BerserkArcha_Character_BP_S_C" 225</v>
      </c>
      <c r="K242" s="12" t="s">
        <v>735</v>
      </c>
      <c r="L242" s="12" t="str">
        <f t="shared" si="27"/>
        <v>cheat spawndino "/ArkSupreme/Content/SupremeDinos/4Berserk/Archaeopteryx/BerserkArcha_Character_BP_S_C" 500 0 0 35</v>
      </c>
      <c r="M242" s="13" t="str">
        <f t="shared" si="28"/>
        <v>NPCReplacements=(FromClassName="BerserkArcha_Character_BP_S_C",ToClassName="")</v>
      </c>
      <c r="N242" s="2"/>
    </row>
    <row r="243">
      <c r="A243" s="2"/>
      <c r="B243" s="7"/>
      <c r="C243" s="4"/>
      <c r="D243" s="8" t="s">
        <v>736</v>
      </c>
      <c r="E243" s="9"/>
      <c r="F243" s="10"/>
      <c r="G243" s="9"/>
      <c r="H243" s="9" t="s">
        <v>737</v>
      </c>
      <c r="I243" s="10" t="str">
        <f t="shared" si="25"/>
        <v>cheat summon BerserkArgent_Character_BP_S_C</v>
      </c>
      <c r="J243" s="10" t="str">
        <f t="shared" si="26"/>
        <v>admincheat GMSummon "BerserkArgent_Character_BP_S_C" 225</v>
      </c>
      <c r="K243" s="9" t="s">
        <v>738</v>
      </c>
      <c r="L243" s="9" t="str">
        <f t="shared" si="27"/>
        <v>cheat spawndino "/ArkSupreme/Content/SupremeDinos/4Berserk/Argentavis/BerserkArgent_Character_BP_S_C" 500 0 0 35</v>
      </c>
      <c r="M243" s="10" t="str">
        <f t="shared" si="28"/>
        <v>NPCReplacements=(FromClassName="BerserkArgent_Character_BP_S_C",ToClassName="")</v>
      </c>
      <c r="N243" s="2"/>
    </row>
    <row r="244">
      <c r="A244" s="2"/>
      <c r="B244" s="7"/>
      <c r="C244" s="4"/>
      <c r="D244" s="11" t="s">
        <v>739</v>
      </c>
      <c r="E244" s="12"/>
      <c r="F244" s="13"/>
      <c r="G244" s="12"/>
      <c r="H244" s="12" t="s">
        <v>740</v>
      </c>
      <c r="I244" s="13" t="str">
        <f t="shared" si="25"/>
        <v>cheat summon BerserkArthro_Character_BP_S_C</v>
      </c>
      <c r="J244" s="13" t="str">
        <f t="shared" si="26"/>
        <v>admincheat GMSummon "BerserkArthro_Character_BP_S_C" 225</v>
      </c>
      <c r="K244" s="12" t="s">
        <v>741</v>
      </c>
      <c r="L244" s="12" t="str">
        <f t="shared" si="27"/>
        <v>cheat spawndino "/ArkSupreme/Content/SupremeDinos/4Berserk/Arthropluera/BerserkArthro_Character_BP_S_C" 500 0 0 35</v>
      </c>
      <c r="M244" s="13" t="str">
        <f t="shared" si="28"/>
        <v>NPCReplacements=(FromClassName="BerserkArthro_Character_BP_S_C",ToClassName="")</v>
      </c>
      <c r="N244" s="2"/>
    </row>
    <row r="245">
      <c r="A245" s="2"/>
      <c r="B245" s="7"/>
      <c r="C245" s="4"/>
      <c r="D245" s="8" t="s">
        <v>742</v>
      </c>
      <c r="E245" s="9"/>
      <c r="F245" s="10"/>
      <c r="G245" s="9"/>
      <c r="H245" s="9" t="s">
        <v>743</v>
      </c>
      <c r="I245" s="10" t="str">
        <f t="shared" si="25"/>
        <v>cheat summon BerserkBaryonyx_Character_BP_S_C</v>
      </c>
      <c r="J245" s="10" t="str">
        <f t="shared" si="26"/>
        <v>admincheat GMSummon "BerserkBaryonyx_Character_BP_S_C" 225</v>
      </c>
      <c r="K245" s="9" t="s">
        <v>744</v>
      </c>
      <c r="L245" s="9" t="str">
        <f t="shared" si="27"/>
        <v>cheat spawndino "/ArkSupreme/Content/SupremeDinos/4Berserk/Baryonyx/BerserkBaryonyx_Character_BP_S_C" 500 0 0 35</v>
      </c>
      <c r="M245" s="10" t="str">
        <f t="shared" si="28"/>
        <v>NPCReplacements=(FromClassName="BerserkBaryonyx_Character_BP_S_C",ToClassName="")</v>
      </c>
      <c r="N245" s="2"/>
    </row>
    <row r="246">
      <c r="A246" s="2"/>
      <c r="B246" s="7"/>
      <c r="C246" s="4"/>
      <c r="D246" s="11" t="s">
        <v>745</v>
      </c>
      <c r="E246" s="12"/>
      <c r="F246" s="13"/>
      <c r="G246" s="12"/>
      <c r="H246" s="12" t="s">
        <v>746</v>
      </c>
      <c r="I246" s="13" t="str">
        <f t="shared" si="25"/>
        <v>cheat summon Basilisk_Character_BP_Berserk_S_C</v>
      </c>
      <c r="J246" s="13" t="str">
        <f t="shared" si="26"/>
        <v>admincheat GMSummon "Basilisk_Character_BP_Berserk_S_C" 225</v>
      </c>
      <c r="K246" s="12" t="s">
        <v>747</v>
      </c>
      <c r="L246" s="12" t="str">
        <f t="shared" si="27"/>
        <v>cheat spawndino "/ArkSupreme/Content/SupremeDinos/4Berserk/Basilisk/Basilisk_Character_BP_Berserk_S_C" 500 0 0 35</v>
      </c>
      <c r="M246" s="13" t="str">
        <f t="shared" si="28"/>
        <v>NPCReplacements=(FromClassName="Basilisk_Character_BP_Berserk_S_C",ToClassName="")</v>
      </c>
      <c r="N246" s="2"/>
    </row>
    <row r="247">
      <c r="A247" s="2"/>
      <c r="B247" s="7"/>
      <c r="C247" s="4"/>
      <c r="D247" s="8" t="s">
        <v>748</v>
      </c>
      <c r="E247" s="9"/>
      <c r="F247" s="10"/>
      <c r="G247" s="9"/>
      <c r="H247" s="9" t="s">
        <v>749</v>
      </c>
      <c r="I247" s="10" t="str">
        <f t="shared" si="25"/>
        <v>cheat summon BerserkSauropod_Character_BP_S_C</v>
      </c>
      <c r="J247" s="10" t="str">
        <f t="shared" si="26"/>
        <v>admincheat GMSummon "BerserkSauropod_Character_BP_S_C" 225</v>
      </c>
      <c r="K247" s="9" t="s">
        <v>750</v>
      </c>
      <c r="L247" s="9" t="str">
        <f t="shared" si="27"/>
        <v>cheat spawndino "/ArkSupreme/Content/SupremeDinos/4Berserk/Brontosaurus/BerserkSauropod_Character_BP_S_C" 500 0 0 35</v>
      </c>
      <c r="M247" s="10" t="str">
        <f t="shared" si="28"/>
        <v>NPCReplacements=(FromClassName="BerserkSauropod_Character_BP_S_C",ToClassName="")</v>
      </c>
      <c r="N247" s="2"/>
    </row>
    <row r="248">
      <c r="A248" s="2"/>
      <c r="B248" s="7"/>
      <c r="C248" s="4"/>
      <c r="D248" s="11" t="s">
        <v>751</v>
      </c>
      <c r="E248" s="12"/>
      <c r="F248" s="13"/>
      <c r="G248" s="12"/>
      <c r="H248" s="12" t="s">
        <v>752</v>
      </c>
      <c r="I248" s="13" t="str">
        <f t="shared" si="25"/>
        <v>cheat summon SpiderL_Character_BP_Berserk_S_C</v>
      </c>
      <c r="J248" s="13" t="str">
        <f t="shared" si="26"/>
        <v>admincheat GMSummon "SpiderL_Character_BP_Berserk_S_C" 225</v>
      </c>
      <c r="K248" s="12" t="s">
        <v>753</v>
      </c>
      <c r="L248" s="12" t="str">
        <f t="shared" si="27"/>
        <v>cheat spawndino "/ArkSupreme/Content/SupremeDinos/4Berserk/Broodmother/SpiderL_Character_BP_Berserk_S_C" 500 0 0 35</v>
      </c>
      <c r="M248" s="13" t="str">
        <f t="shared" si="28"/>
        <v>NPCReplacements=(FromClassName="SpiderL_Character_BP_Berserk_S_C",ToClassName="")</v>
      </c>
      <c r="N248" s="2"/>
    </row>
    <row r="249">
      <c r="A249" s="2"/>
      <c r="B249" s="7"/>
      <c r="C249" s="4"/>
      <c r="D249" s="8" t="s">
        <v>754</v>
      </c>
      <c r="E249" s="9"/>
      <c r="F249" s="10"/>
      <c r="G249" s="9"/>
      <c r="H249" s="9" t="s">
        <v>755</v>
      </c>
      <c r="I249" s="10" t="str">
        <f t="shared" si="25"/>
        <v>cheat summon Berserk_LanternPug_Character_BP_S_C</v>
      </c>
      <c r="J249" s="10" t="str">
        <f t="shared" si="26"/>
        <v>admincheat GMSummon "Berserk_LanternPug_Character_BP_S_C" 225</v>
      </c>
      <c r="K249" s="9" t="s">
        <v>756</v>
      </c>
      <c r="L249" s="9" t="str">
        <f t="shared" si="27"/>
        <v>cheat spawndino "/ArkSupreme/Content/SupremeDinos/4Berserk/Bulbdog/Berserk_LanternPug_Character_BP_S_C" 500 0 0 35</v>
      </c>
      <c r="M249" s="10" t="str">
        <f t="shared" si="28"/>
        <v>NPCReplacements=(FromClassName="Berserk_LanternPug_Character_BP_S_C",ToClassName="")</v>
      </c>
      <c r="N249" s="2"/>
    </row>
    <row r="250">
      <c r="A250" s="2"/>
      <c r="B250" s="7"/>
      <c r="C250" s="4"/>
      <c r="D250" s="11" t="s">
        <v>757</v>
      </c>
      <c r="E250" s="12"/>
      <c r="F250" s="13"/>
      <c r="G250" s="12"/>
      <c r="H250" s="12" t="s">
        <v>758</v>
      </c>
      <c r="I250" s="13" t="str">
        <f t="shared" si="25"/>
        <v>cheat summon BerserkCarcha_Character_BP_S_C</v>
      </c>
      <c r="J250" s="13" t="str">
        <f t="shared" si="26"/>
        <v>admincheat GMSummon "BerserkCarcha_Character_BP_S_C" 225</v>
      </c>
      <c r="K250" s="12" t="s">
        <v>759</v>
      </c>
      <c r="L250" s="12" t="str">
        <f t="shared" si="27"/>
        <v>cheat spawndino "/ArkSupreme/Content/SupremeDinos/4Berserk/Carcha/BerserkCarcha_Character_BP_S_C" 500 0 0 35</v>
      </c>
      <c r="M250" s="13" t="str">
        <f t="shared" si="28"/>
        <v>NPCReplacements=(FromClassName="BerserkCarcha_Character_BP_S_C",ToClassName="")</v>
      </c>
      <c r="N250" s="2"/>
    </row>
    <row r="251">
      <c r="A251" s="2"/>
      <c r="B251" s="7"/>
      <c r="C251" s="4"/>
      <c r="D251" s="8" t="s">
        <v>760</v>
      </c>
      <c r="E251" s="9"/>
      <c r="F251" s="10"/>
      <c r="G251" s="9"/>
      <c r="H251" s="9" t="s">
        <v>761</v>
      </c>
      <c r="I251" s="10" t="str">
        <f t="shared" si="25"/>
        <v>cheat summon BerserkCarno_Character_BP_S_C</v>
      </c>
      <c r="J251" s="10" t="str">
        <f t="shared" si="26"/>
        <v>admincheat GMSummon "BerserkCarno_Character_BP_S_C" 225</v>
      </c>
      <c r="K251" s="9" t="s">
        <v>762</v>
      </c>
      <c r="L251" s="9" t="str">
        <f t="shared" si="27"/>
        <v>cheat spawndino "/ArkSupreme/Content/SupremeDinos/4Berserk/Carno/BerserkCarno_Character_BP_S_C" 500 0 0 35</v>
      </c>
      <c r="M251" s="10" t="str">
        <f t="shared" si="28"/>
        <v>NPCReplacements=(FromClassName="BerserkCarno_Character_BP_S_C",ToClassName="")</v>
      </c>
      <c r="N251" s="2"/>
    </row>
    <row r="252">
      <c r="A252" s="2"/>
      <c r="B252" s="7"/>
      <c r="C252" s="4"/>
      <c r="D252" s="11" t="s">
        <v>763</v>
      </c>
      <c r="E252" s="12"/>
      <c r="F252" s="13"/>
      <c r="G252" s="12"/>
      <c r="H252" s="12" t="s">
        <v>764</v>
      </c>
      <c r="I252" s="13" t="str">
        <f t="shared" si="25"/>
        <v>cheat summon BerserkBeaver_Character_BP_S_C</v>
      </c>
      <c r="J252" s="13" t="str">
        <f t="shared" si="26"/>
        <v>admincheat GMSummon "BerserkBeaver_Character_BP_S_C" 225</v>
      </c>
      <c r="K252" s="12" t="s">
        <v>765</v>
      </c>
      <c r="L252" s="12" t="str">
        <f t="shared" si="27"/>
        <v>cheat spawndino "/ArkSupreme/Content/SupremeDinos/4Berserk/Castoroides/BerserkBeaver_Character_BP_S_C" 500 0 0 35</v>
      </c>
      <c r="M252" s="13" t="str">
        <f t="shared" si="28"/>
        <v>NPCReplacements=(FromClassName="BerserkBeaver_Character_BP_S_C",ToClassName="")</v>
      </c>
      <c r="N252" s="2"/>
    </row>
    <row r="253">
      <c r="A253" s="2"/>
      <c r="B253" s="7"/>
      <c r="C253" s="4"/>
      <c r="D253" s="8" t="s">
        <v>766</v>
      </c>
      <c r="E253" s="9"/>
      <c r="F253" s="10"/>
      <c r="G253" s="9"/>
      <c r="H253" s="9" t="s">
        <v>767</v>
      </c>
      <c r="I253" s="10" t="str">
        <f t="shared" si="25"/>
        <v>cheat summon BerserkChalico_Character_BP_S_C</v>
      </c>
      <c r="J253" s="10" t="str">
        <f t="shared" si="26"/>
        <v>admincheat GMSummon "BerserkChalico_Character_BP_S_C" 225</v>
      </c>
      <c r="K253" s="9" t="s">
        <v>768</v>
      </c>
      <c r="L253" s="9" t="str">
        <f t="shared" si="27"/>
        <v>cheat spawndino "/ArkSupreme/Content/SupremeDinos/4Berserk/Chalicotherium/BerserkChalico_Character_BP_S_C" 500 0 0 35</v>
      </c>
      <c r="M253" s="10" t="str">
        <f t="shared" si="28"/>
        <v>NPCReplacements=(FromClassName="BerserkChalico_Character_BP_S_C",ToClassName="")</v>
      </c>
      <c r="N253" s="2"/>
    </row>
    <row r="254">
      <c r="A254" s="2"/>
      <c r="B254" s="7"/>
      <c r="C254" s="4"/>
      <c r="D254" s="11" t="s">
        <v>769</v>
      </c>
      <c r="E254" s="12"/>
      <c r="F254" s="13"/>
      <c r="G254" s="12"/>
      <c r="H254" s="12" t="s">
        <v>770</v>
      </c>
      <c r="I254" s="13" t="str">
        <f t="shared" si="25"/>
        <v>cheat summon BerserkCompy_Character_BP_S_C</v>
      </c>
      <c r="J254" s="13" t="str">
        <f t="shared" si="26"/>
        <v>admincheat GMSummon "BerserkCompy_Character_BP_S_C" 225</v>
      </c>
      <c r="K254" s="12" t="s">
        <v>771</v>
      </c>
      <c r="L254" s="12" t="str">
        <f t="shared" si="27"/>
        <v>cheat spawndino "/ArkSupreme/Content/SupremeDinos/4Berserk/Compy/BerserkCompy_Character_BP_S_C" 500 0 0 35</v>
      </c>
      <c r="M254" s="13" t="str">
        <f t="shared" si="28"/>
        <v>NPCReplacements=(FromClassName="BerserkCompy_Character_BP_S_C",ToClassName="")</v>
      </c>
      <c r="N254" s="2"/>
    </row>
    <row r="255">
      <c r="A255" s="2"/>
      <c r="B255" s="7"/>
      <c r="C255" s="4"/>
      <c r="D255" s="8" t="s">
        <v>772</v>
      </c>
      <c r="E255" s="9"/>
      <c r="F255" s="10"/>
      <c r="G255" s="9"/>
      <c r="H255" s="9" t="s">
        <v>773</v>
      </c>
      <c r="I255" s="10" t="str">
        <f t="shared" si="25"/>
        <v>cheat summon BerserkDaeodon_Character_BP_S_C</v>
      </c>
      <c r="J255" s="10" t="str">
        <f t="shared" si="26"/>
        <v>admincheat GMSummon "BerserkDaeodon_Character_BP_S_C" 225</v>
      </c>
      <c r="K255" s="9" t="s">
        <v>774</v>
      </c>
      <c r="L255" s="9" t="str">
        <f t="shared" si="27"/>
        <v>cheat spawndino "/ArkSupreme/Content/SupremeDinos/4Berserk/Daeodon/BerserkDaeodon_Character_BP_S_C" 500 0 0 35</v>
      </c>
      <c r="M255" s="10" t="str">
        <f t="shared" si="28"/>
        <v>NPCReplacements=(FromClassName="BerserkDaeodon_Character_BP_S_C",ToClassName="")</v>
      </c>
      <c r="N255" s="2"/>
    </row>
    <row r="256">
      <c r="A256" s="2"/>
      <c r="B256" s="7"/>
      <c r="C256" s="4"/>
      <c r="D256" s="11" t="s">
        <v>775</v>
      </c>
      <c r="E256" s="12"/>
      <c r="F256" s="13"/>
      <c r="G256" s="12"/>
      <c r="H256" s="12" t="s">
        <v>776</v>
      </c>
      <c r="I256" s="13" t="str">
        <f t="shared" si="25"/>
        <v>cheat summon Defender_Character_BP_Berserk_S_C</v>
      </c>
      <c r="J256" s="13" t="str">
        <f t="shared" si="26"/>
        <v>admincheat GMSummon "Defender_Character_BP_Berserk_S_C" 225</v>
      </c>
      <c r="K256" s="12" t="s">
        <v>777</v>
      </c>
      <c r="L256" s="12" t="str">
        <f t="shared" si="27"/>
        <v>cheat spawndino "/ArkSupreme/Content/SupremeDinos/4Berserk/DefenseUnit/Defender_Character_BP_Berserk_S_C" 500 0 0 35</v>
      </c>
      <c r="M256" s="13" t="str">
        <f t="shared" si="28"/>
        <v>NPCReplacements=(FromClassName="Defender_Character_BP_Berserk_S_C",ToClassName="")</v>
      </c>
      <c r="N256" s="2"/>
    </row>
    <row r="257">
      <c r="A257" s="2"/>
      <c r="B257" s="7"/>
      <c r="C257" s="4"/>
      <c r="D257" s="8" t="s">
        <v>778</v>
      </c>
      <c r="E257" s="9"/>
      <c r="F257" s="10"/>
      <c r="G257" s="9"/>
      <c r="H257" s="9" t="s">
        <v>779</v>
      </c>
      <c r="I257" s="10" t="str">
        <f t="shared" si="25"/>
        <v>cheat summon BerserkDilo_Character_BP_S_C</v>
      </c>
      <c r="J257" s="10" t="str">
        <f t="shared" si="26"/>
        <v>admincheat GMSummon "BerserkDilo_Character_BP_S_C" 225</v>
      </c>
      <c r="K257" s="9" t="s">
        <v>780</v>
      </c>
      <c r="L257" s="9" t="str">
        <f t="shared" si="27"/>
        <v>cheat spawndino "/ArkSupreme/Content/SupremeDinos/4Berserk/Dilo/BerserkDilo_Character_BP_S_C" 500 0 0 35</v>
      </c>
      <c r="M257" s="10" t="str">
        <f t="shared" si="28"/>
        <v>NPCReplacements=(FromClassName="BerserkDilo_Character_BP_S_C",ToClassName="")</v>
      </c>
      <c r="N257" s="2"/>
    </row>
    <row r="258">
      <c r="A258" s="2"/>
      <c r="B258" s="7"/>
      <c r="C258" s="4"/>
      <c r="D258" s="11" t="s">
        <v>781</v>
      </c>
      <c r="E258" s="12"/>
      <c r="F258" s="13"/>
      <c r="G258" s="12"/>
      <c r="H258" s="12" t="s">
        <v>782</v>
      </c>
      <c r="I258" s="13" t="str">
        <f t="shared" si="25"/>
        <v>cheat summon BerserkDimetro_Character_BP_S_C</v>
      </c>
      <c r="J258" s="13" t="str">
        <f t="shared" si="26"/>
        <v>admincheat GMSummon "BerserkDimetro_Character_BP_S_C" 225</v>
      </c>
      <c r="K258" s="12" t="s">
        <v>783</v>
      </c>
      <c r="L258" s="12" t="str">
        <f t="shared" si="27"/>
        <v>cheat spawndino "/ArkSupreme/Content/SupremeDinos/4Berserk/Dimetrodon/BerserkDimetro_Character_BP_S_C" 500 0 0 35</v>
      </c>
      <c r="M258" s="13" t="str">
        <f t="shared" si="28"/>
        <v>NPCReplacements=(FromClassName="BerserkDimetro_Character_BP_S_C",ToClassName="")</v>
      </c>
      <c r="N258" s="2"/>
    </row>
    <row r="259">
      <c r="A259" s="2"/>
      <c r="B259" s="7"/>
      <c r="C259" s="4"/>
      <c r="D259" s="8" t="s">
        <v>784</v>
      </c>
      <c r="E259" s="9"/>
      <c r="F259" s="10"/>
      <c r="G259" s="9"/>
      <c r="H259" s="9" t="s">
        <v>785</v>
      </c>
      <c r="I259" s="10" t="str">
        <f t="shared" si="25"/>
        <v>cheat summon BerserkDimorph_Character_BP_S_C</v>
      </c>
      <c r="J259" s="10" t="str">
        <f t="shared" si="26"/>
        <v>admincheat GMSummon "BerserkDimorph_Character_BP_S_C" 225</v>
      </c>
      <c r="K259" s="9" t="s">
        <v>786</v>
      </c>
      <c r="L259" s="9" t="str">
        <f t="shared" si="27"/>
        <v>cheat spawndino "/ArkSupreme/Content/SupremeDinos/4Berserk/Dimorphodon/BerserkDimorph_Character_BP_S_C" 500 0 0 35</v>
      </c>
      <c r="M259" s="10" t="str">
        <f t="shared" si="28"/>
        <v>NPCReplacements=(FromClassName="BerserkDimorph_Character_BP_S_C",ToClassName="")</v>
      </c>
      <c r="N259" s="2"/>
    </row>
    <row r="260">
      <c r="A260" s="2"/>
      <c r="B260" s="7"/>
      <c r="C260" s="4"/>
      <c r="D260" s="11" t="s">
        <v>787</v>
      </c>
      <c r="E260" s="12"/>
      <c r="F260" s="13"/>
      <c r="G260" s="12"/>
      <c r="H260" s="12" t="s">
        <v>788</v>
      </c>
      <c r="I260" s="13" t="str">
        <f t="shared" si="25"/>
        <v>cheat summon BerserkDiplodocus_Character_BP_S_C</v>
      </c>
      <c r="J260" s="13" t="str">
        <f t="shared" si="26"/>
        <v>admincheat GMSummon "BerserkDiplodocus_Character_BP_S_C" 225</v>
      </c>
      <c r="K260" s="12" t="s">
        <v>789</v>
      </c>
      <c r="L260" s="12" t="str">
        <f t="shared" si="27"/>
        <v>cheat spawndino "/ArkSupreme/Content/SupremeDinos/4Berserk/Diplodocus/BerserkDiplodocus_Character_BP_S_C" 500 0 0 35</v>
      </c>
      <c r="M260" s="13" t="str">
        <f t="shared" si="28"/>
        <v>NPCReplacements=(FromClassName="BerserkDiplodocus_Character_BP_S_C",ToClassName="")</v>
      </c>
      <c r="N260" s="2"/>
    </row>
    <row r="261">
      <c r="A261" s="2"/>
      <c r="B261" s="7"/>
      <c r="C261" s="4"/>
      <c r="D261" s="8" t="s">
        <v>790</v>
      </c>
      <c r="E261" s="9"/>
      <c r="F261" s="10"/>
      <c r="G261" s="9"/>
      <c r="H261" s="9" t="s">
        <v>791</v>
      </c>
      <c r="I261" s="10" t="str">
        <f t="shared" si="25"/>
        <v>cheat summon BerserkDirebear_Character_BP_S_C</v>
      </c>
      <c r="J261" s="10" t="str">
        <f t="shared" si="26"/>
        <v>admincheat GMSummon "BerserkDirebear_Character_BP_S_C" 225</v>
      </c>
      <c r="K261" s="9" t="s">
        <v>792</v>
      </c>
      <c r="L261" s="9" t="str">
        <f t="shared" si="27"/>
        <v>cheat spawndino "/ArkSupreme/Content/SupremeDinos/4Berserk/Direbear/BerserkDirebear_Character_BP_S_C" 500 0 0 35</v>
      </c>
      <c r="M261" s="10" t="str">
        <f t="shared" si="28"/>
        <v>NPCReplacements=(FromClassName="BerserkDirebear_Character_BP_S_C",ToClassName="")</v>
      </c>
      <c r="N261" s="2"/>
    </row>
    <row r="262">
      <c r="A262" s="2"/>
      <c r="B262" s="7"/>
      <c r="C262" s="4"/>
      <c r="D262" s="11" t="s">
        <v>793</v>
      </c>
      <c r="E262" s="12"/>
      <c r="F262" s="13"/>
      <c r="G262" s="12"/>
      <c r="H262" s="12" t="s">
        <v>794</v>
      </c>
      <c r="I262" s="13" t="str">
        <f t="shared" si="25"/>
        <v>cheat summon BerserkDirewolf_Character_BP_S_C</v>
      </c>
      <c r="J262" s="13" t="str">
        <f t="shared" si="26"/>
        <v>admincheat GMSummon "BerserkDirewolf_Character_BP_S_C" 225</v>
      </c>
      <c r="K262" s="12" t="s">
        <v>795</v>
      </c>
      <c r="L262" s="12" t="str">
        <f t="shared" si="27"/>
        <v>cheat spawndino "/ArkSupreme/Content/SupremeDinos/4Berserk/Direwolf/BerserkDirewolf_Character_BP_S_C" 500 0 0 35</v>
      </c>
      <c r="M262" s="13" t="str">
        <f t="shared" si="28"/>
        <v>NPCReplacements=(FromClassName="BerserkDirewolf_Character_BP_S_C",ToClassName="")</v>
      </c>
      <c r="N262" s="2"/>
    </row>
    <row r="263">
      <c r="A263" s="2"/>
      <c r="B263" s="7"/>
      <c r="C263" s="4"/>
      <c r="D263" s="8" t="s">
        <v>796</v>
      </c>
      <c r="E263" s="9"/>
      <c r="F263" s="10"/>
      <c r="G263" s="9"/>
      <c r="H263" s="9" t="s">
        <v>797</v>
      </c>
      <c r="I263" s="10" t="str">
        <f t="shared" si="25"/>
        <v>cheat summon BerserkDodo_Character_BP_S_C</v>
      </c>
      <c r="J263" s="10" t="str">
        <f t="shared" si="26"/>
        <v>admincheat GMSummon "BerserkDodo_Character_BP_S_C" 225</v>
      </c>
      <c r="K263" s="9" t="s">
        <v>798</v>
      </c>
      <c r="L263" s="9" t="str">
        <f t="shared" si="27"/>
        <v>cheat spawndino "/ArkSupreme/Content/SupremeDinos/4Berserk/Dodo/BerserkDodo_Character_BP_S_C" 500 0 0 35</v>
      </c>
      <c r="M263" s="10" t="str">
        <f t="shared" si="28"/>
        <v>NPCReplacements=(FromClassName="BerserkDodo_Character_BP_S_C",ToClassName="")</v>
      </c>
      <c r="N263" s="2"/>
    </row>
    <row r="264">
      <c r="A264" s="2"/>
      <c r="B264" s="7"/>
      <c r="C264" s="4"/>
      <c r="D264" s="11" t="s">
        <v>799</v>
      </c>
      <c r="E264" s="12"/>
      <c r="F264" s="13"/>
      <c r="G264" s="12"/>
      <c r="H264" s="12" t="s">
        <v>800</v>
      </c>
      <c r="I264" s="13" t="str">
        <f t="shared" si="25"/>
        <v>cheat summon DodoRex_Character_BP_Berserk_S_C</v>
      </c>
      <c r="J264" s="13" t="str">
        <f t="shared" si="26"/>
        <v>admincheat GMSummon "DodoRex_Character_BP_Berserk_S_C" 225</v>
      </c>
      <c r="K264" s="12" t="s">
        <v>801</v>
      </c>
      <c r="L264" s="12" t="str">
        <f t="shared" si="27"/>
        <v>cheat spawndino "/ArkSupreme/Content/SupremeDinos/4Berserk/Dodorex/DodoRex_Character_BP_Berserk_S_C" 500 0 0 35</v>
      </c>
      <c r="M264" s="13" t="str">
        <f t="shared" si="28"/>
        <v>NPCReplacements=(FromClassName="DodoRex_Character_BP_Berserk_S_C",ToClassName="")</v>
      </c>
      <c r="N264" s="2"/>
    </row>
    <row r="265">
      <c r="A265" s="2"/>
      <c r="B265" s="7"/>
      <c r="C265" s="4"/>
      <c r="D265" s="8" t="s">
        <v>802</v>
      </c>
      <c r="E265" s="9"/>
      <c r="F265" s="10"/>
      <c r="G265" s="9"/>
      <c r="H265" s="9" t="s">
        <v>803</v>
      </c>
      <c r="I265" s="10" t="str">
        <f t="shared" si="25"/>
        <v>cheat summon DodoWyvern_Character_BP_Berserk_S_C</v>
      </c>
      <c r="J265" s="10" t="str">
        <f t="shared" si="26"/>
        <v>admincheat GMSummon "DodoWyvern_Character_BP_Berserk_S_C" 225</v>
      </c>
      <c r="K265" s="9" t="s">
        <v>804</v>
      </c>
      <c r="L265" s="9" t="str">
        <f t="shared" si="27"/>
        <v>cheat spawndino "/ArkSupreme/Content/SupremeDinos/4Berserk/Dodowvyern/DodoWyvern_Character_BP_Berserk_S_C" 500 0 0 35</v>
      </c>
      <c r="M265" s="10" t="str">
        <f t="shared" si="28"/>
        <v>NPCReplacements=(FromClassName="DodoWyvern_Character_BP_Berserk_S_C",ToClassName="")</v>
      </c>
      <c r="N265" s="2"/>
    </row>
    <row r="266">
      <c r="A266" s="2"/>
      <c r="B266" s="7"/>
      <c r="C266" s="4"/>
      <c r="D266" s="11" t="s">
        <v>805</v>
      </c>
      <c r="E266" s="12"/>
      <c r="F266" s="13"/>
      <c r="G266" s="12"/>
      <c r="H266" s="12" t="s">
        <v>806</v>
      </c>
      <c r="I266" s="13" t="str">
        <f t="shared" si="25"/>
        <v>cheat summon BerserkDoed_Character_BP_S_C</v>
      </c>
      <c r="J266" s="13" t="str">
        <f t="shared" si="26"/>
        <v>admincheat GMSummon "BerserkDoed_Character_BP_S_C" 225</v>
      </c>
      <c r="K266" s="12" t="s">
        <v>807</v>
      </c>
      <c r="L266" s="12" t="str">
        <f t="shared" si="27"/>
        <v>cheat spawndino "/ArkSupreme/Content/SupremeDinos/4Berserk/Doedicurus/BerserkDoed_Character_BP_S_C" 500 0 0 35</v>
      </c>
      <c r="M266" s="13" t="str">
        <f t="shared" si="28"/>
        <v>NPCReplacements=(FromClassName="BerserkDoed_Character_BP_S_C",ToClassName="")</v>
      </c>
      <c r="N266" s="2"/>
    </row>
    <row r="267">
      <c r="A267" s="2"/>
      <c r="B267" s="7"/>
      <c r="C267" s="4"/>
      <c r="D267" s="8" t="s">
        <v>808</v>
      </c>
      <c r="E267" s="9"/>
      <c r="F267" s="10"/>
      <c r="G267" s="9"/>
      <c r="H267" s="9" t="s">
        <v>809</v>
      </c>
      <c r="I267" s="10" t="str">
        <f t="shared" si="25"/>
        <v>cheat summon BerserkDragonfly_Character_BP_S_C</v>
      </c>
      <c r="J267" s="10" t="str">
        <f t="shared" si="26"/>
        <v>admincheat GMSummon "BerserkDragonfly_Character_BP_S_C" 225</v>
      </c>
      <c r="K267" s="9" t="s">
        <v>810</v>
      </c>
      <c r="L267" s="9" t="str">
        <f t="shared" si="27"/>
        <v>cheat spawndino "/ArkSupreme/Content/SupremeDinos/4Berserk/Dragonfly/BerserkDragonfly_Character_BP_S_C" 500 0 0 35</v>
      </c>
      <c r="M267" s="10" t="str">
        <f t="shared" si="28"/>
        <v>NPCReplacements=(FromClassName="BerserkDragonfly_Character_BP_S_C",ToClassName="")</v>
      </c>
      <c r="N267" s="2"/>
    </row>
    <row r="268">
      <c r="A268" s="2"/>
      <c r="B268" s="7"/>
      <c r="C268" s="4"/>
      <c r="D268" s="11" t="s">
        <v>811</v>
      </c>
      <c r="E268" s="12"/>
      <c r="F268" s="13"/>
      <c r="G268" s="12"/>
      <c r="H268" s="12" t="s">
        <v>812</v>
      </c>
      <c r="I268" s="13" t="str">
        <f t="shared" si="25"/>
        <v>cheat summon BerserkDungBeetle_Character_BP_S_C</v>
      </c>
      <c r="J268" s="13" t="str">
        <f t="shared" si="26"/>
        <v>admincheat GMSummon "BerserkDungBeetle_Character_BP_S_C" 225</v>
      </c>
      <c r="K268" s="12" t="s">
        <v>813</v>
      </c>
      <c r="L268" s="12" t="str">
        <f t="shared" si="27"/>
        <v>cheat spawndino "/ArkSupreme/Content/SupremeDinos/4Berserk/Dungbeetle/BerserkDungBeetle_Character_BP_S_C" 500 0 0 35</v>
      </c>
      <c r="M268" s="13" t="str">
        <f t="shared" si="28"/>
        <v>NPCReplacements=(FromClassName="BerserkDungBeetle_Character_BP_S_C",ToClassName="")</v>
      </c>
      <c r="N268" s="2"/>
    </row>
    <row r="269">
      <c r="A269" s="2"/>
      <c r="B269" s="7"/>
      <c r="C269" s="4"/>
      <c r="D269" s="8" t="s">
        <v>814</v>
      </c>
      <c r="E269" s="9"/>
      <c r="F269" s="10"/>
      <c r="G269" s="9"/>
      <c r="H269" s="9" t="s">
        <v>815</v>
      </c>
      <c r="I269" s="10" t="str">
        <f t="shared" si="25"/>
        <v>cheat summon Enforcer_Character_BP_Berserk_S_C</v>
      </c>
      <c r="J269" s="10" t="str">
        <f t="shared" si="26"/>
        <v>admincheat GMSummon "Enforcer_Character_BP_Berserk_S_C" 225</v>
      </c>
      <c r="K269" s="9" t="s">
        <v>816</v>
      </c>
      <c r="L269" s="9" t="str">
        <f t="shared" si="27"/>
        <v>cheat spawndino "/ArkSupreme/Content/SupremeDinos/4Berserk/Enforcer/Enforcer_Character_BP_Berserk_S_C" 500 0 0 35</v>
      </c>
      <c r="M269" s="10" t="str">
        <f t="shared" si="28"/>
        <v>NPCReplacements=(FromClassName="Enforcer_Character_BP_Berserk_S_C",ToClassName="")</v>
      </c>
      <c r="N269" s="2"/>
    </row>
    <row r="270">
      <c r="A270" s="2"/>
      <c r="B270" s="7"/>
      <c r="C270" s="4"/>
      <c r="D270" s="11" t="s">
        <v>817</v>
      </c>
      <c r="E270" s="12"/>
      <c r="F270" s="13"/>
      <c r="G270" s="12"/>
      <c r="H270" s="12" t="s">
        <v>818</v>
      </c>
      <c r="I270" s="13" t="str">
        <f t="shared" si="25"/>
        <v>cheat summon BerserkEquus_Character_BP_S_C</v>
      </c>
      <c r="J270" s="13" t="str">
        <f t="shared" si="26"/>
        <v>admincheat GMSummon "BerserkEquus_Character_BP_S_C" 225</v>
      </c>
      <c r="K270" s="12" t="s">
        <v>819</v>
      </c>
      <c r="L270" s="12" t="str">
        <f t="shared" si="27"/>
        <v>cheat spawndino "/ArkSupreme/Content/SupremeDinos/4Berserk/Equus/BerserkEquus_Character_BP_S_C" 500 0 0 35</v>
      </c>
      <c r="M270" s="13" t="str">
        <f t="shared" si="28"/>
        <v>NPCReplacements=(FromClassName="BerserkEquus_Character_BP_S_C",ToClassName="")</v>
      </c>
      <c r="N270" s="2"/>
    </row>
    <row r="271">
      <c r="A271" s="2"/>
      <c r="B271" s="7"/>
      <c r="C271" s="4"/>
      <c r="D271" s="8" t="s">
        <v>820</v>
      </c>
      <c r="E271" s="9"/>
      <c r="F271" s="10"/>
      <c r="G271" s="9"/>
      <c r="H271" s="9" t="s">
        <v>821</v>
      </c>
      <c r="I271" s="10" t="str">
        <f t="shared" si="25"/>
        <v>cheat summon LanternBird_Character_BP_Berserk_S_C</v>
      </c>
      <c r="J271" s="10" t="str">
        <f t="shared" si="26"/>
        <v>admincheat GMSummon "LanternBird_Character_BP_Berserk_S_C" 225</v>
      </c>
      <c r="K271" s="9" t="s">
        <v>822</v>
      </c>
      <c r="L271" s="9" t="str">
        <f t="shared" si="27"/>
        <v>cheat spawndino "/ArkSupreme/Content/SupremeDinos/4Berserk/Featherlight/LanternBird_Character_BP_Berserk_S_C" 500 0 0 35</v>
      </c>
      <c r="M271" s="10" t="str">
        <f t="shared" si="28"/>
        <v>NPCReplacements=(FromClassName="LanternBird_Character_BP_Berserk_S_C",ToClassName="")</v>
      </c>
      <c r="N271" s="2"/>
    </row>
    <row r="272">
      <c r="A272" s="2"/>
      <c r="B272" s="7"/>
      <c r="C272" s="4"/>
      <c r="D272" s="11" t="s">
        <v>823</v>
      </c>
      <c r="E272" s="12"/>
      <c r="F272" s="13"/>
      <c r="G272" s="12"/>
      <c r="H272" s="12" t="s">
        <v>824</v>
      </c>
      <c r="I272" s="13" t="str">
        <f t="shared" si="25"/>
        <v>cheat summon BerserkToad_Character_BP_S_C</v>
      </c>
      <c r="J272" s="13" t="str">
        <f t="shared" si="26"/>
        <v>admincheat GMSummon "BerserkToad_Character_BP_S_C" 225</v>
      </c>
      <c r="K272" s="12" t="s">
        <v>825</v>
      </c>
      <c r="L272" s="12" t="str">
        <f t="shared" si="27"/>
        <v>cheat spawndino "/ArkSupreme/Content/SupremeDinos/4Berserk/Frog/BerserkToad_Character_BP_S_C" 500 0 0 35</v>
      </c>
      <c r="M272" s="13" t="str">
        <f t="shared" si="28"/>
        <v>NPCReplacements=(FromClassName="BerserkToad_Character_BP_S_C",ToClassName="")</v>
      </c>
      <c r="N272" s="2"/>
    </row>
    <row r="273">
      <c r="A273" s="2"/>
      <c r="B273" s="7"/>
      <c r="C273" s="4"/>
      <c r="D273" s="8" t="s">
        <v>826</v>
      </c>
      <c r="E273" s="9"/>
      <c r="F273" s="10"/>
      <c r="G273" s="9"/>
      <c r="H273" s="9" t="s">
        <v>827</v>
      </c>
      <c r="I273" s="10" t="str">
        <f t="shared" si="25"/>
        <v>cheat summon Gacha_Character_BP_Berserk_S_C</v>
      </c>
      <c r="J273" s="10" t="str">
        <f t="shared" si="26"/>
        <v>admincheat GMSummon "Gacha_Character_BP_Berserk_S_C" 225</v>
      </c>
      <c r="K273" s="9" t="s">
        <v>828</v>
      </c>
      <c r="L273" s="9" t="str">
        <f t="shared" si="27"/>
        <v>cheat spawndino "/ArkSupreme/Content/SupremeDinos/4Berserk/Gacha/Gacha_Character_BP_Berserk_S_C" 500 0 0 35</v>
      </c>
      <c r="M273" s="10" t="str">
        <f t="shared" si="28"/>
        <v>NPCReplacements=(FromClassName="Gacha_Character_BP_Berserk_S_C",ToClassName="")</v>
      </c>
      <c r="N273" s="2"/>
    </row>
    <row r="274">
      <c r="A274" s="2"/>
      <c r="B274" s="7"/>
      <c r="C274" s="4"/>
      <c r="D274" s="11" t="s">
        <v>829</v>
      </c>
      <c r="E274" s="12"/>
      <c r="F274" s="13"/>
      <c r="G274" s="12"/>
      <c r="H274" s="12" t="s">
        <v>830</v>
      </c>
      <c r="I274" s="13" t="str">
        <f t="shared" si="25"/>
        <v>cheat summon BerserkGalli_Character_BP_S_C</v>
      </c>
      <c r="J274" s="13" t="str">
        <f t="shared" si="26"/>
        <v>admincheat GMSummon "BerserkGalli_Character_BP_S_C" 225</v>
      </c>
      <c r="K274" s="12" t="s">
        <v>831</v>
      </c>
      <c r="L274" s="12" t="str">
        <f t="shared" si="27"/>
        <v>cheat spawndino "/ArkSupreme/Content/SupremeDinos/4Berserk/Gallimimus/BerserkGalli_Character_BP_S_C" 500 0 0 35</v>
      </c>
      <c r="M274" s="13" t="str">
        <f t="shared" si="28"/>
        <v>NPCReplacements=(FromClassName="BerserkGalli_Character_BP_S_C",ToClassName="")</v>
      </c>
      <c r="N274" s="2"/>
    </row>
    <row r="275">
      <c r="A275" s="2"/>
      <c r="B275" s="7"/>
      <c r="C275" s="4"/>
      <c r="D275" s="8" t="s">
        <v>832</v>
      </c>
      <c r="E275" s="9"/>
      <c r="F275" s="10"/>
      <c r="G275" s="9"/>
      <c r="H275" s="9" t="s">
        <v>833</v>
      </c>
      <c r="I275" s="10" t="str">
        <f t="shared" si="25"/>
        <v>cheat summon GasBags_Character_BP_Berserk_S_C</v>
      </c>
      <c r="J275" s="10" t="str">
        <f t="shared" si="26"/>
        <v>admincheat GMSummon "GasBags_Character_BP_Berserk_S_C" 225</v>
      </c>
      <c r="K275" s="9" t="s">
        <v>834</v>
      </c>
      <c r="L275" s="9" t="str">
        <f t="shared" si="27"/>
        <v>cheat spawndino "/ArkSupreme/Content/SupremeDinos/4Berserk/Gasbag/GasBags_Character_BP_Berserk_S_C" 500 0 0 35</v>
      </c>
      <c r="M275" s="10" t="str">
        <f t="shared" si="28"/>
        <v>NPCReplacements=(FromClassName="GasBags_Character_BP_Berserk_S_C",ToClassName="")</v>
      </c>
      <c r="N275" s="2"/>
    </row>
    <row r="276">
      <c r="A276" s="2"/>
      <c r="B276" s="7"/>
      <c r="C276" s="4"/>
      <c r="D276" s="11" t="s">
        <v>835</v>
      </c>
      <c r="E276" s="12"/>
      <c r="F276" s="13"/>
      <c r="G276" s="12"/>
      <c r="H276" s="12" t="s">
        <v>836</v>
      </c>
      <c r="I276" s="13" t="str">
        <f t="shared" si="25"/>
        <v>cheat summon BerserkGigant_Character_BP_S_C</v>
      </c>
      <c r="J276" s="13" t="str">
        <f t="shared" si="26"/>
        <v>admincheat GMSummon "BerserkGigant_Character_BP_S_C" 225</v>
      </c>
      <c r="K276" s="12" t="s">
        <v>837</v>
      </c>
      <c r="L276" s="12" t="str">
        <f t="shared" si="27"/>
        <v>cheat spawndino "/ArkSupreme/Content/SupremeDinos/4Berserk/Giga/BerserkGigant_Character_BP_S_C" 500 0 0 35</v>
      </c>
      <c r="M276" s="13" t="str">
        <f t="shared" si="28"/>
        <v>NPCReplacements=(FromClassName="BerserkGigant_Character_BP_S_C",ToClassName="")</v>
      </c>
      <c r="N276" s="2"/>
    </row>
    <row r="277">
      <c r="A277" s="2"/>
      <c r="B277" s="7"/>
      <c r="C277" s="4"/>
      <c r="D277" s="8" t="s">
        <v>838</v>
      </c>
      <c r="E277" s="9"/>
      <c r="F277" s="10"/>
      <c r="G277" s="9"/>
      <c r="H277" s="9" t="s">
        <v>839</v>
      </c>
      <c r="I277" s="10" t="str">
        <f t="shared" si="25"/>
        <v>cheat summon BerserkBigfoot_Character_BP_S_C</v>
      </c>
      <c r="J277" s="10" t="str">
        <f t="shared" si="26"/>
        <v>admincheat GMSummon "BerserkBigfoot_Character_BP_S_C" 225</v>
      </c>
      <c r="K277" s="9" t="s">
        <v>840</v>
      </c>
      <c r="L277" s="9" t="str">
        <f t="shared" si="27"/>
        <v>cheat spawndino "/ArkSupreme/Content/SupremeDinos/4Berserk/Gigantopithecus/BerserkBigfoot_Character_BP_S_C" 500 0 0 35</v>
      </c>
      <c r="M277" s="10" t="str">
        <f t="shared" si="28"/>
        <v>NPCReplacements=(FromClassName="BerserkBigfoot_Character_BP_S_C",ToClassName="")</v>
      </c>
      <c r="N277" s="2"/>
    </row>
    <row r="278">
      <c r="A278" s="2"/>
      <c r="B278" s="7"/>
      <c r="C278" s="4"/>
      <c r="D278" s="11" t="s">
        <v>841</v>
      </c>
      <c r="E278" s="12"/>
      <c r="F278" s="13"/>
      <c r="G278" s="12"/>
      <c r="H278" s="12" t="s">
        <v>842</v>
      </c>
      <c r="I278" s="13" t="str">
        <f t="shared" si="25"/>
        <v>cheat summon LanternLizard_Character_BP_Berserk_S_C</v>
      </c>
      <c r="J278" s="13" t="str">
        <f t="shared" si="26"/>
        <v>admincheat GMSummon "LanternLizard_Character_BP_Berserk_S_C" 225</v>
      </c>
      <c r="K278" s="12" t="s">
        <v>843</v>
      </c>
      <c r="L278" s="12" t="str">
        <f t="shared" si="27"/>
        <v>cheat spawndino "/ArkSupreme/Content/SupremeDinos/4Berserk/Glowtail/LanternLizard_Character_BP_Berserk_S_C" 500 0 0 35</v>
      </c>
      <c r="M278" s="13" t="str">
        <f t="shared" si="28"/>
        <v>NPCReplacements=(FromClassName="LanternLizard_Character_BP_Berserk_S_C",ToClassName="")</v>
      </c>
      <c r="N278" s="2"/>
    </row>
    <row r="279">
      <c r="A279" s="2"/>
      <c r="B279" s="7"/>
      <c r="C279" s="4"/>
      <c r="D279" s="8" t="s">
        <v>844</v>
      </c>
      <c r="E279" s="9"/>
      <c r="F279" s="10"/>
      <c r="G279" s="9"/>
      <c r="H279" s="9" t="s">
        <v>845</v>
      </c>
      <c r="I279" s="10" t="str">
        <f t="shared" si="25"/>
        <v>cheat summon Gorilla_Character_BP_Berserk_S_C</v>
      </c>
      <c r="J279" s="10" t="str">
        <f t="shared" si="26"/>
        <v>admincheat GMSummon "Gorilla_Character_BP_Berserk_S_C" 225</v>
      </c>
      <c r="K279" s="9" t="s">
        <v>846</v>
      </c>
      <c r="L279" s="9" t="str">
        <f t="shared" si="27"/>
        <v>cheat spawndino "/ArkSupreme/Content/SupremeDinos/4Berserk/Gorilla/Gorilla_Character_BP_Berserk_S_C" 500 0 0 35</v>
      </c>
      <c r="M279" s="10" t="str">
        <f t="shared" si="28"/>
        <v>NPCReplacements=(FromClassName="Gorilla_Character_BP_Berserk_S_C",ToClassName="")</v>
      </c>
      <c r="N279" s="2"/>
    </row>
    <row r="280">
      <c r="A280" s="2"/>
      <c r="B280" s="7"/>
      <c r="C280" s="4"/>
      <c r="D280" s="11" t="s">
        <v>847</v>
      </c>
      <c r="E280" s="12"/>
      <c r="F280" s="13"/>
      <c r="G280" s="12"/>
      <c r="H280" s="12" t="s">
        <v>848</v>
      </c>
      <c r="I280" s="13" t="str">
        <f t="shared" si="25"/>
        <v>cheat summon BerserkHesperornis_Character_BP_S_C</v>
      </c>
      <c r="J280" s="13" t="str">
        <f t="shared" si="26"/>
        <v>admincheat GMSummon "BerserkHesperornis_Character_BP_S_C" 225</v>
      </c>
      <c r="K280" s="12" t="s">
        <v>849</v>
      </c>
      <c r="L280" s="12" t="str">
        <f t="shared" si="27"/>
        <v>cheat spawndino "/ArkSupreme/Content/SupremeDinos/4Berserk/Hesperornis/BerserkHesperornis_Character_BP_S_C" 500 0 0 35</v>
      </c>
      <c r="M280" s="13" t="str">
        <f t="shared" si="28"/>
        <v>NPCReplacements=(FromClassName="BerserkHesperornis_Character_BP_S_C",ToClassName="")</v>
      </c>
      <c r="N280" s="2"/>
    </row>
    <row r="281">
      <c r="A281" s="2"/>
      <c r="B281" s="7"/>
      <c r="C281" s="4"/>
      <c r="D281" s="8" t="s">
        <v>850</v>
      </c>
      <c r="E281" s="9"/>
      <c r="F281" s="10"/>
      <c r="G281" s="9"/>
      <c r="H281" s="9" t="s">
        <v>851</v>
      </c>
      <c r="I281" s="10" t="str">
        <f t="shared" si="25"/>
        <v>cheat summon BerserkHyaenodon_Character_BP_S_C</v>
      </c>
      <c r="J281" s="10" t="str">
        <f t="shared" si="26"/>
        <v>admincheat GMSummon "BerserkHyaenodon_Character_BP_S_C" 225</v>
      </c>
      <c r="K281" s="9" t="s">
        <v>852</v>
      </c>
      <c r="L281" s="9" t="str">
        <f t="shared" si="27"/>
        <v>cheat spawndino "/ArkSupreme/Content/SupremeDinos/4Berserk/Hyena/BerserkHyaenodon_Character_BP_S_C" 500 0 0 35</v>
      </c>
      <c r="M281" s="10" t="str">
        <f t="shared" si="28"/>
        <v>NPCReplacements=(FromClassName="BerserkHyaenodon_Character_BP_S_C",ToClassName="")</v>
      </c>
      <c r="N281" s="2"/>
    </row>
    <row r="282">
      <c r="A282" s="2"/>
      <c r="B282" s="7"/>
      <c r="C282" s="4"/>
      <c r="D282" s="11" t="s">
        <v>853</v>
      </c>
      <c r="E282" s="12"/>
      <c r="F282" s="13"/>
      <c r="G282" s="12"/>
      <c r="H282" s="12" t="s">
        <v>854</v>
      </c>
      <c r="I282" s="13" t="str">
        <f t="shared" si="25"/>
        <v>cheat summon BerserkIguanodon_Character_BP_S_C</v>
      </c>
      <c r="J282" s="13" t="str">
        <f t="shared" si="26"/>
        <v>admincheat GMSummon "BerserkIguanodon_Character_BP_S_C" 225</v>
      </c>
      <c r="K282" s="12" t="s">
        <v>855</v>
      </c>
      <c r="L282" s="12" t="str">
        <f t="shared" si="27"/>
        <v>cheat spawndino "/ArkSupreme/Content/SupremeDinos/4Berserk/Iguanodon/BerserkIguanodon_Character_BP_S_C" 500 0 0 35</v>
      </c>
      <c r="M282" s="13" t="str">
        <f t="shared" si="28"/>
        <v>NPCReplacements=(FromClassName="BerserkIguanodon_Character_BP_S_C",ToClassName="")</v>
      </c>
      <c r="N282" s="2"/>
    </row>
    <row r="283">
      <c r="A283" s="2"/>
      <c r="B283" s="7"/>
      <c r="C283" s="4"/>
      <c r="D283" s="8" t="s">
        <v>856</v>
      </c>
      <c r="E283" s="9"/>
      <c r="F283" s="10"/>
      <c r="G283" s="9"/>
      <c r="H283" s="9" t="s">
        <v>857</v>
      </c>
      <c r="I283" s="10" t="str">
        <f t="shared" si="25"/>
        <v>cheat summon Jerboa_Character_BP_Berserk_S_C</v>
      </c>
      <c r="J283" s="10" t="str">
        <f t="shared" si="26"/>
        <v>admincheat GMSummon "Jerboa_Character_BP_Berserk_S_C" 225</v>
      </c>
      <c r="K283" s="9" t="s">
        <v>858</v>
      </c>
      <c r="L283" s="9" t="str">
        <f t="shared" si="27"/>
        <v>cheat spawndino "/ArkSupreme/Content/SupremeDinos/4Berserk/Jerboa/Jerboa_Character_BP_Berserk_S_C" 500 0 0 35</v>
      </c>
      <c r="M283" s="10" t="str">
        <f t="shared" si="28"/>
        <v>NPCReplacements=(FromClassName="Jerboa_Character_BP_Berserk_S_C",ToClassName="")</v>
      </c>
      <c r="N283" s="2"/>
    </row>
    <row r="284">
      <c r="A284" s="2"/>
      <c r="B284" s="7"/>
      <c r="C284" s="4"/>
      <c r="D284" s="11" t="s">
        <v>859</v>
      </c>
      <c r="E284" s="12"/>
      <c r="F284" s="13"/>
      <c r="G284" s="12"/>
      <c r="H284" s="12" t="s">
        <v>860</v>
      </c>
      <c r="I284" s="13" t="str">
        <f t="shared" si="25"/>
        <v>cheat summon BerserkKairuku_Character_BP_S_C</v>
      </c>
      <c r="J284" s="13" t="str">
        <f t="shared" si="26"/>
        <v>admincheat GMSummon "BerserkKairuku_Character_BP_S_C" 225</v>
      </c>
      <c r="K284" s="12" t="s">
        <v>861</v>
      </c>
      <c r="L284" s="12" t="str">
        <f t="shared" si="27"/>
        <v>cheat spawndino "/ArkSupreme/Content/SupremeDinos/4Berserk/Kairuku/BerserkKairuku_Character_BP_S_C" 500 0 0 35</v>
      </c>
      <c r="M284" s="13" t="str">
        <f t="shared" si="28"/>
        <v>NPCReplacements=(FromClassName="BerserkKairuku_Character_BP_S_C",ToClassName="")</v>
      </c>
      <c r="N284" s="2"/>
    </row>
    <row r="285">
      <c r="A285" s="2"/>
      <c r="B285" s="7"/>
      <c r="C285" s="4"/>
      <c r="D285" s="8" t="s">
        <v>862</v>
      </c>
      <c r="E285" s="9"/>
      <c r="F285" s="10"/>
      <c r="G285" s="9"/>
      <c r="H285" s="9" t="s">
        <v>863</v>
      </c>
      <c r="I285" s="10" t="str">
        <f t="shared" si="25"/>
        <v>cheat summon BerserkKaprosuchus_Character_BP_S_C</v>
      </c>
      <c r="J285" s="10" t="str">
        <f t="shared" si="26"/>
        <v>admincheat GMSummon "BerserkKaprosuchus_Character_BP_S_C" 225</v>
      </c>
      <c r="K285" s="9" t="s">
        <v>864</v>
      </c>
      <c r="L285" s="9" t="str">
        <f t="shared" si="27"/>
        <v>cheat spawndino "/ArkSupreme/Content/SupremeDinos/4Berserk/Kaprosuchus/BerserkKaprosuchus_Character_BP_S_C" 500 0 0 35</v>
      </c>
      <c r="M285" s="10" t="str">
        <f t="shared" si="28"/>
        <v>NPCReplacements=(FromClassName="BerserkKaprosuchus_Character_BP_S_C",ToClassName="")</v>
      </c>
      <c r="N285" s="2"/>
    </row>
    <row r="286">
      <c r="A286" s="2"/>
      <c r="B286" s="7"/>
      <c r="C286" s="4"/>
      <c r="D286" s="11" t="s">
        <v>865</v>
      </c>
      <c r="E286" s="12"/>
      <c r="F286" s="13"/>
      <c r="G286" s="12"/>
      <c r="H286" s="12" t="s">
        <v>866</v>
      </c>
      <c r="I286" s="13" t="str">
        <f t="shared" si="25"/>
        <v>cheat summon Crab_Character_BP_Berserk_S_C</v>
      </c>
      <c r="J286" s="13" t="str">
        <f t="shared" si="26"/>
        <v>admincheat GMSummon "Crab_Character_BP_Berserk_S_C" 225</v>
      </c>
      <c r="K286" s="12" t="s">
        <v>867</v>
      </c>
      <c r="L286" s="12" t="str">
        <f t="shared" si="27"/>
        <v>cheat spawndino "/ArkSupreme/Content/SupremeDinos/4Berserk/Karkinos/Crab_Character_BP_Berserk_S_C" 500 0 0 35</v>
      </c>
      <c r="M286" s="13" t="str">
        <f t="shared" si="28"/>
        <v>NPCReplacements=(FromClassName="Crab_Character_BP_Berserk_S_C",ToClassName="")</v>
      </c>
      <c r="N286" s="2"/>
    </row>
    <row r="287">
      <c r="A287" s="2"/>
      <c r="B287" s="7"/>
      <c r="C287" s="4"/>
      <c r="D287" s="8" t="s">
        <v>868</v>
      </c>
      <c r="E287" s="9"/>
      <c r="F287" s="10"/>
      <c r="G287" s="9"/>
      <c r="H287" s="9" t="s">
        <v>869</v>
      </c>
      <c r="I287" s="10" t="str">
        <f t="shared" si="25"/>
        <v>cheat summon BerserkKentro_Character_BP_S_C</v>
      </c>
      <c r="J287" s="10" t="str">
        <f t="shared" si="26"/>
        <v>admincheat GMSummon "BerserkKentro_Character_BP_S_C" 225</v>
      </c>
      <c r="K287" s="9" t="s">
        <v>870</v>
      </c>
      <c r="L287" s="9" t="str">
        <f t="shared" si="27"/>
        <v>cheat spawndino "/ArkSupreme/Content/SupremeDinos/4Berserk/Kentro/BerserkKentro_Character_BP_S_C" 500 0 0 35</v>
      </c>
      <c r="M287" s="10" t="str">
        <f t="shared" si="28"/>
        <v>NPCReplacements=(FromClassName="BerserkKentro_Character_BP_S_C",ToClassName="")</v>
      </c>
      <c r="N287" s="2"/>
    </row>
    <row r="288">
      <c r="A288" s="2"/>
      <c r="B288" s="7"/>
      <c r="C288" s="4"/>
      <c r="D288" s="11" t="s">
        <v>871</v>
      </c>
      <c r="E288" s="12"/>
      <c r="F288" s="13"/>
      <c r="G288" s="12"/>
      <c r="H288" s="12" t="s">
        <v>872</v>
      </c>
      <c r="I288" s="13" t="str">
        <f t="shared" si="25"/>
        <v>cheat summon BerserkLystro_Character_BP_S_C</v>
      </c>
      <c r="J288" s="13" t="str">
        <f t="shared" si="26"/>
        <v>admincheat GMSummon "BerserkLystro_Character_BP_S_C" 225</v>
      </c>
      <c r="K288" s="12" t="s">
        <v>873</v>
      </c>
      <c r="L288" s="12" t="str">
        <f t="shared" si="27"/>
        <v>cheat spawndino "/ArkSupreme/Content/SupremeDinos/4Berserk/Lystro/BerserkLystro_Character_BP_S_C" 500 0 0 35</v>
      </c>
      <c r="M288" s="13" t="str">
        <f t="shared" si="28"/>
        <v>NPCReplacements=(FromClassName="BerserkLystro_Character_BP_S_C",ToClassName="")</v>
      </c>
      <c r="N288" s="2"/>
    </row>
    <row r="289">
      <c r="A289" s="2"/>
      <c r="B289" s="7"/>
      <c r="C289" s="4"/>
      <c r="D289" s="8" t="s">
        <v>874</v>
      </c>
      <c r="E289" s="9"/>
      <c r="F289" s="10"/>
      <c r="G289" s="9"/>
      <c r="H289" s="9" t="s">
        <v>875</v>
      </c>
      <c r="I289" s="10" t="str">
        <f t="shared" si="25"/>
        <v>cheat summon BerserkMammoth_Character_BP_S_C</v>
      </c>
      <c r="J289" s="10" t="str">
        <f t="shared" si="26"/>
        <v>admincheat GMSummon "BerserkMammoth_Character_BP_S_C" 225</v>
      </c>
      <c r="K289" s="9" t="s">
        <v>876</v>
      </c>
      <c r="L289" s="9" t="str">
        <f t="shared" si="27"/>
        <v>cheat spawndino "/ArkSupreme/Content/SupremeDinos/4Berserk/Mammoth/BerserkMammoth_Character_BP_S_C" 500 0 0 35</v>
      </c>
      <c r="M289" s="10" t="str">
        <f t="shared" si="28"/>
        <v>NPCReplacements=(FromClassName="BerserkMammoth_Character_BP_S_C",ToClassName="")</v>
      </c>
      <c r="N289" s="2"/>
    </row>
    <row r="290">
      <c r="A290" s="2"/>
      <c r="B290" s="7"/>
      <c r="C290" s="4"/>
      <c r="D290" s="11" t="s">
        <v>877</v>
      </c>
      <c r="E290" s="12"/>
      <c r="F290" s="13"/>
      <c r="G290" s="12"/>
      <c r="H290" s="12" t="s">
        <v>878</v>
      </c>
      <c r="I290" s="13" t="str">
        <f t="shared" si="25"/>
        <v>cheat summon IceJumper_Character_BP_Berserk_S_C</v>
      </c>
      <c r="J290" s="13" t="str">
        <f t="shared" si="26"/>
        <v>admincheat GMSummon "IceJumper_Character_BP_Berserk_S_C" 225</v>
      </c>
      <c r="K290" s="12" t="s">
        <v>879</v>
      </c>
      <c r="L290" s="12" t="str">
        <f t="shared" si="27"/>
        <v>cheat spawndino "/ArkSupreme/Content/SupremeDinos/4Berserk/Managarm/IceJumper_Character_BP_Berserk_S_C" 500 0 0 35</v>
      </c>
      <c r="M290" s="13" t="str">
        <f t="shared" si="28"/>
        <v>NPCReplacements=(FromClassName="IceJumper_Character_BP_Berserk_S_C",ToClassName="")</v>
      </c>
      <c r="N290" s="2"/>
    </row>
    <row r="291">
      <c r="A291" s="2"/>
      <c r="B291" s="7"/>
      <c r="C291" s="4"/>
      <c r="D291" s="8" t="s">
        <v>880</v>
      </c>
      <c r="E291" s="9"/>
      <c r="F291" s="10"/>
      <c r="G291" s="9"/>
      <c r="H291" s="9" t="s">
        <v>881</v>
      </c>
      <c r="I291" s="10" t="str">
        <f t="shared" si="25"/>
        <v>cheat summon Manticore_Character_BP_Berserk_S_C</v>
      </c>
      <c r="J291" s="10" t="str">
        <f t="shared" si="26"/>
        <v>admincheat GMSummon "Manticore_Character_BP_Berserk_S_C" 225</v>
      </c>
      <c r="K291" s="9" t="s">
        <v>882</v>
      </c>
      <c r="L291" s="9" t="str">
        <f t="shared" si="27"/>
        <v>cheat spawndino "/ArkSupreme/Content/SupremeDinos/4Berserk/Manticore/Manticore_Character_BP_Berserk_S_C" 500 0 0 35</v>
      </c>
      <c r="M291" s="10" t="str">
        <f t="shared" si="28"/>
        <v>NPCReplacements=(FromClassName="Manticore_Character_BP_Berserk_S_C",ToClassName="")</v>
      </c>
      <c r="N291" s="2"/>
    </row>
    <row r="292">
      <c r="A292" s="2"/>
      <c r="B292" s="7"/>
      <c r="C292" s="4"/>
      <c r="D292" s="11" t="s">
        <v>883</v>
      </c>
      <c r="E292" s="12"/>
      <c r="F292" s="13"/>
      <c r="G292" s="12"/>
      <c r="H292" s="12" t="s">
        <v>884</v>
      </c>
      <c r="I292" s="13" t="str">
        <f t="shared" si="25"/>
        <v>cheat summon Mantis_Character_BP_Berserk_S_C</v>
      </c>
      <c r="J292" s="13" t="str">
        <f t="shared" si="26"/>
        <v>admincheat GMSummon "Mantis_Character_BP_Berserk_S_C" 225</v>
      </c>
      <c r="K292" s="12" t="s">
        <v>885</v>
      </c>
      <c r="L292" s="12" t="str">
        <f t="shared" si="27"/>
        <v>cheat spawndino "/ArkSupreme/Content/SupremeDinos/4Berserk/Mantis/Mantis_Character_BP_Berserk_S_C" 500 0 0 35</v>
      </c>
      <c r="M292" s="13" t="str">
        <f t="shared" si="28"/>
        <v>NPCReplacements=(FromClassName="Mantis_Character_BP_Berserk_S_C",ToClassName="")</v>
      </c>
      <c r="N292" s="2"/>
    </row>
    <row r="293">
      <c r="A293" s="2"/>
      <c r="B293" s="7"/>
      <c r="C293" s="4"/>
      <c r="D293" s="8" t="s">
        <v>886</v>
      </c>
      <c r="E293" s="9"/>
      <c r="F293" s="10"/>
      <c r="G293" s="9"/>
      <c r="H293" s="9" t="s">
        <v>887</v>
      </c>
      <c r="I293" s="10" t="str">
        <f t="shared" si="25"/>
        <v>cheat summon BerserkMegalania_Character_BP_S_C</v>
      </c>
      <c r="J293" s="10" t="str">
        <f t="shared" si="26"/>
        <v>admincheat GMSummon "BerserkMegalania_Character_BP_S_C" 225</v>
      </c>
      <c r="K293" s="9" t="s">
        <v>888</v>
      </c>
      <c r="L293" s="9" t="str">
        <f t="shared" si="27"/>
        <v>cheat spawndino "/ArkSupreme/Content/SupremeDinos/4Berserk/Megalania/BerserkMegalania_Character_BP_S_C" 500 0 0 35</v>
      </c>
      <c r="M293" s="10" t="str">
        <f t="shared" si="28"/>
        <v>NPCReplacements=(FromClassName="BerserkMegalania_Character_BP_S_C",ToClassName="")</v>
      </c>
      <c r="N293" s="2"/>
    </row>
    <row r="294">
      <c r="A294" s="2"/>
      <c r="B294" s="7"/>
      <c r="C294" s="4"/>
      <c r="D294" s="11" t="s">
        <v>889</v>
      </c>
      <c r="E294" s="12"/>
      <c r="F294" s="13"/>
      <c r="G294" s="12"/>
      <c r="H294" s="12" t="s">
        <v>890</v>
      </c>
      <c r="I294" s="13" t="str">
        <f t="shared" si="25"/>
        <v>cheat summon BerserkMegalosaurus_Character_BP_S_C</v>
      </c>
      <c r="J294" s="13" t="str">
        <f t="shared" si="26"/>
        <v>admincheat GMSummon "BerserkMegalosaurus_Character_BP_S_C" 225</v>
      </c>
      <c r="K294" s="12" t="s">
        <v>891</v>
      </c>
      <c r="L294" s="12" t="str">
        <f t="shared" si="27"/>
        <v>cheat spawndino "/ArkSupreme/Content/SupremeDinos/4Berserk/Megalo/BerserkMegalosaurus_Character_BP_S_C" 500 0 0 35</v>
      </c>
      <c r="M294" s="13" t="str">
        <f t="shared" si="28"/>
        <v>NPCReplacements=(FromClassName="BerserkMegalosaurus_Character_BP_S_C",ToClassName="")</v>
      </c>
      <c r="N294" s="2"/>
    </row>
    <row r="295">
      <c r="A295" s="2"/>
      <c r="B295" s="7"/>
      <c r="C295" s="4"/>
      <c r="D295" s="8" t="s">
        <v>892</v>
      </c>
      <c r="E295" s="9"/>
      <c r="F295" s="10"/>
      <c r="G295" s="9"/>
      <c r="H295" s="9" t="s">
        <v>893</v>
      </c>
      <c r="I295" s="10" t="str">
        <f t="shared" si="25"/>
        <v>cheat summon BerserkStag_Character_BP_S_C</v>
      </c>
      <c r="J295" s="10" t="str">
        <f t="shared" si="26"/>
        <v>admincheat GMSummon "BerserkStag_Character_BP_S_C" 225</v>
      </c>
      <c r="K295" s="9" t="s">
        <v>894</v>
      </c>
      <c r="L295" s="9" t="str">
        <f t="shared" si="27"/>
        <v>cheat spawndino "/ArkSupreme/Content/SupremeDinos/4Berserk/Megaloceros/BerserkStag_Character_BP_S_C" 500 0 0 35</v>
      </c>
      <c r="M295" s="10" t="str">
        <f t="shared" si="28"/>
        <v>NPCReplacements=(FromClassName="BerserkStag_Character_BP_S_C",ToClassName="")</v>
      </c>
      <c r="N295" s="2"/>
    </row>
    <row r="296">
      <c r="A296" s="2"/>
      <c r="B296" s="7"/>
      <c r="C296" s="4"/>
      <c r="D296" s="11" t="s">
        <v>895</v>
      </c>
      <c r="E296" s="12"/>
      <c r="F296" s="13"/>
      <c r="G296" s="12"/>
      <c r="H296" s="12" t="s">
        <v>896</v>
      </c>
      <c r="I296" s="13" t="str">
        <f t="shared" si="25"/>
        <v>cheat summon BerserkMegatherium_Character_BP_S_C</v>
      </c>
      <c r="J296" s="13" t="str">
        <f t="shared" si="26"/>
        <v>admincheat GMSummon "BerserkMegatherium_Character_BP_S_C" 225</v>
      </c>
      <c r="K296" s="12" t="s">
        <v>897</v>
      </c>
      <c r="L296" s="12" t="str">
        <f t="shared" si="27"/>
        <v>cheat spawndino "/ArkSupreme/Content/SupremeDinos/4Berserk/Megatherium/BerserkMegatherium_Character_BP_S_C" 500 0 0 35</v>
      </c>
      <c r="M296" s="13" t="str">
        <f t="shared" si="28"/>
        <v>NPCReplacements=(FromClassName="BerserkMegatherium_Character_BP_S_C",ToClassName="")</v>
      </c>
      <c r="N296" s="2"/>
    </row>
    <row r="297">
      <c r="A297" s="2"/>
      <c r="B297" s="7"/>
      <c r="C297" s="4"/>
      <c r="D297" s="8" t="s">
        <v>898</v>
      </c>
      <c r="E297" s="9"/>
      <c r="F297" s="10"/>
      <c r="G297" s="9"/>
      <c r="H297" s="9" t="s">
        <v>899</v>
      </c>
      <c r="I297" s="10" t="str">
        <f t="shared" si="25"/>
        <v>cheat summon MoleRat_Character_BP_Berserk_S_C</v>
      </c>
      <c r="J297" s="10" t="str">
        <f t="shared" si="26"/>
        <v>admincheat GMSummon "MoleRat_Character_BP_Berserk_S_C" 225</v>
      </c>
      <c r="K297" s="9" t="s">
        <v>900</v>
      </c>
      <c r="L297" s="9" t="str">
        <f t="shared" si="27"/>
        <v>cheat spawndino "/ArkSupreme/Content/SupremeDinos/4Berserk/Molerat/MoleRat_Character_BP_Berserk_S_C" 500 0 0 35</v>
      </c>
      <c r="M297" s="10" t="str">
        <f t="shared" si="28"/>
        <v>NPCReplacements=(FromClassName="MoleRat_Character_BP_Berserk_S_C",ToClassName="")</v>
      </c>
      <c r="N297" s="2"/>
    </row>
    <row r="298">
      <c r="A298" s="2"/>
      <c r="B298" s="7"/>
      <c r="C298" s="4"/>
      <c r="D298" s="11" t="s">
        <v>901</v>
      </c>
      <c r="E298" s="12"/>
      <c r="F298" s="13"/>
      <c r="G298" s="12"/>
      <c r="H298" s="12" t="s">
        <v>902</v>
      </c>
      <c r="I298" s="13" t="str">
        <f t="shared" si="25"/>
        <v>cheat summon BerserkMonkey_Character_BP_S_C</v>
      </c>
      <c r="J298" s="13" t="str">
        <f t="shared" si="26"/>
        <v>admincheat GMSummon "BerserkMonkey_Character_BP_S_C" 225</v>
      </c>
      <c r="K298" s="12" t="s">
        <v>903</v>
      </c>
      <c r="L298" s="12" t="str">
        <f t="shared" si="27"/>
        <v>cheat spawndino "/ArkSupreme/Content/SupremeDinos/4Berserk/Monkey/BerserkMonkey_Character_BP_S_C" 500 0 0 35</v>
      </c>
      <c r="M298" s="13" t="str">
        <f t="shared" si="28"/>
        <v>NPCReplacements=(FromClassName="BerserkMonkey_Character_BP_S_C",ToClassName="")</v>
      </c>
      <c r="N298" s="2"/>
    </row>
    <row r="299">
      <c r="A299" s="2"/>
      <c r="B299" s="7"/>
      <c r="C299" s="4"/>
      <c r="D299" s="8" t="s">
        <v>904</v>
      </c>
      <c r="E299" s="9"/>
      <c r="F299" s="10"/>
      <c r="G299" s="9"/>
      <c r="H299" s="9" t="s">
        <v>905</v>
      </c>
      <c r="I299" s="10" t="str">
        <f t="shared" si="25"/>
        <v>cheat summon Berserkcamelsaurus_Character_BP_S_C</v>
      </c>
      <c r="J299" s="10" t="str">
        <f t="shared" si="26"/>
        <v>admincheat GMSummon "Berserkcamelsaurus_Character_BP_S_C" 225</v>
      </c>
      <c r="K299" s="9" t="s">
        <v>906</v>
      </c>
      <c r="L299" s="9" t="str">
        <f t="shared" si="27"/>
        <v>cheat spawndino "/ArkSupreme/Content/SupremeDinos/4Berserk/Morellatops/Berserkcamelsaurus_Character_BP_S_C" 500 0 0 35</v>
      </c>
      <c r="M299" s="10" t="str">
        <f t="shared" si="28"/>
        <v>NPCReplacements=(FromClassName="Berserkcamelsaurus_Character_BP_S_C",ToClassName="")</v>
      </c>
      <c r="N299" s="2"/>
    </row>
    <row r="300">
      <c r="A300" s="2"/>
      <c r="B300" s="7"/>
      <c r="C300" s="4"/>
      <c r="D300" s="11" t="s">
        <v>907</v>
      </c>
      <c r="E300" s="12"/>
      <c r="F300" s="13"/>
      <c r="G300" s="12"/>
      <c r="H300" s="12" t="s">
        <v>908</v>
      </c>
      <c r="I300" s="13" t="str">
        <f t="shared" si="25"/>
        <v>cheat summon BerserkMoschops_Character_BP_S_C</v>
      </c>
      <c r="J300" s="13" t="str">
        <f t="shared" si="26"/>
        <v>admincheat GMSummon "BerserkMoschops_Character_BP_S_C" 225</v>
      </c>
      <c r="K300" s="12" t="s">
        <v>909</v>
      </c>
      <c r="L300" s="12" t="str">
        <f t="shared" si="27"/>
        <v>cheat spawndino "/ArkSupreme/Content/SupremeDinos/4Berserk/Moschops/BerserkMoschops_Character_BP_S_C" 500 0 0 35</v>
      </c>
      <c r="M300" s="13" t="str">
        <f t="shared" si="28"/>
        <v>NPCReplacements=(FromClassName="BerserkMoschops_Character_BP_S_C",ToClassName="")</v>
      </c>
      <c r="N300" s="2"/>
    </row>
    <row r="301">
      <c r="A301" s="2"/>
      <c r="B301" s="7"/>
      <c r="C301" s="4"/>
      <c r="D301" s="8" t="s">
        <v>910</v>
      </c>
      <c r="E301" s="9"/>
      <c r="F301" s="10"/>
      <c r="G301" s="9"/>
      <c r="H301" s="9" t="s">
        <v>911</v>
      </c>
      <c r="I301" s="10" t="str">
        <f t="shared" si="25"/>
        <v>cheat summon BerserkMoth_Character_BP_S_C</v>
      </c>
      <c r="J301" s="10" t="str">
        <f t="shared" si="26"/>
        <v>admincheat GMSummon "BerserkMoth_Character_BP_S_C" 225</v>
      </c>
      <c r="K301" s="9" t="s">
        <v>912</v>
      </c>
      <c r="L301" s="9" t="str">
        <f t="shared" si="27"/>
        <v>cheat spawndino "/ArkSupreme/Content/SupremeDinos/4Berserk/Moth/BerserkMoth_Character_BP_S_C" 500 0 0 35</v>
      </c>
      <c r="M301" s="10" t="str">
        <f t="shared" si="28"/>
        <v>NPCReplacements=(FromClassName="BerserkMoth_Character_BP_S_C",ToClassName="")</v>
      </c>
      <c r="N301" s="2"/>
    </row>
    <row r="302">
      <c r="A302" s="2"/>
      <c r="B302" s="7"/>
      <c r="C302" s="4"/>
      <c r="D302" s="11" t="s">
        <v>913</v>
      </c>
      <c r="E302" s="12"/>
      <c r="F302" s="13"/>
      <c r="G302" s="12"/>
      <c r="H302" s="12" t="s">
        <v>914</v>
      </c>
      <c r="I302" s="13" t="str">
        <f t="shared" si="25"/>
        <v>cheat summon ChupaCabra_Character_BP_Berserk_S_C</v>
      </c>
      <c r="J302" s="13" t="str">
        <f t="shared" si="26"/>
        <v>admincheat GMSummon "ChupaCabra_Character_BP_Berserk_S_C" 225</v>
      </c>
      <c r="K302" s="12" t="s">
        <v>915</v>
      </c>
      <c r="L302" s="12" t="str">
        <f t="shared" si="27"/>
        <v>cheat spawndino "/ArkSupreme/Content/SupremeDinos/4Berserk/Nameless/ChupaCabra_Character_BP_Berserk_S_C" 500 0 0 35</v>
      </c>
      <c r="M302" s="13" t="str">
        <f t="shared" si="28"/>
        <v>NPCReplacements=(FromClassName="ChupaCabra_Character_BP_Berserk_S_C",ToClassName="")</v>
      </c>
      <c r="N302" s="2"/>
    </row>
    <row r="303">
      <c r="A303" s="2"/>
      <c r="B303" s="7"/>
      <c r="C303" s="4"/>
      <c r="D303" s="8" t="s">
        <v>916</v>
      </c>
      <c r="E303" s="9"/>
      <c r="F303" s="10"/>
      <c r="G303" s="9"/>
      <c r="H303" s="9" t="s">
        <v>917</v>
      </c>
      <c r="I303" s="10" t="str">
        <f t="shared" si="25"/>
        <v>cheat summon BerserkOnyc_Character_BP_S_C</v>
      </c>
      <c r="J303" s="10" t="str">
        <f t="shared" si="26"/>
        <v>admincheat GMSummon "BerserkOnyc_Character_BP_S_C" 225</v>
      </c>
      <c r="K303" s="9" t="s">
        <v>918</v>
      </c>
      <c r="L303" s="9" t="str">
        <f t="shared" si="27"/>
        <v>cheat spawndino "/ArkSupreme/Content/SupremeDinos/4Berserk/Onyc/BerserkOnyc_Character_BP_S_C" 500 0 0 35</v>
      </c>
      <c r="M303" s="10" t="str">
        <f t="shared" si="28"/>
        <v>NPCReplacements=(FromClassName="BerserkOnyc_Character_BP_S_C",ToClassName="")</v>
      </c>
      <c r="N303" s="2"/>
    </row>
    <row r="304">
      <c r="A304" s="2"/>
      <c r="B304" s="7"/>
      <c r="C304" s="4"/>
      <c r="D304" s="11" t="s">
        <v>919</v>
      </c>
      <c r="E304" s="12"/>
      <c r="F304" s="13"/>
      <c r="G304" s="12"/>
      <c r="H304" s="12" t="s">
        <v>920</v>
      </c>
      <c r="I304" s="13" t="str">
        <f t="shared" si="25"/>
        <v>cheat summon BerserkOtter_Character_BP_S_C</v>
      </c>
      <c r="J304" s="13" t="str">
        <f t="shared" si="26"/>
        <v>admincheat GMSummon "BerserkOtter_Character_BP_S_C" 225</v>
      </c>
      <c r="K304" s="12" t="s">
        <v>921</v>
      </c>
      <c r="L304" s="12" t="str">
        <f t="shared" si="27"/>
        <v>cheat spawndino "/ArkSupreme/Content/SupremeDinos/4Berserk/Otter/BerserkOtter_Character_BP_S_C" 500 0 0 35</v>
      </c>
      <c r="M304" s="13" t="str">
        <f t="shared" si="28"/>
        <v>NPCReplacements=(FromClassName="BerserkOtter_Character_BP_S_C",ToClassName="")</v>
      </c>
      <c r="N304" s="2"/>
    </row>
    <row r="305">
      <c r="A305" s="2"/>
      <c r="B305" s="7"/>
      <c r="C305" s="4"/>
      <c r="D305" s="8" t="s">
        <v>922</v>
      </c>
      <c r="E305" s="9"/>
      <c r="F305" s="10"/>
      <c r="G305" s="9"/>
      <c r="H305" s="9" t="s">
        <v>923</v>
      </c>
      <c r="I305" s="10" t="str">
        <f t="shared" si="25"/>
        <v>cheat summon BerserkOviraptor_Character_BP_S_C</v>
      </c>
      <c r="J305" s="10" t="str">
        <f t="shared" si="26"/>
        <v>admincheat GMSummon "BerserkOviraptor_Character_BP_S_C" 225</v>
      </c>
      <c r="K305" s="9" t="s">
        <v>924</v>
      </c>
      <c r="L305" s="9" t="str">
        <f t="shared" si="27"/>
        <v>cheat spawndino "/ArkSupreme/Content/SupremeDinos/4Berserk/Oviraptor/BerserkOviraptor_Character_BP_S_C" 500 0 0 35</v>
      </c>
      <c r="M305" s="10" t="str">
        <f t="shared" si="28"/>
        <v>NPCReplacements=(FromClassName="BerserkOviraptor_Character_BP_S_C",ToClassName="")</v>
      </c>
      <c r="N305" s="2"/>
    </row>
    <row r="306">
      <c r="A306" s="2"/>
      <c r="B306" s="7"/>
      <c r="C306" s="4"/>
      <c r="D306" s="11" t="s">
        <v>925</v>
      </c>
      <c r="E306" s="12"/>
      <c r="F306" s="13"/>
      <c r="G306" s="12"/>
      <c r="H306" s="12" t="s">
        <v>926</v>
      </c>
      <c r="I306" s="13" t="str">
        <f t="shared" si="25"/>
        <v>cheat summon BerserkOvis_Character_BP_S_C</v>
      </c>
      <c r="J306" s="13" t="str">
        <f t="shared" si="26"/>
        <v>admincheat GMSummon "BerserkOvis_Character_BP_S_C" 225</v>
      </c>
      <c r="K306" s="12" t="s">
        <v>927</v>
      </c>
      <c r="L306" s="12" t="str">
        <f t="shared" si="27"/>
        <v>cheat spawndino "/ArkSupreme/Content/SupremeDinos/4Berserk/Ovis/BerserkOvis_Character_BP_S_C" 500 0 0 35</v>
      </c>
      <c r="M306" s="13" t="str">
        <f t="shared" si="28"/>
        <v>NPCReplacements=(FromClassName="BerserkOvis_Character_BP_S_C",ToClassName="")</v>
      </c>
      <c r="N306" s="2"/>
    </row>
    <row r="307">
      <c r="A307" s="2"/>
      <c r="B307" s="7"/>
      <c r="C307" s="4"/>
      <c r="D307" s="8" t="s">
        <v>928</v>
      </c>
      <c r="E307" s="9"/>
      <c r="F307" s="10"/>
      <c r="G307" s="9"/>
      <c r="H307" s="9" t="s">
        <v>929</v>
      </c>
      <c r="I307" s="10" t="str">
        <f t="shared" si="25"/>
        <v>cheat summon Owl_Character_BP_Berserk_S_C</v>
      </c>
      <c r="J307" s="10" t="str">
        <f t="shared" si="26"/>
        <v>admincheat GMSummon "Owl_Character_BP_Berserk_S_C" 225</v>
      </c>
      <c r="K307" s="9" t="s">
        <v>930</v>
      </c>
      <c r="L307" s="9" t="str">
        <f t="shared" si="27"/>
        <v>cheat spawndino "/ArkSupreme/Content/SupremeDinos/4Berserk/Owl/Owl_Character_BP_Berserk_S_C" 500 0 0 35</v>
      </c>
      <c r="M307" s="10" t="str">
        <f t="shared" si="28"/>
        <v>NPCReplacements=(FromClassName="Owl_Character_BP_Berserk_S_C",ToClassName="")</v>
      </c>
      <c r="N307" s="2"/>
    </row>
    <row r="308">
      <c r="A308" s="2"/>
      <c r="B308" s="7"/>
      <c r="C308" s="4"/>
      <c r="D308" s="11" t="s">
        <v>931</v>
      </c>
      <c r="E308" s="12"/>
      <c r="F308" s="13"/>
      <c r="G308" s="12"/>
      <c r="H308" s="12" t="s">
        <v>932</v>
      </c>
      <c r="I308" s="13" t="str">
        <f t="shared" si="25"/>
        <v>cheat summon BerserkPachy_Character_BP_S_C</v>
      </c>
      <c r="J308" s="13" t="str">
        <f t="shared" si="26"/>
        <v>admincheat GMSummon "BerserkPachy_Character_BP_S_C" 225</v>
      </c>
      <c r="K308" s="12" t="s">
        <v>933</v>
      </c>
      <c r="L308" s="12" t="str">
        <f t="shared" si="27"/>
        <v>cheat spawndino "/ArkSupreme/Content/SupremeDinos/4Berserk/Pachy/BerserkPachy_Character_BP_S_C" 500 0 0 35</v>
      </c>
      <c r="M308" s="13" t="str">
        <f t="shared" si="28"/>
        <v>NPCReplacements=(FromClassName="BerserkPachy_Character_BP_S_C",ToClassName="")</v>
      </c>
      <c r="N308" s="2"/>
    </row>
    <row r="309">
      <c r="A309" s="2"/>
      <c r="B309" s="7"/>
      <c r="C309" s="4"/>
      <c r="D309" s="8" t="s">
        <v>934</v>
      </c>
      <c r="E309" s="9"/>
      <c r="F309" s="10"/>
      <c r="G309" s="9"/>
      <c r="H309" s="9" t="s">
        <v>935</v>
      </c>
      <c r="I309" s="10" t="str">
        <f t="shared" si="25"/>
        <v>cheat summon BerserkPachyrhino_Character_BP_S_C</v>
      </c>
      <c r="J309" s="10" t="str">
        <f t="shared" si="26"/>
        <v>admincheat GMSummon "BerserkPachyrhino_Character_BP_S_C" 225</v>
      </c>
      <c r="K309" s="9" t="s">
        <v>936</v>
      </c>
      <c r="L309" s="9" t="str">
        <f t="shared" si="27"/>
        <v>cheat spawndino "/ArkSupreme/Content/SupremeDinos/4Berserk/Pachyrhino/BerserkPachyrhino_Character_BP_S_C" 500 0 0 35</v>
      </c>
      <c r="M309" s="10" t="str">
        <f t="shared" si="28"/>
        <v>NPCReplacements=(FromClassName="BerserkPachyrhino_Character_BP_S_C",ToClassName="")</v>
      </c>
      <c r="N309" s="2"/>
    </row>
    <row r="310">
      <c r="A310" s="2"/>
      <c r="B310" s="7"/>
      <c r="C310" s="4"/>
      <c r="D310" s="11" t="s">
        <v>937</v>
      </c>
      <c r="E310" s="12"/>
      <c r="F310" s="13"/>
      <c r="G310" s="12"/>
      <c r="H310" s="12" t="s">
        <v>938</v>
      </c>
      <c r="I310" s="13" t="str">
        <f t="shared" si="25"/>
        <v>cheat summon BerserkParacer_Character_BP_S_C</v>
      </c>
      <c r="J310" s="13" t="str">
        <f t="shared" si="26"/>
        <v>admincheat GMSummon "BerserkParacer_Character_BP_S_C" 225</v>
      </c>
      <c r="K310" s="12" t="s">
        <v>939</v>
      </c>
      <c r="L310" s="12" t="str">
        <f t="shared" si="27"/>
        <v>cheat spawndino "/ArkSupreme/Content/SupremeDinos/4Berserk/Paraceratherium/BerserkParacer_Character_BP_S_C" 500 0 0 35</v>
      </c>
      <c r="M310" s="13" t="str">
        <f t="shared" si="28"/>
        <v>NPCReplacements=(FromClassName="BerserkParacer_Character_BP_S_C",ToClassName="")</v>
      </c>
      <c r="N310" s="2"/>
    </row>
    <row r="311">
      <c r="A311" s="2"/>
      <c r="B311" s="7"/>
      <c r="C311" s="4"/>
      <c r="D311" s="8" t="s">
        <v>940</v>
      </c>
      <c r="E311" s="9"/>
      <c r="F311" s="10"/>
      <c r="G311" s="9"/>
      <c r="H311" s="9" t="s">
        <v>941</v>
      </c>
      <c r="I311" s="10" t="str">
        <f t="shared" si="25"/>
        <v>cheat summon BerserkPara_Character_BP_S_C</v>
      </c>
      <c r="J311" s="10" t="str">
        <f t="shared" si="26"/>
        <v>admincheat GMSummon "BerserkPara_Character_BP_S_C" 225</v>
      </c>
      <c r="K311" s="9" t="s">
        <v>942</v>
      </c>
      <c r="L311" s="9" t="str">
        <f t="shared" si="27"/>
        <v>cheat spawndino "/ArkSupreme/Content/SupremeDinos/4Berserk/Parasaur/BerserkPara_Character_BP_S_C" 500 0 0 35</v>
      </c>
      <c r="M311" s="10" t="str">
        <f t="shared" si="28"/>
        <v>NPCReplacements=(FromClassName="BerserkPara_Character_BP_S_C",ToClassName="")</v>
      </c>
      <c r="N311" s="2"/>
    </row>
    <row r="312">
      <c r="A312" s="2"/>
      <c r="B312" s="7"/>
      <c r="C312" s="4"/>
      <c r="D312" s="11" t="s">
        <v>943</v>
      </c>
      <c r="E312" s="12"/>
      <c r="F312" s="13"/>
      <c r="G312" s="12"/>
      <c r="H312" s="12" t="s">
        <v>944</v>
      </c>
      <c r="I312" s="13" t="str">
        <f t="shared" si="25"/>
        <v>cheat summon BerserkPegomastax_Character_BP_S_C</v>
      </c>
      <c r="J312" s="13" t="str">
        <f t="shared" si="26"/>
        <v>admincheat GMSummon "BerserkPegomastax_Character_BP_S_C" 225</v>
      </c>
      <c r="K312" s="12" t="s">
        <v>945</v>
      </c>
      <c r="L312" s="12" t="str">
        <f t="shared" si="27"/>
        <v>cheat spawndino "/ArkSupreme/Content/SupremeDinos/4Berserk/Pegomastax/BerserkPegomastax_Character_BP_S_C" 500 0 0 35</v>
      </c>
      <c r="M312" s="13" t="str">
        <f t="shared" si="28"/>
        <v>NPCReplacements=(FromClassName="BerserkPegomastax_Character_BP_S_C",ToClassName="")</v>
      </c>
      <c r="N312" s="2"/>
    </row>
    <row r="313">
      <c r="A313" s="2"/>
      <c r="B313" s="7"/>
      <c r="C313" s="4"/>
      <c r="D313" s="8" t="s">
        <v>946</v>
      </c>
      <c r="E313" s="9"/>
      <c r="F313" s="10"/>
      <c r="G313" s="9"/>
      <c r="H313" s="9" t="s">
        <v>947</v>
      </c>
      <c r="I313" s="10" t="str">
        <f t="shared" si="25"/>
        <v>cheat summon BerserkPela_Character_BP_S_C</v>
      </c>
      <c r="J313" s="10" t="str">
        <f t="shared" si="26"/>
        <v>admincheat GMSummon "BerserkPela_Character_BP_S_C" 225</v>
      </c>
      <c r="K313" s="9" t="s">
        <v>948</v>
      </c>
      <c r="L313" s="9" t="str">
        <f t="shared" si="27"/>
        <v>cheat spawndino "/ArkSupreme/Content/SupremeDinos/4Berserk/Pelagornis/BerserkPela_Character_BP_S_C" 500 0 0 35</v>
      </c>
      <c r="M313" s="10" t="str">
        <f t="shared" si="28"/>
        <v>NPCReplacements=(FromClassName="BerserkPela_Character_BP_S_C",ToClassName="")</v>
      </c>
      <c r="N313" s="2"/>
    </row>
    <row r="314">
      <c r="A314" s="2"/>
      <c r="B314" s="7"/>
      <c r="C314" s="4"/>
      <c r="D314" s="11" t="s">
        <v>949</v>
      </c>
      <c r="E314" s="12"/>
      <c r="F314" s="13"/>
      <c r="G314" s="12"/>
      <c r="H314" s="12" t="s">
        <v>950</v>
      </c>
      <c r="I314" s="13" t="str">
        <f t="shared" si="25"/>
        <v>cheat summon BerserkPhiomia_Character_BP_S_C</v>
      </c>
      <c r="J314" s="13" t="str">
        <f t="shared" si="26"/>
        <v>admincheat GMSummon "BerserkPhiomia_Character_BP_S_C" 225</v>
      </c>
      <c r="K314" s="12" t="s">
        <v>951</v>
      </c>
      <c r="L314" s="12" t="str">
        <f t="shared" si="27"/>
        <v>cheat spawndino "/ArkSupreme/Content/SupremeDinos/4Berserk/Phiomia/BerserkPhiomia_Character_BP_S_C" 500 0 0 35</v>
      </c>
      <c r="M314" s="13" t="str">
        <f t="shared" si="28"/>
        <v>NPCReplacements=(FromClassName="BerserkPhiomia_Character_BP_S_C",ToClassName="")</v>
      </c>
      <c r="N314" s="2"/>
    </row>
    <row r="315">
      <c r="A315" s="2"/>
      <c r="B315" s="7"/>
      <c r="C315" s="4"/>
      <c r="D315" s="8" t="s">
        <v>952</v>
      </c>
      <c r="E315" s="9"/>
      <c r="F315" s="10"/>
      <c r="G315" s="9"/>
      <c r="H315" s="9" t="s">
        <v>953</v>
      </c>
      <c r="I315" s="10" t="str">
        <f t="shared" si="25"/>
        <v>cheat summon Phoenix_Character_BP_Berserk_S_C</v>
      </c>
      <c r="J315" s="10" t="str">
        <f t="shared" si="26"/>
        <v>admincheat GMSummon "Phoenix_Character_BP_Berserk_S_C" 225</v>
      </c>
      <c r="K315" s="9" t="s">
        <v>954</v>
      </c>
      <c r="L315" s="9" t="str">
        <f t="shared" si="27"/>
        <v>cheat spawndino "/ArkSupreme/Content/SupremeDinos/4Berserk/Phoenix/Phoenix_Character_BP_Berserk_S_C" 500 0 0 35</v>
      </c>
      <c r="M315" s="10" t="str">
        <f t="shared" si="28"/>
        <v>NPCReplacements=(FromClassName="Phoenix_Character_BP_Berserk_S_C",ToClassName="")</v>
      </c>
      <c r="N315" s="2"/>
    </row>
    <row r="316">
      <c r="A316" s="2"/>
      <c r="B316" s="7"/>
      <c r="C316" s="4"/>
      <c r="D316" s="11" t="s">
        <v>955</v>
      </c>
      <c r="E316" s="12"/>
      <c r="F316" s="13"/>
      <c r="G316" s="12"/>
      <c r="H316" s="12" t="s">
        <v>956</v>
      </c>
      <c r="I316" s="13" t="str">
        <f t="shared" si="25"/>
        <v>cheat summon BerserkProcoptodon_Character_BP_S_C</v>
      </c>
      <c r="J316" s="13" t="str">
        <f t="shared" si="26"/>
        <v>admincheat GMSummon "BerserkProcoptodon_Character_BP_S_C" 225</v>
      </c>
      <c r="K316" s="12" t="s">
        <v>957</v>
      </c>
      <c r="L316" s="12" t="str">
        <f t="shared" si="27"/>
        <v>cheat spawndino "/ArkSupreme/Content/SupremeDinos/4Berserk/Procoptodon/BerserkProcoptodon_Character_BP_S_C" 500 0 0 35</v>
      </c>
      <c r="M316" s="13" t="str">
        <f t="shared" si="28"/>
        <v>NPCReplacements=(FromClassName="BerserkProcoptodon_Character_BP_S_C",ToClassName="")</v>
      </c>
      <c r="N316" s="2"/>
    </row>
    <row r="317">
      <c r="A317" s="2"/>
      <c r="B317" s="7"/>
      <c r="C317" s="4"/>
      <c r="D317" s="8" t="s">
        <v>958</v>
      </c>
      <c r="E317" s="9"/>
      <c r="F317" s="10"/>
      <c r="G317" s="9"/>
      <c r="H317" s="9" t="s">
        <v>959</v>
      </c>
      <c r="I317" s="10" t="str">
        <f t="shared" si="25"/>
        <v>cheat summon BerserkPtero_Character_BP_S_C</v>
      </c>
      <c r="J317" s="10" t="str">
        <f t="shared" si="26"/>
        <v>admincheat GMSummon "BerserkPtero_Character_BP_S_C" 225</v>
      </c>
      <c r="K317" s="9" t="s">
        <v>960</v>
      </c>
      <c r="L317" s="9" t="str">
        <f t="shared" si="27"/>
        <v>cheat spawndino "/ArkSupreme/Content/SupremeDinos/4Berserk/Ptera/BerserkPtero_Character_BP_S_C" 500 0 0 35</v>
      </c>
      <c r="M317" s="10" t="str">
        <f t="shared" si="28"/>
        <v>NPCReplacements=(FromClassName="BerserkPtero_Character_BP_S_C",ToClassName="")</v>
      </c>
      <c r="N317" s="2"/>
    </row>
    <row r="318">
      <c r="A318" s="2"/>
      <c r="B318" s="7"/>
      <c r="C318" s="4"/>
      <c r="D318" s="11" t="s">
        <v>961</v>
      </c>
      <c r="E318" s="12"/>
      <c r="F318" s="13"/>
      <c r="G318" s="12"/>
      <c r="H318" s="12" t="s">
        <v>962</v>
      </c>
      <c r="I318" s="13" t="str">
        <f t="shared" si="25"/>
        <v>cheat summon Pteroteuthis_Character_BP_Berserk_S_C</v>
      </c>
      <c r="J318" s="13" t="str">
        <f t="shared" si="26"/>
        <v>admincheat GMSummon "Pteroteuthis_Character_BP_Berserk_S_C" 225</v>
      </c>
      <c r="K318" s="12" t="s">
        <v>963</v>
      </c>
      <c r="L318" s="12" t="str">
        <f t="shared" si="27"/>
        <v>cheat spawndino "/ArkSupreme/Content/SupremeDinos/4Berserk/PteroTeuthis/Pteroteuthis_Character_BP_Berserk_S_C" 500 0 0 35</v>
      </c>
      <c r="M318" s="13" t="str">
        <f t="shared" si="28"/>
        <v>NPCReplacements=(FromClassName="Pteroteuthis_Character_BP_Berserk_S_C",ToClassName="")</v>
      </c>
      <c r="N318" s="2"/>
    </row>
    <row r="319">
      <c r="A319" s="2"/>
      <c r="B319" s="7"/>
      <c r="C319" s="4"/>
      <c r="D319" s="8" t="s">
        <v>964</v>
      </c>
      <c r="E319" s="9"/>
      <c r="F319" s="10"/>
      <c r="G319" s="9"/>
      <c r="H319" s="9" t="s">
        <v>965</v>
      </c>
      <c r="I319" s="10" t="str">
        <f t="shared" si="25"/>
        <v>cheat summon BerserkScorpion_Character_BP_S_C</v>
      </c>
      <c r="J319" s="10" t="str">
        <f t="shared" si="26"/>
        <v>admincheat GMSummon "BerserkScorpion_Character_BP_S_C" 225</v>
      </c>
      <c r="K319" s="9" t="s">
        <v>966</v>
      </c>
      <c r="L319" s="9" t="str">
        <f t="shared" si="27"/>
        <v>cheat spawndino "/ArkSupreme/Content/SupremeDinos/4Berserk/Pulmonoscorpius/BerserkScorpion_Character_BP_S_C" 500 0 0 35</v>
      </c>
      <c r="M319" s="10" t="str">
        <f t="shared" si="28"/>
        <v>NPCReplacements=(FromClassName="BerserkScorpion_Character_BP_S_C",ToClassName="")</v>
      </c>
      <c r="N319" s="2"/>
    </row>
    <row r="320">
      <c r="A320" s="2"/>
      <c r="B320" s="7"/>
      <c r="C320" s="4"/>
      <c r="D320" s="11" t="s">
        <v>967</v>
      </c>
      <c r="E320" s="12"/>
      <c r="F320" s="13"/>
      <c r="G320" s="12"/>
      <c r="H320" s="12" t="s">
        <v>968</v>
      </c>
      <c r="I320" s="13" t="str">
        <f t="shared" si="25"/>
        <v>cheat summon BerserkPurlovia_Character_BP_S_C</v>
      </c>
      <c r="J320" s="13" t="str">
        <f t="shared" si="26"/>
        <v>admincheat GMSummon "BerserkPurlovia_Character_BP_S_C" 225</v>
      </c>
      <c r="K320" s="12" t="s">
        <v>969</v>
      </c>
      <c r="L320" s="12" t="str">
        <f t="shared" si="27"/>
        <v>cheat spawndino "/ArkSupreme/Content/SupremeDinos/4Berserk/Purlovia/BerserkPurlovia_Character_BP_S_C" 500 0 0 35</v>
      </c>
      <c r="M320" s="13" t="str">
        <f t="shared" si="28"/>
        <v>NPCReplacements=(FromClassName="BerserkPurlovia_Character_BP_S_C",ToClassName="")</v>
      </c>
      <c r="N320" s="2"/>
    </row>
    <row r="321">
      <c r="A321" s="2"/>
      <c r="B321" s="7"/>
      <c r="C321" s="4"/>
      <c r="D321" s="8" t="s">
        <v>970</v>
      </c>
      <c r="E321" s="9"/>
      <c r="F321" s="10"/>
      <c r="G321" s="9"/>
      <c r="H321" s="9" t="s">
        <v>971</v>
      </c>
      <c r="I321" s="10" t="str">
        <f t="shared" si="25"/>
        <v>cheat summon BerserkQuetz_Character_BP_S_C</v>
      </c>
      <c r="J321" s="10" t="str">
        <f t="shared" si="26"/>
        <v>admincheat GMSummon "BerserkQuetz_Character_BP_S_C" 225</v>
      </c>
      <c r="K321" s="9" t="s">
        <v>972</v>
      </c>
      <c r="L321" s="9" t="str">
        <f t="shared" si="27"/>
        <v>cheat spawndino "/ArkSupreme/Content/SupremeDinos/4Berserk/Quetzal/BerserkQuetz_Character_BP_S_C" 500 0 0 35</v>
      </c>
      <c r="M321" s="10" t="str">
        <f t="shared" si="28"/>
        <v>NPCReplacements=(FromClassName="BerserkQuetz_Character_BP_S_C",ToClassName="")</v>
      </c>
      <c r="N321" s="2"/>
    </row>
    <row r="322">
      <c r="A322" s="2"/>
      <c r="B322" s="7"/>
      <c r="C322" s="4"/>
      <c r="D322" s="11" t="s">
        <v>973</v>
      </c>
      <c r="E322" s="12"/>
      <c r="F322" s="13"/>
      <c r="G322" s="12"/>
      <c r="H322" s="12" t="s">
        <v>974</v>
      </c>
      <c r="I322" s="13" t="str">
        <f t="shared" si="25"/>
        <v>cheat summon BerserkRaptor_Character_BP_S_C</v>
      </c>
      <c r="J322" s="13" t="str">
        <f t="shared" si="26"/>
        <v>admincheat GMSummon "BerserkRaptor_Character_BP_S_C" 225</v>
      </c>
      <c r="K322" s="12" t="s">
        <v>975</v>
      </c>
      <c r="L322" s="12" t="str">
        <f t="shared" si="27"/>
        <v>cheat spawndino "/ArkSupreme/Content/SupremeDinos/4Berserk/Raptor/BerserkRaptor_Character_BP_S_C" 500 0 0 35</v>
      </c>
      <c r="M322" s="13" t="str">
        <f t="shared" si="28"/>
        <v>NPCReplacements=(FromClassName="BerserkRaptor_Character_BP_S_C",ToClassName="")</v>
      </c>
      <c r="N322" s="2"/>
    </row>
    <row r="323">
      <c r="A323" s="2"/>
      <c r="B323" s="7"/>
      <c r="C323" s="4"/>
      <c r="D323" s="8" t="s">
        <v>976</v>
      </c>
      <c r="E323" s="9"/>
      <c r="F323" s="10"/>
      <c r="G323" s="9"/>
      <c r="H323" s="9" t="s">
        <v>977</v>
      </c>
      <c r="I323" s="10" t="str">
        <f t="shared" si="25"/>
        <v>cheat summon CaveWolf_Character_BP_Berserk_S_C</v>
      </c>
      <c r="J323" s="10" t="str">
        <f t="shared" si="26"/>
        <v>admincheat GMSummon "CaveWolf_Character_BP_Berserk_S_C" 225</v>
      </c>
      <c r="K323" s="9" t="s">
        <v>978</v>
      </c>
      <c r="L323" s="9" t="str">
        <f t="shared" si="27"/>
        <v>cheat spawndino "/ArkSupreme/Content/SupremeDinos/4Berserk/Ravager/CaveWolf_Character_BP_Berserk_S_C" 500 0 0 35</v>
      </c>
      <c r="M323" s="10" t="str">
        <f t="shared" si="28"/>
        <v>NPCReplacements=(FromClassName="CaveWolf_Character_BP_Berserk_S_C",ToClassName="")</v>
      </c>
      <c r="N323" s="2"/>
    </row>
    <row r="324">
      <c r="A324" s="2"/>
      <c r="B324" s="7"/>
      <c r="C324" s="4"/>
      <c r="D324" s="11" t="s">
        <v>979</v>
      </c>
      <c r="E324" s="12"/>
      <c r="F324" s="13"/>
      <c r="G324" s="12"/>
      <c r="H324" s="12" t="s">
        <v>980</v>
      </c>
      <c r="I324" s="13" t="str">
        <f t="shared" si="25"/>
        <v>cheat summon BerserkRex_Character_BP_S_C</v>
      </c>
      <c r="J324" s="13" t="str">
        <f t="shared" si="26"/>
        <v>admincheat GMSummon "BerserkRex_Character_BP_S_C" 225</v>
      </c>
      <c r="K324" s="12" t="s">
        <v>981</v>
      </c>
      <c r="L324" s="12" t="str">
        <f t="shared" si="27"/>
        <v>cheat spawndino "/ArkSupreme/Content/SupremeDinos/4Berserk/Rex/BerserkRex_Character_BP_S_C" 500 0 0 35</v>
      </c>
      <c r="M324" s="13" t="str">
        <f t="shared" si="28"/>
        <v>NPCReplacements=(FromClassName="BerserkRex_Character_BP_S_C",ToClassName="")</v>
      </c>
      <c r="N324" s="2"/>
    </row>
    <row r="325">
      <c r="A325" s="2"/>
      <c r="B325" s="7"/>
      <c r="C325" s="4"/>
      <c r="D325" s="8" t="s">
        <v>982</v>
      </c>
      <c r="E325" s="9"/>
      <c r="F325" s="10"/>
      <c r="G325" s="9"/>
      <c r="H325" s="9" t="s">
        <v>983</v>
      </c>
      <c r="I325" s="10" t="str">
        <f t="shared" si="25"/>
        <v>cheat summon BerserkRhynio_Character_BP_S_C</v>
      </c>
      <c r="J325" s="10" t="str">
        <f t="shared" si="26"/>
        <v>admincheat GMSummon "BerserkRhynio_Character_BP_S_C" 225</v>
      </c>
      <c r="K325" s="9" t="s">
        <v>984</v>
      </c>
      <c r="L325" s="9" t="str">
        <f t="shared" si="27"/>
        <v>cheat spawndino "/ArkSupreme/Content/SupremeDinos/4Berserk/Rhynio/BerserkRhynio_Character_BP_S_C" 500 0 0 35</v>
      </c>
      <c r="M325" s="10" t="str">
        <f t="shared" si="28"/>
        <v>NPCReplacements=(FromClassName="BerserkRhynio_Character_BP_S_C",ToClassName="")</v>
      </c>
      <c r="N325" s="2"/>
    </row>
    <row r="326">
      <c r="A326" s="2"/>
      <c r="B326" s="7"/>
      <c r="C326" s="4"/>
      <c r="D326" s="11" t="s">
        <v>985</v>
      </c>
      <c r="E326" s="12"/>
      <c r="F326" s="13"/>
      <c r="G326" s="12"/>
      <c r="H326" s="12" t="s">
        <v>986</v>
      </c>
      <c r="I326" s="13" t="str">
        <f t="shared" si="25"/>
        <v>cheat summon RockDrake_Character_BP_Berserk_S_C</v>
      </c>
      <c r="J326" s="13" t="str">
        <f t="shared" si="26"/>
        <v>admincheat GMSummon "RockDrake_Character_BP_Berserk_S_C" 225</v>
      </c>
      <c r="K326" s="12" t="s">
        <v>987</v>
      </c>
      <c r="L326" s="12" t="str">
        <f t="shared" si="27"/>
        <v>cheat spawndino "/ArkSupreme/Content/SupremeDinos/4Berserk/Rockdrake/RockDrake_Character_BP_Berserk_S_C" 500 0 0 35</v>
      </c>
      <c r="M326" s="13" t="str">
        <f t="shared" si="28"/>
        <v>NPCReplacements=(FromClassName="RockDrake_Character_BP_Berserk_S_C",ToClassName="")</v>
      </c>
      <c r="N326" s="2"/>
    </row>
    <row r="327">
      <c r="A327" s="2"/>
      <c r="B327" s="7"/>
      <c r="C327" s="4"/>
      <c r="D327" s="8" t="s">
        <v>988</v>
      </c>
      <c r="E327" s="9"/>
      <c r="F327" s="10"/>
      <c r="G327" s="9"/>
      <c r="H327" s="9" t="s">
        <v>989</v>
      </c>
      <c r="I327" s="10" t="str">
        <f t="shared" si="25"/>
        <v>cheat summon RockGolem_Character_BP_Berserk_S_C</v>
      </c>
      <c r="J327" s="10" t="str">
        <f t="shared" si="26"/>
        <v>admincheat GMSummon "RockGolem_Character_BP_Berserk_S_C" 225</v>
      </c>
      <c r="K327" s="9" t="s">
        <v>990</v>
      </c>
      <c r="L327" s="9" t="str">
        <f t="shared" si="27"/>
        <v>cheat spawndino "/ArkSupreme/Content/SupremeDinos/4Berserk/Rockgolem/RockGolem_Character_BP_Berserk_S_C" 500 0 0 35</v>
      </c>
      <c r="M327" s="10" t="str">
        <f t="shared" si="28"/>
        <v>NPCReplacements=(FromClassName="RockGolem_Character_BP_Berserk_S_C",ToClassName="")</v>
      </c>
      <c r="N327" s="2"/>
    </row>
    <row r="328">
      <c r="A328" s="2"/>
      <c r="B328" s="7"/>
      <c r="C328" s="4"/>
      <c r="D328" s="11" t="s">
        <v>991</v>
      </c>
      <c r="E328" s="12"/>
      <c r="F328" s="13"/>
      <c r="G328" s="12"/>
      <c r="H328" s="12" t="s">
        <v>992</v>
      </c>
      <c r="I328" s="13" t="str">
        <f t="shared" si="25"/>
        <v>cheat summon BerserkSaber_Character_BP_S_C</v>
      </c>
      <c r="J328" s="13" t="str">
        <f t="shared" si="26"/>
        <v>admincheat GMSummon "BerserkSaber_Character_BP_S_C" 225</v>
      </c>
      <c r="K328" s="12" t="s">
        <v>993</v>
      </c>
      <c r="L328" s="12" t="str">
        <f t="shared" si="27"/>
        <v>cheat spawndino "/ArkSupreme/Content/SupremeDinos/4Berserk/Sabertooth/BerserkSaber_Character_BP_S_C" 500 0 0 35</v>
      </c>
      <c r="M328" s="13" t="str">
        <f t="shared" si="28"/>
        <v>NPCReplacements=(FromClassName="BerserkSaber_Character_BP_S_C",ToClassName="")</v>
      </c>
      <c r="N328" s="2"/>
    </row>
    <row r="329">
      <c r="A329" s="2"/>
      <c r="B329" s="7"/>
      <c r="C329" s="4"/>
      <c r="D329" s="8" t="s">
        <v>994</v>
      </c>
      <c r="E329" s="9"/>
      <c r="F329" s="10"/>
      <c r="G329" s="9"/>
      <c r="H329" s="9" t="s">
        <v>995</v>
      </c>
      <c r="I329" s="10" t="str">
        <f t="shared" si="25"/>
        <v>cheat summon BerserkSarco_Character_BP_S_C</v>
      </c>
      <c r="J329" s="10" t="str">
        <f t="shared" si="26"/>
        <v>admincheat GMSummon "BerserkSarco_Character_BP_S_C" 225</v>
      </c>
      <c r="K329" s="9" t="s">
        <v>996</v>
      </c>
      <c r="L329" s="9" t="str">
        <f t="shared" si="27"/>
        <v>cheat spawndino "/ArkSupreme/Content/SupremeDinos/4Berserk/Sarco/BerserkSarco_Character_BP_S_C" 500 0 0 35</v>
      </c>
      <c r="M329" s="10" t="str">
        <f t="shared" si="28"/>
        <v>NPCReplacements=(FromClassName="BerserkSarco_Character_BP_S_C",ToClassName="")</v>
      </c>
      <c r="N329" s="2"/>
    </row>
    <row r="330">
      <c r="A330" s="2"/>
      <c r="B330" s="7"/>
      <c r="C330" s="4"/>
      <c r="D330" s="11" t="s">
        <v>997</v>
      </c>
      <c r="E330" s="12"/>
      <c r="F330" s="13"/>
      <c r="G330" s="12"/>
      <c r="H330" s="12" t="s">
        <v>998</v>
      </c>
      <c r="I330" s="13" t="str">
        <f t="shared" si="25"/>
        <v>cheat summon Scout_Character_BP_Berserk_S_C</v>
      </c>
      <c r="J330" s="13" t="str">
        <f t="shared" si="26"/>
        <v>admincheat GMSummon "Scout_Character_BP_Berserk_S_C" 225</v>
      </c>
      <c r="K330" s="12" t="s">
        <v>999</v>
      </c>
      <c r="L330" s="12" t="str">
        <f t="shared" si="27"/>
        <v>cheat spawndino "/ArkSupreme/Content/SupremeDinos/4Berserk/Scout/Scout_Character_BP_Berserk_S_C" 500 0 0 35</v>
      </c>
      <c r="M330" s="13" t="str">
        <f t="shared" si="28"/>
        <v>NPCReplacements=(FromClassName="Scout_Character_BP_Berserk_S_C",ToClassName="")</v>
      </c>
      <c r="N330" s="2"/>
    </row>
    <row r="331">
      <c r="A331" s="2"/>
      <c r="B331" s="7"/>
      <c r="C331" s="4"/>
      <c r="D331" s="8" t="s">
        <v>1000</v>
      </c>
      <c r="E331" s="9"/>
      <c r="F331" s="10"/>
      <c r="G331" s="9"/>
      <c r="H331" s="9" t="s">
        <v>1001</v>
      </c>
      <c r="I331" s="10" t="str">
        <f t="shared" si="25"/>
        <v>cheat summon LanternGoat_Character_BP_Berserk_S_C</v>
      </c>
      <c r="J331" s="10" t="str">
        <f t="shared" si="26"/>
        <v>admincheat GMSummon "LanternGoat_Character_BP_Berserk_S_C" 225</v>
      </c>
      <c r="K331" s="9" t="s">
        <v>1002</v>
      </c>
      <c r="L331" s="9" t="str">
        <f t="shared" si="27"/>
        <v>cheat spawndino "/ArkSupreme/Content/SupremeDinos/4Berserk/Shinehorn/LanternGoat_Character_BP_Berserk_S_C" 500 0 0 35</v>
      </c>
      <c r="M331" s="10" t="str">
        <f t="shared" si="28"/>
        <v>NPCReplacements=(FromClassName="LanternGoat_Character_BP_Berserk_S_C",ToClassName="")</v>
      </c>
      <c r="N331" s="2"/>
    </row>
    <row r="332">
      <c r="A332" s="2"/>
      <c r="B332" s="7"/>
      <c r="C332" s="4"/>
      <c r="D332" s="11" t="s">
        <v>1003</v>
      </c>
      <c r="E332" s="12"/>
      <c r="F332" s="13"/>
      <c r="G332" s="12"/>
      <c r="H332" s="12" t="s">
        <v>1004</v>
      </c>
      <c r="I332" s="13" t="str">
        <f t="shared" si="25"/>
        <v>cheat summon BerserkBoaFrill_Character_BP_S_C</v>
      </c>
      <c r="J332" s="13" t="str">
        <f t="shared" si="26"/>
        <v>admincheat GMSummon "BerserkBoaFrill_Character_BP_S_C" 225</v>
      </c>
      <c r="K332" s="12" t="s">
        <v>1005</v>
      </c>
      <c r="L332" s="12" t="str">
        <f t="shared" si="27"/>
        <v>cheat spawndino "/ArkSupreme/Content/SupremeDinos/4Berserk/Snake/BerserkBoaFrill_Character_BP_S_C" 500 0 0 35</v>
      </c>
      <c r="M332" s="13" t="str">
        <f t="shared" si="28"/>
        <v>NPCReplacements=(FromClassName="BerserkBoaFrill_Character_BP_S_C",ToClassName="")</v>
      </c>
      <c r="N332" s="2"/>
    </row>
    <row r="333">
      <c r="A333" s="2"/>
      <c r="B333" s="7"/>
      <c r="C333" s="4"/>
      <c r="D333" s="8" t="s">
        <v>1006</v>
      </c>
      <c r="E333" s="9"/>
      <c r="F333" s="10"/>
      <c r="G333" s="9"/>
      <c r="H333" s="9" t="s">
        <v>1007</v>
      </c>
      <c r="I333" s="10" t="str">
        <f t="shared" si="25"/>
        <v>cheat summon BerserkSpino_Character_BP_S_C</v>
      </c>
      <c r="J333" s="10" t="str">
        <f t="shared" si="26"/>
        <v>admincheat GMSummon "BerserkSpino_Character_BP_S_C" 225</v>
      </c>
      <c r="K333" s="9" t="s">
        <v>1008</v>
      </c>
      <c r="L333" s="9" t="str">
        <f t="shared" si="27"/>
        <v>cheat spawndino "/ArkSupreme/Content/SupremeDinos/4Berserk/Spinosaurus/BerserkSpino_Character_BP_S_C" 500 0 0 35</v>
      </c>
      <c r="M333" s="10" t="str">
        <f t="shared" si="28"/>
        <v>NPCReplacements=(FromClassName="BerserkSpino_Character_BP_S_C",ToClassName="")</v>
      </c>
      <c r="N333" s="2"/>
    </row>
    <row r="334">
      <c r="A334" s="2"/>
      <c r="B334" s="7"/>
      <c r="C334" s="4"/>
      <c r="D334" s="11" t="s">
        <v>1009</v>
      </c>
      <c r="E334" s="12"/>
      <c r="F334" s="13"/>
      <c r="G334" s="12"/>
      <c r="H334" s="12" t="s">
        <v>1010</v>
      </c>
      <c r="I334" s="13" t="str">
        <f t="shared" si="25"/>
        <v>cheat summon BerserkStego_Character_BP_C</v>
      </c>
      <c r="J334" s="13" t="str">
        <f t="shared" si="26"/>
        <v>admincheat GMSummon "BerserkStego_Character_BP_C" 225</v>
      </c>
      <c r="K334" s="12" t="s">
        <v>1011</v>
      </c>
      <c r="L334" s="12" t="str">
        <f t="shared" si="27"/>
        <v>cheat spawndino "/ArkSupreme/Content/SupremeDinos/4Berserk/Stego/BerserkStego_Character_BP_C" 500 0 0 35</v>
      </c>
      <c r="M334" s="13" t="str">
        <f t="shared" si="28"/>
        <v>NPCReplacements=(FromClassName="BerserkStego_Character_BP_C",ToClassName="")</v>
      </c>
      <c r="N334" s="2"/>
    </row>
    <row r="335">
      <c r="A335" s="2"/>
      <c r="B335" s="7"/>
      <c r="C335" s="4"/>
      <c r="D335" s="8" t="s">
        <v>1012</v>
      </c>
      <c r="E335" s="9"/>
      <c r="F335" s="10"/>
      <c r="G335" s="9"/>
      <c r="H335" s="9" t="s">
        <v>1013</v>
      </c>
      <c r="I335" s="10" t="str">
        <f t="shared" si="25"/>
        <v>cheat summon BerserkTapejara_Character_BP_S_C</v>
      </c>
      <c r="J335" s="10" t="str">
        <f t="shared" si="26"/>
        <v>admincheat GMSummon "BerserkTapejara_Character_BP_S_C" 225</v>
      </c>
      <c r="K335" s="9" t="s">
        <v>1014</v>
      </c>
      <c r="L335" s="9" t="str">
        <f t="shared" si="27"/>
        <v>cheat spawndino "/ArkSupreme/Content/SupremeDinos/4Berserk/Tapejara/BerserkTapejara_Character_BP_S_C" 500 0 0 35</v>
      </c>
      <c r="M335" s="10" t="str">
        <f t="shared" si="28"/>
        <v>NPCReplacements=(FromClassName="BerserkTapejara_Character_BP_S_C",ToClassName="")</v>
      </c>
      <c r="N335" s="2"/>
    </row>
    <row r="336">
      <c r="A336" s="2"/>
      <c r="B336" s="7"/>
      <c r="C336" s="4"/>
      <c r="D336" s="11" t="s">
        <v>1015</v>
      </c>
      <c r="E336" s="12"/>
      <c r="F336" s="13"/>
      <c r="G336" s="12"/>
      <c r="H336" s="12" t="s">
        <v>1016</v>
      </c>
      <c r="I336" s="13" t="str">
        <f t="shared" si="25"/>
        <v>cheat summon BerserkTerrorBird_Character_BP_S_C</v>
      </c>
      <c r="J336" s="13" t="str">
        <f t="shared" si="26"/>
        <v>admincheat GMSummon "BerserkTerrorBird_Character_BP_S_C" 225</v>
      </c>
      <c r="K336" s="12" t="s">
        <v>1017</v>
      </c>
      <c r="L336" s="12" t="str">
        <f t="shared" si="27"/>
        <v>cheat spawndino "/ArkSupreme/Content/SupremeDinos/4Berserk/TerrorBird/BerserkTerrorBird_Character_BP_S_C" 500 0 0 35</v>
      </c>
      <c r="M336" s="13" t="str">
        <f t="shared" si="28"/>
        <v>NPCReplacements=(FromClassName="BerserkTerrorBird_Character_BP_S_C",ToClassName="")</v>
      </c>
      <c r="N336" s="2"/>
    </row>
    <row r="337">
      <c r="A337" s="2"/>
      <c r="B337" s="7"/>
      <c r="C337" s="4"/>
      <c r="D337" s="8" t="s">
        <v>1018</v>
      </c>
      <c r="E337" s="9"/>
      <c r="F337" s="10"/>
      <c r="G337" s="9"/>
      <c r="H337" s="9" t="s">
        <v>1019</v>
      </c>
      <c r="I337" s="10" t="str">
        <f t="shared" si="25"/>
        <v>cheat summon BerserkTherizino_Character_BP_S_C</v>
      </c>
      <c r="J337" s="10" t="str">
        <f t="shared" si="26"/>
        <v>admincheat GMSummon "BerserkTherizino_Character_BP_S_C" 225</v>
      </c>
      <c r="K337" s="9" t="s">
        <v>1020</v>
      </c>
      <c r="L337" s="9" t="str">
        <f t="shared" si="27"/>
        <v>cheat spawndino "/ArkSupreme/Content/SupremeDinos/4Berserk/Therizinosaurus/BerserkTherizino_Character_BP_S_C" 500 0 0 35</v>
      </c>
      <c r="M337" s="10" t="str">
        <f t="shared" si="28"/>
        <v>NPCReplacements=(FromClassName="BerserkTherizino_Character_BP_S_C",ToClassName="")</v>
      </c>
      <c r="N337" s="2"/>
    </row>
    <row r="338">
      <c r="A338" s="2"/>
      <c r="B338" s="7"/>
      <c r="C338" s="4"/>
      <c r="D338" s="11" t="s">
        <v>1021</v>
      </c>
      <c r="E338" s="12"/>
      <c r="F338" s="13"/>
      <c r="G338" s="12"/>
      <c r="H338" s="12" t="s">
        <v>1022</v>
      </c>
      <c r="I338" s="13" t="str">
        <f t="shared" si="25"/>
        <v>cheat summon SpineyLizard_Character_BP_Berserk_S_C</v>
      </c>
      <c r="J338" s="13" t="str">
        <f t="shared" si="26"/>
        <v>admincheat GMSummon "SpineyLizard_Character_BP_Berserk_S_C" 225</v>
      </c>
      <c r="K338" s="12" t="s">
        <v>1023</v>
      </c>
      <c r="L338" s="12" t="str">
        <f t="shared" si="27"/>
        <v>cheat spawndino "/ArkSupreme/Content/SupremeDinos/4Berserk/Thornydragon/SpineyLizard_Character_BP_Berserk_S_C" 500 0 0 35</v>
      </c>
      <c r="M338" s="13" t="str">
        <f t="shared" si="28"/>
        <v>NPCReplacements=(FromClassName="SpineyLizard_Character_BP_Berserk_S_C",ToClassName="")</v>
      </c>
      <c r="N338" s="2"/>
    </row>
    <row r="339">
      <c r="A339" s="2"/>
      <c r="B339" s="7"/>
      <c r="C339" s="4"/>
      <c r="D339" s="8" t="s">
        <v>1024</v>
      </c>
      <c r="E339" s="9"/>
      <c r="F339" s="10"/>
      <c r="G339" s="9"/>
      <c r="H339" s="9" t="s">
        <v>1025</v>
      </c>
      <c r="I339" s="10" t="str">
        <f t="shared" si="25"/>
        <v>cheat summon BerserkThylacoleo_Character_BP_S_C</v>
      </c>
      <c r="J339" s="10" t="str">
        <f t="shared" si="26"/>
        <v>admincheat GMSummon "BerserkThylacoleo_Character_BP_S_C" 225</v>
      </c>
      <c r="K339" s="9" t="s">
        <v>1026</v>
      </c>
      <c r="L339" s="9" t="str">
        <f t="shared" si="27"/>
        <v>cheat spawndino "/ArkSupreme/Content/SupremeDinos/4Berserk/Thyla/BerserkThylacoleo_Character_BP_S_C" 500 0 0 35</v>
      </c>
      <c r="M339" s="10" t="str">
        <f t="shared" si="28"/>
        <v>NPCReplacements=(FromClassName="BerserkThylacoleo_Character_BP_S_C",ToClassName="")</v>
      </c>
      <c r="N339" s="2"/>
    </row>
    <row r="340">
      <c r="A340" s="2"/>
      <c r="B340" s="7"/>
      <c r="C340" s="4"/>
      <c r="D340" s="11" t="s">
        <v>1027</v>
      </c>
      <c r="E340" s="12" t="s">
        <v>1028</v>
      </c>
      <c r="F340" s="13"/>
      <c r="G340" s="12"/>
      <c r="H340" s="12" t="s">
        <v>1029</v>
      </c>
      <c r="I340" s="13" t="str">
        <f t="shared" si="25"/>
        <v>cheat summon BerserkTitanosaur_Character_BP_S_C</v>
      </c>
      <c r="J340" s="13" t="str">
        <f t="shared" si="26"/>
        <v>admincheat GMSummon "BerserkTitanosaur_Character_BP_S_C" 225</v>
      </c>
      <c r="K340" s="12" t="s">
        <v>1030</v>
      </c>
      <c r="L340" s="12" t="str">
        <f t="shared" si="27"/>
        <v>cheat spawndino "/ArkSupreme/Content/SupremeDinos/4Berserk/Titanosaur/BerserkTitanosaur_Character_BP_S_C" 500 0 0 35</v>
      </c>
      <c r="M340" s="13" t="str">
        <f t="shared" si="28"/>
        <v>NPCReplacements=(FromClassName="BerserkTitanosaur_Character_BP_S_C",ToClassName="")</v>
      </c>
      <c r="N340" s="2"/>
    </row>
    <row r="341">
      <c r="A341" s="2"/>
      <c r="B341" s="7"/>
      <c r="C341" s="4"/>
      <c r="D341" s="8" t="s">
        <v>1031</v>
      </c>
      <c r="E341" s="9" t="s">
        <v>1028</v>
      </c>
      <c r="F341" s="10"/>
      <c r="G341" s="9"/>
      <c r="H341" s="9" t="s">
        <v>1032</v>
      </c>
      <c r="I341" s="10" t="str">
        <f t="shared" si="25"/>
        <v>cheat summon BerserkTrike_Character_BP_S_C</v>
      </c>
      <c r="J341" s="10" t="str">
        <f t="shared" si="26"/>
        <v>admincheat GMSummon "BerserkTrike_Character_BP_S_C" 225</v>
      </c>
      <c r="K341" s="9" t="s">
        <v>1033</v>
      </c>
      <c r="L341" s="9" t="str">
        <f t="shared" si="27"/>
        <v>cheat spawndino "/ArkSupreme/Content/SupremeDinos/4Berserk/Trike/BerserkTrike_Character_BP_S_C" 500 0 0 35</v>
      </c>
      <c r="M341" s="10" t="str">
        <f t="shared" si="28"/>
        <v>NPCReplacements=(FromClassName="BerserkTrike_Character_BP_S_C",ToClassName="")</v>
      </c>
      <c r="N341" s="2"/>
    </row>
    <row r="342">
      <c r="A342" s="2"/>
      <c r="B342" s="7"/>
      <c r="C342" s="4"/>
      <c r="D342" s="11" t="s">
        <v>1034</v>
      </c>
      <c r="E342" s="12" t="s">
        <v>1028</v>
      </c>
      <c r="F342" s="13"/>
      <c r="G342" s="12"/>
      <c r="H342" s="12" t="s">
        <v>1035</v>
      </c>
      <c r="I342" s="13" t="str">
        <f t="shared" si="25"/>
        <v>cheat summon BerserkTroodon_Character_BP_S_C</v>
      </c>
      <c r="J342" s="13" t="str">
        <f t="shared" si="26"/>
        <v>admincheat GMSummon "BerserkTroodon_Character_BP_S_C" 225</v>
      </c>
      <c r="K342" s="12" t="s">
        <v>1036</v>
      </c>
      <c r="L342" s="12" t="str">
        <f t="shared" si="27"/>
        <v>cheat spawndino "/ArkSupreme/Content/SupremeDinos/4Berserk/Troodon/BerserkTroodon_Character_BP_S_C" 500 0 0 35</v>
      </c>
      <c r="M342" s="13" t="str">
        <f t="shared" si="28"/>
        <v>NPCReplacements=(FromClassName="BerserkTroodon_Character_BP_S_C",ToClassName="")</v>
      </c>
      <c r="N342" s="2"/>
    </row>
    <row r="343">
      <c r="A343" s="2"/>
      <c r="B343" s="7"/>
      <c r="C343" s="4"/>
      <c r="D343" s="8" t="s">
        <v>1037</v>
      </c>
      <c r="E343" s="9" t="s">
        <v>1028</v>
      </c>
      <c r="F343" s="10"/>
      <c r="G343" s="9"/>
      <c r="H343" s="9" t="s">
        <v>1038</v>
      </c>
      <c r="I343" s="10" t="str">
        <f t="shared" si="25"/>
        <v>cheat summon BerserkTurkey_Character_BP_S_C</v>
      </c>
      <c r="J343" s="10" t="str">
        <f t="shared" si="26"/>
        <v>admincheat GMSummon "BerserkTurkey_Character_BP_S_C" 225</v>
      </c>
      <c r="K343" s="9" t="s">
        <v>1039</v>
      </c>
      <c r="L343" s="9" t="str">
        <f t="shared" si="27"/>
        <v>cheat spawndino "/ArkSupreme/Content/SupremeDinos/4Berserk/Turkey/BerserkTurkey_Character_BP_S_C" 500 0 0 35</v>
      </c>
      <c r="M343" s="10" t="str">
        <f t="shared" si="28"/>
        <v>NPCReplacements=(FromClassName="BerserkTurkey_Character_BP_S_C",ToClassName="")</v>
      </c>
      <c r="N343" s="2"/>
    </row>
    <row r="344">
      <c r="A344" s="2"/>
      <c r="B344" s="7"/>
      <c r="C344" s="4"/>
      <c r="D344" s="11" t="s">
        <v>1040</v>
      </c>
      <c r="E344" s="12" t="s">
        <v>1028</v>
      </c>
      <c r="F344" s="13"/>
      <c r="G344" s="12"/>
      <c r="H344" s="12" t="s">
        <v>1041</v>
      </c>
      <c r="I344" s="13" t="str">
        <f t="shared" si="25"/>
        <v>cheat summon BerserkTurtle_Character_BP_S_C</v>
      </c>
      <c r="J344" s="13" t="str">
        <f t="shared" si="26"/>
        <v>admincheat GMSummon "BerserkTurtle_Character_BP_S_C" 225</v>
      </c>
      <c r="K344" s="12" t="s">
        <v>1042</v>
      </c>
      <c r="L344" s="12" t="str">
        <f t="shared" si="27"/>
        <v>cheat spawndino "/ArkSupreme/Content/SupremeDinos/4Berserk/Turtle/BerserkTurtle_Character_BP_S_C" 500 0 0 35</v>
      </c>
      <c r="M344" s="13" t="str">
        <f t="shared" si="28"/>
        <v>NPCReplacements=(FromClassName="BerserkTurtle_Character_BP_S_C",ToClassName="")</v>
      </c>
      <c r="N344" s="2"/>
    </row>
    <row r="345">
      <c r="A345" s="2"/>
      <c r="B345" s="7"/>
      <c r="C345" s="4"/>
      <c r="D345" s="8" t="s">
        <v>1043</v>
      </c>
      <c r="E345" s="9" t="s">
        <v>1028</v>
      </c>
      <c r="F345" s="10"/>
      <c r="G345" s="9"/>
      <c r="H345" s="9" t="s">
        <v>1044</v>
      </c>
      <c r="I345" s="10" t="str">
        <f t="shared" si="25"/>
        <v>cheat summon Spindles_Character_BP_Berserk_S_C</v>
      </c>
      <c r="J345" s="10" t="str">
        <f t="shared" si="26"/>
        <v>admincheat GMSummon "Spindles_Character_BP_Berserk_S_C" 225</v>
      </c>
      <c r="K345" s="9" t="s">
        <v>1045</v>
      </c>
      <c r="L345" s="9" t="str">
        <f t="shared" si="27"/>
        <v>cheat spawndino "/ArkSupreme/Content/SupremeDinos/4Berserk/Velonasaur/Spindles_Character_BP_Berserk_S_C" 500 0 0 35</v>
      </c>
      <c r="M345" s="10" t="str">
        <f t="shared" si="28"/>
        <v>NPCReplacements=(FromClassName="Spindles_Character_BP_Berserk_S_C",ToClassName="")</v>
      </c>
      <c r="N345" s="2"/>
    </row>
    <row r="346">
      <c r="A346" s="2"/>
      <c r="B346" s="7"/>
      <c r="C346" s="4"/>
      <c r="D346" s="11" t="s">
        <v>1046</v>
      </c>
      <c r="E346" s="12" t="s">
        <v>1028</v>
      </c>
      <c r="F346" s="13"/>
      <c r="G346" s="12"/>
      <c r="H346" s="12" t="s">
        <v>1047</v>
      </c>
      <c r="I346" s="13" t="str">
        <f t="shared" si="25"/>
        <v>cheat summon Vulture_Character_BP_Berserk_S_C</v>
      </c>
      <c r="J346" s="13" t="str">
        <f t="shared" si="26"/>
        <v>admincheat GMSummon "Vulture_Character_BP_Berserk_S_C" 225</v>
      </c>
      <c r="K346" s="12" t="s">
        <v>1048</v>
      </c>
      <c r="L346" s="12" t="str">
        <f t="shared" si="27"/>
        <v>cheat spawndino "/ArkSupreme/Content/SupremeDinos/4Berserk/Vulture/Vulture_Character_BP_Berserk_S_C" 500 0 0 35</v>
      </c>
      <c r="M346" s="13" t="str">
        <f t="shared" si="28"/>
        <v>NPCReplacements=(FromClassName="Vulture_Character_BP_Berserk_S_C",ToClassName="")</v>
      </c>
      <c r="N346" s="2"/>
    </row>
    <row r="347">
      <c r="A347" s="2"/>
      <c r="B347" s="7"/>
      <c r="C347" s="4"/>
      <c r="D347" s="8" t="s">
        <v>1049</v>
      </c>
      <c r="E347" s="9" t="s">
        <v>1028</v>
      </c>
      <c r="F347" s="10"/>
      <c r="G347" s="9"/>
      <c r="H347" s="9" t="s">
        <v>1050</v>
      </c>
      <c r="I347" s="10" t="str">
        <f t="shared" si="25"/>
        <v>cheat summon BerserkRhino_Character_BP_S_C</v>
      </c>
      <c r="J347" s="10" t="str">
        <f t="shared" si="26"/>
        <v>admincheat GMSummon "BerserkRhino_Character_BP_S_C" 225</v>
      </c>
      <c r="K347" s="9" t="s">
        <v>1051</v>
      </c>
      <c r="L347" s="9" t="str">
        <f t="shared" si="27"/>
        <v>cheat spawndino "/ArkSupreme/Content/SupremeDinos/4Berserk/WoollyRhino/BerserkRhino_Character_BP_S_C" 500 0 0 35</v>
      </c>
      <c r="M347" s="10" t="str">
        <f t="shared" si="28"/>
        <v>NPCReplacements=(FromClassName="BerserkRhino_Character_BP_S_C",ToClassName="")</v>
      </c>
      <c r="N347" s="2"/>
    </row>
    <row r="348">
      <c r="A348" s="2"/>
      <c r="B348" s="7"/>
      <c r="C348" s="4"/>
      <c r="D348" s="11" t="s">
        <v>1052</v>
      </c>
      <c r="E348" s="12" t="s">
        <v>1028</v>
      </c>
      <c r="F348" s="13"/>
      <c r="G348" s="12"/>
      <c r="H348" s="12" t="s">
        <v>1053</v>
      </c>
      <c r="I348" s="13" t="str">
        <f t="shared" si="25"/>
        <v>cheat summon Wyvern_Character_BP_Fire_Berserk_S_C</v>
      </c>
      <c r="J348" s="13" t="str">
        <f t="shared" si="26"/>
        <v>admincheat GMSummon "Wyvern_Character_BP_Fire_Berserk_S_C" 225</v>
      </c>
      <c r="K348" s="12" t="s">
        <v>1054</v>
      </c>
      <c r="L348" s="12" t="str">
        <f t="shared" si="27"/>
        <v>cheat spawndino "/ArkSupreme/Content/SupremeDinos/4Berserk/Wyvern_Fire/Wyvern_Character_BP_Fire_Berserk_S_C" 500 0 0 35</v>
      </c>
      <c r="M348" s="13" t="str">
        <f t="shared" si="28"/>
        <v>NPCReplacements=(FromClassName="Wyvern_Character_BP_Fire_Berserk_S_C",ToClassName="")</v>
      </c>
      <c r="N348" s="2"/>
    </row>
    <row r="349">
      <c r="A349" s="2"/>
      <c r="B349" s="7"/>
      <c r="C349" s="4"/>
      <c r="D349" s="8" t="s">
        <v>1055</v>
      </c>
      <c r="E349" s="9" t="s">
        <v>1028</v>
      </c>
      <c r="F349" s="10"/>
      <c r="G349" s="9"/>
      <c r="H349" s="9" t="s">
        <v>1056</v>
      </c>
      <c r="I349" s="10" t="str">
        <f t="shared" si="25"/>
        <v>cheat summon Wyvern_Character_BP_Lightning_Berserk_S_C</v>
      </c>
      <c r="J349" s="10" t="str">
        <f t="shared" si="26"/>
        <v>admincheat GMSummon "Wyvern_Character_BP_Lightning_Berserk_S_C" 225</v>
      </c>
      <c r="K349" s="9" t="s">
        <v>1057</v>
      </c>
      <c r="L349" s="9" t="str">
        <f t="shared" si="27"/>
        <v>cheat spawndino "/ArkSupreme/Content/SupremeDinos/4Berserk/Wyvern_Lightning/Wyvern_Character_BP_Lightning_Berserk_S_C" 500 0 0 35</v>
      </c>
      <c r="M349" s="10" t="str">
        <f t="shared" si="28"/>
        <v>NPCReplacements=(FromClassName="Wyvern_Character_BP_Lightning_Berserk_S_C",ToClassName="")</v>
      </c>
      <c r="N349" s="2"/>
    </row>
    <row r="350">
      <c r="A350" s="2"/>
      <c r="B350" s="7"/>
      <c r="C350" s="4"/>
      <c r="D350" s="11" t="s">
        <v>1058</v>
      </c>
      <c r="E350" s="12" t="s">
        <v>1028</v>
      </c>
      <c r="F350" s="13"/>
      <c r="G350" s="12"/>
      <c r="H350" s="12" t="s">
        <v>1059</v>
      </c>
      <c r="I350" s="13" t="str">
        <f t="shared" si="25"/>
        <v>cheat summon Wyvern_Character_BP_Poison_Berserk_S_C</v>
      </c>
      <c r="J350" s="13" t="str">
        <f t="shared" si="26"/>
        <v>admincheat GMSummon "Wyvern_Character_BP_Poison_Berserk_S_C" 225</v>
      </c>
      <c r="K350" s="12" t="s">
        <v>1060</v>
      </c>
      <c r="L350" s="12" t="str">
        <f t="shared" si="27"/>
        <v>cheat spawndino "/ArkSupreme/Content/SupremeDinos/4Berserk/Wyvern_Poison/Wyvern_Character_BP_Poison_Berserk_S_C" 500 0 0 35</v>
      </c>
      <c r="M350" s="13" t="str">
        <f t="shared" si="28"/>
        <v>NPCReplacements=(FromClassName="Wyvern_Character_BP_Poison_Berserk_S_C",ToClassName="")</v>
      </c>
      <c r="N350" s="2"/>
    </row>
    <row r="351">
      <c r="A351" s="2"/>
      <c r="B351" s="7"/>
      <c r="C351" s="4"/>
      <c r="D351" s="8" t="s">
        <v>1061</v>
      </c>
      <c r="E351" s="9" t="s">
        <v>1028</v>
      </c>
      <c r="F351" s="10"/>
      <c r="G351" s="9"/>
      <c r="H351" s="9" t="s">
        <v>1062</v>
      </c>
      <c r="I351" s="10" t="str">
        <f t="shared" si="25"/>
        <v>cheat summon YiLing_Character_BP_Berserk_S_C</v>
      </c>
      <c r="J351" s="10" t="str">
        <f t="shared" si="26"/>
        <v>admincheat GMSummon "YiLing_Character_BP_Berserk_S_C" 225</v>
      </c>
      <c r="K351" s="9" t="s">
        <v>1063</v>
      </c>
      <c r="L351" s="9" t="str">
        <f t="shared" si="27"/>
        <v>cheat spawndino "/ArkSupreme/Content/SupremeDinos/4Berserk/YiLing/YiLing_Character_BP_Berserk_S_C" 500 0 0 35</v>
      </c>
      <c r="M351" s="10" t="str">
        <f t="shared" si="28"/>
        <v>NPCReplacements=(FromClassName="YiLing_Character_BP_Berserk_S_C",ToClassName="")</v>
      </c>
      <c r="N351" s="2"/>
    </row>
    <row r="352">
      <c r="A352" s="2"/>
      <c r="B352" s="7"/>
      <c r="C352" s="4"/>
      <c r="D352" s="11" t="s">
        <v>1064</v>
      </c>
      <c r="E352" s="12" t="s">
        <v>1028</v>
      </c>
      <c r="F352" s="13"/>
      <c r="G352" s="12"/>
      <c r="H352" s="12" t="s">
        <v>1065</v>
      </c>
      <c r="I352" s="13" t="str">
        <f t="shared" si="25"/>
        <v>cheat summon BerserkYutyrannus_Character_BP_S_C</v>
      </c>
      <c r="J352" s="13" t="str">
        <f t="shared" si="26"/>
        <v>admincheat GMSummon "BerserkYutyrannus_Character_BP_S_C" 225</v>
      </c>
      <c r="K352" s="12" t="s">
        <v>1066</v>
      </c>
      <c r="L352" s="12" t="str">
        <f t="shared" si="27"/>
        <v>cheat spawndino "/ArkSupreme/Content/SupremeDinos/4Berserk/Yuty/BerserkYutyrannus_Character_BP_S_C" 500 0 0 35</v>
      </c>
      <c r="M352" s="13" t="str">
        <f t="shared" si="28"/>
        <v>NPCReplacements=(FromClassName="BerserkYutyrannus_Character_BP_S_C",ToClassName="")</v>
      </c>
      <c r="N352" s="2"/>
    </row>
    <row r="353">
      <c r="A353" s="2"/>
      <c r="B353" s="7"/>
      <c r="C353" s="4"/>
      <c r="D353" s="8" t="s">
        <v>1067</v>
      </c>
      <c r="E353" s="9" t="s">
        <v>1028</v>
      </c>
      <c r="F353" s="10"/>
      <c r="G353" s="9"/>
      <c r="H353" s="9" t="s">
        <v>1068</v>
      </c>
      <c r="I353" s="10" t="str">
        <f t="shared" si="25"/>
        <v>cheat summon Berserk_Parrot_Character_BP_S_C</v>
      </c>
      <c r="J353" s="10" t="str">
        <f t="shared" si="26"/>
        <v>admincheat GMSummon "Berserk_Parrot_Character_BP_S_C" 225</v>
      </c>
      <c r="K353" s="9" t="s">
        <v>1069</v>
      </c>
      <c r="L353" s="9" t="str">
        <f t="shared" si="27"/>
        <v>cheat spawndino "/ArkSupreme/Content/SupremeDinos/4Berserk/parrot/Berserk_Parrot_Character_BP_S_C" 500 0 0 35</v>
      </c>
      <c r="M353" s="10" t="str">
        <f t="shared" si="28"/>
        <v>NPCReplacements=(FromClassName="Berserk_Parrot_Character_BP_S_C",ToClassName="")</v>
      </c>
      <c r="N353" s="2"/>
    </row>
    <row r="354">
      <c r="A354" s="2"/>
      <c r="B354" s="23"/>
      <c r="C354" s="19"/>
      <c r="D354" s="20"/>
      <c r="E354" s="20"/>
      <c r="F354" s="21"/>
      <c r="G354" s="20"/>
      <c r="H354" s="20"/>
      <c r="I354" s="21"/>
      <c r="J354" s="21"/>
      <c r="K354" s="20"/>
      <c r="L354" s="20"/>
      <c r="M354" s="21"/>
      <c r="N354" s="2"/>
    </row>
    <row r="355">
      <c r="A355" s="2"/>
      <c r="B355" s="25" t="s">
        <v>1070</v>
      </c>
      <c r="C355" s="4"/>
      <c r="D355" s="8" t="s">
        <v>1071</v>
      </c>
      <c r="E355" s="9" t="s">
        <v>1072</v>
      </c>
      <c r="F355" s="10"/>
      <c r="G355" s="9"/>
      <c r="H355" s="9" t="s">
        <v>1073</v>
      </c>
      <c r="I355" s="10" t="str">
        <f t="shared" ref="I355:I366" si="29">"cheat summon "&amp;H355</f>
        <v>cheat summon NecroticAllo_Character_BP_S_C</v>
      </c>
      <c r="J355" s="10" t="str">
        <f t="shared" ref="J355:J366" si="30"> "admincheat GMSummon " &amp;CHAR(34) &amp; H355&amp;CHAR(34)&amp; " 225"</f>
        <v>admincheat GMSummon "NecroticAllo_Character_BP_S_C" 225</v>
      </c>
      <c r="K355" s="9" t="s">
        <v>1074</v>
      </c>
      <c r="L355" s="9" t="str">
        <f t="shared" ref="L355:L366" si="31"> "cheat spawndino " &amp;CHAR(34) &amp; K355&amp;CHAR(34)&amp; " 500 0 0 35"</f>
        <v>cheat spawndino "/ArkSupreme/Content/SupremeDinos/Necrotic/Allo/NecroticAllo_Character_BP_S_C" 500 0 0 35</v>
      </c>
      <c r="M355" s="10" t="str">
        <f t="shared" ref="M355:M366" si="32">"NPCReplacements=(FromClassName="&amp;CHAR(34)&amp;H355&amp;""&amp;CHAR(34)&amp;",ToClassName="&amp;CHAR(34)&amp;CHAR(34)&amp;")"</f>
        <v>NPCReplacements=(FromClassName="NecroticAllo_Character_BP_S_C",ToClassName="")</v>
      </c>
      <c r="N355" s="2"/>
    </row>
    <row r="356">
      <c r="A356" s="2"/>
      <c r="B356" s="7"/>
      <c r="C356" s="4"/>
      <c r="D356" s="11" t="s">
        <v>1075</v>
      </c>
      <c r="E356" s="12" t="s">
        <v>1072</v>
      </c>
      <c r="F356" s="13"/>
      <c r="G356" s="12"/>
      <c r="H356" s="12" t="s">
        <v>1076</v>
      </c>
      <c r="I356" s="13" t="str">
        <f t="shared" si="29"/>
        <v>cheat summon NecroticArcha_Character_BP_S_C</v>
      </c>
      <c r="J356" s="13" t="str">
        <f t="shared" si="30"/>
        <v>admincheat GMSummon "NecroticArcha_Character_BP_S_C" 225</v>
      </c>
      <c r="K356" s="12" t="s">
        <v>1077</v>
      </c>
      <c r="L356" s="12" t="str">
        <f t="shared" si="31"/>
        <v>cheat spawndino "/ArkSupreme/Content/SupremeDinos/Necrotic/Archaeopteryx/NecroticArcha_Character_BP_S_C" 500 0 0 35</v>
      </c>
      <c r="M356" s="13" t="str">
        <f t="shared" si="32"/>
        <v>NPCReplacements=(FromClassName="NecroticArcha_Character_BP_S_C",ToClassName="")</v>
      </c>
      <c r="N356" s="2"/>
    </row>
    <row r="357">
      <c r="A357" s="2"/>
      <c r="B357" s="7"/>
      <c r="C357" s="4"/>
      <c r="D357" s="8" t="s">
        <v>1078</v>
      </c>
      <c r="E357" s="9" t="s">
        <v>1072</v>
      </c>
      <c r="F357" s="10"/>
      <c r="G357" s="9"/>
      <c r="H357" s="9" t="s">
        <v>1079</v>
      </c>
      <c r="I357" s="10" t="str">
        <f t="shared" si="29"/>
        <v>cheat summon NecroticArgent_Character_BP_S_C</v>
      </c>
      <c r="J357" s="10" t="str">
        <f t="shared" si="30"/>
        <v>admincheat GMSummon "NecroticArgent_Character_BP_S_C" 225</v>
      </c>
      <c r="K357" s="9" t="s">
        <v>1080</v>
      </c>
      <c r="L357" s="9" t="str">
        <f t="shared" si="31"/>
        <v>cheat spawndino "/ArkSupreme/Content/SupremeDinos/Necrotic/Argentavis/NecroticArgent_Character_BP_S_C" 500 0 0 35</v>
      </c>
      <c r="M357" s="10" t="str">
        <f t="shared" si="32"/>
        <v>NPCReplacements=(FromClassName="NecroticArgent_Character_BP_S_C",ToClassName="")</v>
      </c>
      <c r="N357" s="2"/>
    </row>
    <row r="358">
      <c r="A358" s="2"/>
      <c r="B358" s="7"/>
      <c r="C358" s="4"/>
      <c r="D358" s="11" t="s">
        <v>1081</v>
      </c>
      <c r="E358" s="12" t="s">
        <v>1072</v>
      </c>
      <c r="F358" s="13"/>
      <c r="G358" s="12"/>
      <c r="H358" s="12" t="s">
        <v>1082</v>
      </c>
      <c r="I358" s="13" t="str">
        <f t="shared" si="29"/>
        <v>cheat summon NecroticBaryonyx_Character_BP_S_C</v>
      </c>
      <c r="J358" s="13" t="str">
        <f t="shared" si="30"/>
        <v>admincheat GMSummon "NecroticBaryonyx_Character_BP_S_C" 225</v>
      </c>
      <c r="K358" s="12" t="s">
        <v>1083</v>
      </c>
      <c r="L358" s="12" t="str">
        <f t="shared" si="31"/>
        <v>cheat spawndino "/ArkSupreme/Content/SupremeDinos/Necrotic/Baryonyx/NecroticBaryonyx_Character_BP_S_C" 500 0 0 35</v>
      </c>
      <c r="M358" s="13" t="str">
        <f t="shared" si="32"/>
        <v>NPCReplacements=(FromClassName="NecroticBaryonyx_Character_BP_S_C",ToClassName="")</v>
      </c>
      <c r="N358" s="2"/>
    </row>
    <row r="359">
      <c r="A359" s="2"/>
      <c r="B359" s="7"/>
      <c r="C359" s="4"/>
      <c r="D359" s="8" t="s">
        <v>1084</v>
      </c>
      <c r="E359" s="9" t="s">
        <v>1072</v>
      </c>
      <c r="F359" s="10"/>
      <c r="G359" s="9"/>
      <c r="H359" s="9" t="s">
        <v>1085</v>
      </c>
      <c r="I359" s="10" t="str">
        <f t="shared" si="29"/>
        <v>cheat summon NecroticLanternPug_Character_BP_S_C</v>
      </c>
      <c r="J359" s="10" t="str">
        <f t="shared" si="30"/>
        <v>admincheat GMSummon "NecroticLanternPug_Character_BP_S_C" 225</v>
      </c>
      <c r="K359" s="9" t="s">
        <v>1086</v>
      </c>
      <c r="L359" s="9" t="str">
        <f t="shared" si="31"/>
        <v>cheat spawndino "/ArkSupreme/Content/SupremeDinos/Necrotic/Bulbdog/NecroticLanternPug_Character_BP_S_C" 500 0 0 35</v>
      </c>
      <c r="M359" s="10" t="str">
        <f t="shared" si="32"/>
        <v>NPCReplacements=(FromClassName="NecroticLanternPug_Character_BP_S_C",ToClassName="")</v>
      </c>
      <c r="N359" s="2"/>
    </row>
    <row r="360">
      <c r="A360" s="2"/>
      <c r="B360" s="7"/>
      <c r="C360" s="4"/>
      <c r="D360" s="11" t="s">
        <v>1087</v>
      </c>
      <c r="E360" s="12" t="s">
        <v>1072</v>
      </c>
      <c r="F360" s="13"/>
      <c r="G360" s="12"/>
      <c r="H360" s="12" t="s">
        <v>1088</v>
      </c>
      <c r="I360" s="13" t="str">
        <f t="shared" si="29"/>
        <v>cheat summon NecroticDirebear_Character_BP_S_C</v>
      </c>
      <c r="J360" s="13" t="str">
        <f t="shared" si="30"/>
        <v>admincheat GMSummon "NecroticDirebear_Character_BP_S_C" 225</v>
      </c>
      <c r="K360" s="12" t="s">
        <v>1089</v>
      </c>
      <c r="L360" s="12" t="str">
        <f t="shared" si="31"/>
        <v>cheat spawndino "/ArkSupreme/Content/SupremeDinos/Necrotic/Direbear/NecroticDirebear_Character_BP_S_C" 500 0 0 35</v>
      </c>
      <c r="M360" s="13" t="str">
        <f t="shared" si="32"/>
        <v>NPCReplacements=(FromClassName="NecroticDirebear_Character_BP_S_C",ToClassName="")</v>
      </c>
      <c r="N360" s="2"/>
    </row>
    <row r="361">
      <c r="A361" s="2"/>
      <c r="B361" s="7"/>
      <c r="C361" s="4"/>
      <c r="D361" s="8" t="s">
        <v>1090</v>
      </c>
      <c r="E361" s="9" t="s">
        <v>1072</v>
      </c>
      <c r="F361" s="10"/>
      <c r="G361" s="9"/>
      <c r="H361" s="9" t="s">
        <v>1091</v>
      </c>
      <c r="I361" s="10" t="str">
        <f t="shared" si="29"/>
        <v>cheat summon NecroticDirewolf_Character_BP_S_C</v>
      </c>
      <c r="J361" s="10" t="str">
        <f t="shared" si="30"/>
        <v>admincheat GMSummon "NecroticDirewolf_Character_BP_S_C" 225</v>
      </c>
      <c r="K361" s="9" t="s">
        <v>1092</v>
      </c>
      <c r="L361" s="9" t="str">
        <f t="shared" si="31"/>
        <v>cheat spawndino "/ArkSupreme/Content/SupremeDinos/Necrotic/Direwolf/NecroticDirewolf_Character_BP_S_C" 500 0 0 35</v>
      </c>
      <c r="M361" s="10" t="str">
        <f t="shared" si="32"/>
        <v>NPCReplacements=(FromClassName="NecroticDirewolf_Character_BP_S_C",ToClassName="")</v>
      </c>
      <c r="N361" s="2"/>
    </row>
    <row r="362">
      <c r="A362" s="2"/>
      <c r="B362" s="7"/>
      <c r="C362" s="4"/>
      <c r="D362" s="11" t="s">
        <v>1093</v>
      </c>
      <c r="E362" s="12" t="s">
        <v>1072</v>
      </c>
      <c r="F362" s="13"/>
      <c r="G362" s="12"/>
      <c r="H362" s="12" t="s">
        <v>1094</v>
      </c>
      <c r="I362" s="13" t="str">
        <f t="shared" si="29"/>
        <v>cheat summon NecroticDodo_Character_BP_S_C</v>
      </c>
      <c r="J362" s="13" t="str">
        <f t="shared" si="30"/>
        <v>admincheat GMSummon "NecroticDodo_Character_BP_S_C" 225</v>
      </c>
      <c r="K362" s="12" t="s">
        <v>1095</v>
      </c>
      <c r="L362" s="12" t="str">
        <f t="shared" si="31"/>
        <v>cheat spawndino "/ArkSupreme/Content/SupremeDinos/Necrotic/Dodo/NecroticDodo_Character_BP_S_C" 500 0 0 35</v>
      </c>
      <c r="M362" s="13" t="str">
        <f t="shared" si="32"/>
        <v>NPCReplacements=(FromClassName="NecroticDodo_Character_BP_S_C",ToClassName="")</v>
      </c>
      <c r="N362" s="2"/>
    </row>
    <row r="363">
      <c r="A363" s="2"/>
      <c r="B363" s="7"/>
      <c r="C363" s="4"/>
      <c r="D363" s="8" t="s">
        <v>1096</v>
      </c>
      <c r="E363" s="9" t="s">
        <v>1072</v>
      </c>
      <c r="F363" s="10"/>
      <c r="G363" s="9"/>
      <c r="H363" s="9" t="s">
        <v>1097</v>
      </c>
      <c r="I363" s="10" t="str">
        <f t="shared" si="29"/>
        <v>cheat summon NecroticEquus_Character_BP_S_C</v>
      </c>
      <c r="J363" s="10" t="str">
        <f t="shared" si="30"/>
        <v>admincheat GMSummon "NecroticEquus_Character_BP_S_C" 225</v>
      </c>
      <c r="K363" s="9" t="s">
        <v>1098</v>
      </c>
      <c r="L363" s="9" t="str">
        <f t="shared" si="31"/>
        <v>cheat spawndino "/ArkSupreme/Content/SupremeDinos/Necrotic/Equus/NecroticEquus_Character_BP_S_C" 500 0 0 35</v>
      </c>
      <c r="M363" s="10" t="str">
        <f t="shared" si="32"/>
        <v>NPCReplacements=(FromClassName="NecroticEquus_Character_BP_S_C",ToClassName="")</v>
      </c>
      <c r="N363" s="2"/>
    </row>
    <row r="364">
      <c r="A364" s="2"/>
      <c r="B364" s="7"/>
      <c r="C364" s="4"/>
      <c r="D364" s="11" t="s">
        <v>1099</v>
      </c>
      <c r="E364" s="12" t="s">
        <v>1072</v>
      </c>
      <c r="F364" s="13"/>
      <c r="G364" s="12"/>
      <c r="H364" s="12" t="s">
        <v>1100</v>
      </c>
      <c r="I364" s="13" t="str">
        <f t="shared" si="29"/>
        <v>cheat summon NecroticBigfoot_Character_BP_S_C</v>
      </c>
      <c r="J364" s="13" t="str">
        <f t="shared" si="30"/>
        <v>admincheat GMSummon "NecroticBigfoot_Character_BP_S_C" 225</v>
      </c>
      <c r="K364" s="12" t="s">
        <v>1101</v>
      </c>
      <c r="L364" s="12" t="str">
        <f t="shared" si="31"/>
        <v>cheat spawndino "/ArkSupreme/Content/SupremeDinos/Necrotic/Gigantopithecus/NecroticBigfoot_Character_BP_S_C" 500 0 0 35</v>
      </c>
      <c r="M364" s="13" t="str">
        <f t="shared" si="32"/>
        <v>NPCReplacements=(FromClassName="NecroticBigfoot_Character_BP_S_C",ToClassName="")</v>
      </c>
      <c r="N364" s="2"/>
    </row>
    <row r="365">
      <c r="A365" s="2"/>
      <c r="B365" s="7"/>
      <c r="C365" s="4"/>
      <c r="D365" s="8" t="s">
        <v>1102</v>
      </c>
      <c r="E365" s="9" t="s">
        <v>1072</v>
      </c>
      <c r="F365" s="10"/>
      <c r="G365" s="9"/>
      <c r="H365" s="9" t="s">
        <v>1103</v>
      </c>
      <c r="I365" s="10" t="str">
        <f t="shared" si="29"/>
        <v>cheat summon Necrotic_Bee_Character_BP_C</v>
      </c>
      <c r="J365" s="10" t="str">
        <f t="shared" si="30"/>
        <v>admincheat GMSummon "Necrotic_Bee_Character_BP_C" 225</v>
      </c>
      <c r="K365" s="9" t="s">
        <v>1104</v>
      </c>
      <c r="L365" s="9" t="str">
        <f t="shared" si="31"/>
        <v>cheat spawndino "/ArkSupreme/Content/SupremeDinos/0BeeProgression/1Necrotic/Necrotic_Bee_Character_BP_C" 500 0 0 35</v>
      </c>
      <c r="M365" s="10" t="str">
        <f t="shared" si="32"/>
        <v>NPCReplacements=(FromClassName="Necrotic_Bee_Character_BP_C",ToClassName="")</v>
      </c>
      <c r="N365" s="2"/>
    </row>
    <row r="366">
      <c r="A366" s="2"/>
      <c r="B366" s="25"/>
      <c r="C366" s="4"/>
      <c r="D366" s="11" t="s">
        <v>1105</v>
      </c>
      <c r="E366" s="12" t="s">
        <v>1072</v>
      </c>
      <c r="F366" s="13"/>
      <c r="G366" s="12"/>
      <c r="H366" s="12" t="s">
        <v>1106</v>
      </c>
      <c r="I366" s="13" t="str">
        <f t="shared" si="29"/>
        <v>cheat summon Bee_Queen_Character_BPNecroticParent_C</v>
      </c>
      <c r="J366" s="13" t="str">
        <f t="shared" si="30"/>
        <v>admincheat GMSummon "Bee_Queen_Character_BPNecroticParent_C" 225</v>
      </c>
      <c r="K366" s="12" t="s">
        <v>1107</v>
      </c>
      <c r="L366" s="12" t="str">
        <f t="shared" si="31"/>
        <v>cheat spawndino "/ArkSupreme/Content/SupremeDinos/0BeeProgression/1Necrotic/Parent/Bee_Queen_Character_BPNecroticParent_C" 500 0 0 35</v>
      </c>
      <c r="M366" s="13" t="str">
        <f t="shared" si="32"/>
        <v>NPCReplacements=(FromClassName="Bee_Queen_Character_BPNecroticParent_C",ToClassName="")</v>
      </c>
      <c r="N366" s="2"/>
    </row>
    <row r="367">
      <c r="A367" s="2"/>
      <c r="B367" s="18"/>
      <c r="C367" s="19">
        <f t="shared" ref="C367:C368" si="33">IF(E367="Alpha",1)+IF(E367="Apex",2)+IF(E367="Earth",3)+IF(E367="Frost",3)+IF(E367="Nature",3)+IF(E367="Storm",4)+IF(E367="Volcanic",4)+IF(E367="Bionic",5)+IF(E367="Legendary",5)+IF(E367="Demonic",6)+IF(E367="Celestial",6)+IF(E367="Godly",7)+IF(E367="Loot",8)+IF(E367="Boss",9)</f>
        <v>0</v>
      </c>
      <c r="D367" s="21"/>
      <c r="E367" s="21"/>
      <c r="F367" s="21"/>
      <c r="G367" s="21"/>
      <c r="H367" s="21"/>
      <c r="I367" s="21"/>
      <c r="J367" s="21"/>
      <c r="K367" s="21"/>
      <c r="L367" s="20"/>
      <c r="M367" s="21"/>
      <c r="N367" s="2"/>
    </row>
    <row r="368">
      <c r="A368" s="2"/>
      <c r="B368" s="26" t="s">
        <v>1108</v>
      </c>
      <c r="C368" s="4">
        <f t="shared" si="33"/>
        <v>3</v>
      </c>
      <c r="D368" s="11" t="s">
        <v>1109</v>
      </c>
      <c r="E368" s="12" t="s">
        <v>1110</v>
      </c>
      <c r="F368" s="13"/>
      <c r="G368" s="12"/>
      <c r="H368" s="12" t="s">
        <v>1111</v>
      </c>
      <c r="I368" s="13" t="str">
        <f t="shared" ref="I368:I372" si="34">"cheat summon "&amp;H368</f>
        <v>cheat summon GrenadierBigfoot_Character_BP_C</v>
      </c>
      <c r="J368" s="13" t="str">
        <f t="shared" ref="J368:J372" si="35"> "admincheat GMSummon " &amp;CHAR(34) &amp; H368&amp;CHAR(34)&amp; " 225"</f>
        <v>admincheat GMSummon "GrenadierBigfoot_Character_BP_C" 225</v>
      </c>
      <c r="K368" s="12" t="s">
        <v>1112</v>
      </c>
      <c r="L368" s="12" t="str">
        <f t="shared" ref="L368:L372" si="36"> "cheat spawndino " &amp;CHAR(34) &amp; K368&amp;CHAR(34)&amp; " 500 0 0 35"</f>
        <v>cheat spawndino "/ArkSupreme/Content/SupremeDinos/6Grenadier/Bigfoot/GrenadierBigfoot_Character_BP_C" 500 0 0 35</v>
      </c>
      <c r="M368" s="13" t="str">
        <f t="shared" ref="M368:M372" si="37">"NPCReplacements=(FromClassName="&amp;CHAR(34)&amp;H368&amp;""&amp;CHAR(34)&amp;",ToClassName="&amp;CHAR(34)&amp;CHAR(34)&amp;")"</f>
        <v>NPCReplacements=(FromClassName="GrenadierBigfoot_Character_BP_C",ToClassName="")</v>
      </c>
      <c r="N368" s="2"/>
    </row>
    <row r="369">
      <c r="A369" s="2"/>
      <c r="B369" s="7"/>
      <c r="C369" s="4"/>
      <c r="D369" s="8" t="s">
        <v>1113</v>
      </c>
      <c r="E369" s="9" t="s">
        <v>1114</v>
      </c>
      <c r="F369" s="10"/>
      <c r="G369" s="27"/>
      <c r="H369" s="28" t="s">
        <v>1115</v>
      </c>
      <c r="I369" s="10" t="str">
        <f t="shared" si="34"/>
        <v>cheat summon GrenadierDodo_Character_BP_C</v>
      </c>
      <c r="J369" s="10" t="str">
        <f t="shared" si="35"/>
        <v>admincheat GMSummon "GrenadierDodo_Character_BP_C" 225</v>
      </c>
      <c r="K369" s="28" t="s">
        <v>1116</v>
      </c>
      <c r="L369" s="9" t="str">
        <f t="shared" si="36"/>
        <v>cheat spawndino "/ArkSupreme/Content/SupremeDinos/6Grenadier/Dodo/GrenadierDodo_Character_BP_C" 500 0 0 35</v>
      </c>
      <c r="M369" s="10" t="str">
        <f t="shared" si="37"/>
        <v>NPCReplacements=(FromClassName="GrenadierDodo_Character_BP_C",ToClassName="")</v>
      </c>
      <c r="N369" s="2"/>
    </row>
    <row r="370">
      <c r="A370" s="2"/>
      <c r="B370" s="7"/>
      <c r="C370" s="4">
        <f t="shared" ref="C370:C375" si="38">IF(E370="Alpha",1)+IF(E370="Apex",2)+IF(E370="Earth",3)+IF(E370="Frost",3)+IF(E370="Nature",3)+IF(E370="Storm",4)+IF(E370="Volcanic",4)+IF(E370="Bionic",5)+IF(E370="Legendary",5)+IF(E370="Demonic",6)+IF(E370="Celestial",6)+IF(E370="Godly",7)+IF(E370="Loot",8)+IF(E370="Boss",9)</f>
        <v>3</v>
      </c>
      <c r="D370" s="11" t="s">
        <v>1117</v>
      </c>
      <c r="E370" s="12" t="s">
        <v>1110</v>
      </c>
      <c r="F370" s="13"/>
      <c r="G370" s="12"/>
      <c r="H370" s="12" t="s">
        <v>1118</v>
      </c>
      <c r="I370" s="13" t="str">
        <f t="shared" si="34"/>
        <v>cheat summon GrenadierDoed_Character_BP_C</v>
      </c>
      <c r="J370" s="13" t="str">
        <f t="shared" si="35"/>
        <v>admincheat GMSummon "GrenadierDoed_Character_BP_C" 225</v>
      </c>
      <c r="K370" s="12" t="s">
        <v>1119</v>
      </c>
      <c r="L370" s="12" t="str">
        <f t="shared" si="36"/>
        <v>cheat spawndino "/ArkSupreme/Content/SupremeDinos/6Grenadier/Doedic/GrenadierDoed_Character_BP_C" 500 0 0 35</v>
      </c>
      <c r="M370" s="13" t="str">
        <f t="shared" si="37"/>
        <v>NPCReplacements=(FromClassName="GrenadierDoed_Character_BP_C",ToClassName="")</v>
      </c>
      <c r="N370" s="2"/>
    </row>
    <row r="371">
      <c r="A371" s="2"/>
      <c r="B371" s="7"/>
      <c r="C371" s="4">
        <f t="shared" si="38"/>
        <v>3</v>
      </c>
      <c r="D371" s="8" t="s">
        <v>1120</v>
      </c>
      <c r="E371" s="9" t="s">
        <v>1110</v>
      </c>
      <c r="F371" s="10"/>
      <c r="G371" s="9"/>
      <c r="H371" s="9" t="s">
        <v>1121</v>
      </c>
      <c r="I371" s="10" t="str">
        <f t="shared" si="34"/>
        <v>cheat summon GrenadierMonkey_Character_BP_C</v>
      </c>
      <c r="J371" s="10" t="str">
        <f t="shared" si="35"/>
        <v>admincheat GMSummon "GrenadierMonkey_Character_BP_C" 225</v>
      </c>
      <c r="K371" s="9" t="s">
        <v>1122</v>
      </c>
      <c r="L371" s="9" t="str">
        <f t="shared" si="36"/>
        <v>cheat spawndino "/ArkSupreme/Content/SupremeDinos/6Grenadier/Monkey/GrenadierMonkey_Character_BP_C" 500 0 0 35</v>
      </c>
      <c r="M371" s="10" t="str">
        <f t="shared" si="37"/>
        <v>NPCReplacements=(FromClassName="GrenadierMonkey_Character_BP_C",ToClassName="")</v>
      </c>
      <c r="N371" s="2"/>
    </row>
    <row r="372">
      <c r="A372" s="2"/>
      <c r="B372" s="29"/>
      <c r="C372" s="4">
        <f t="shared" si="38"/>
        <v>3</v>
      </c>
      <c r="D372" s="11" t="s">
        <v>1123</v>
      </c>
      <c r="E372" s="12" t="s">
        <v>1110</v>
      </c>
      <c r="F372" s="13"/>
      <c r="G372" s="12"/>
      <c r="H372" s="12" t="s">
        <v>1124</v>
      </c>
      <c r="I372" s="13" t="str">
        <f t="shared" si="34"/>
        <v>cheat summon GrenadierSpino_Character_BP_C</v>
      </c>
      <c r="J372" s="13" t="str">
        <f t="shared" si="35"/>
        <v>admincheat GMSummon "GrenadierSpino_Character_BP_C" 225</v>
      </c>
      <c r="K372" s="12" t="s">
        <v>1125</v>
      </c>
      <c r="L372" s="12" t="str">
        <f t="shared" si="36"/>
        <v>cheat spawndino "/ArkSupreme/Content/SupremeDinos/6Grenadier/Spino/GrenadierSpino_Character_BP_C" 500 0 0 35</v>
      </c>
      <c r="M372" s="13" t="str">
        <f t="shared" si="37"/>
        <v>NPCReplacements=(FromClassName="GrenadierSpino_Character_BP_C",ToClassName="")</v>
      </c>
      <c r="N372" s="2"/>
    </row>
    <row r="373">
      <c r="A373" s="2"/>
      <c r="B373" s="18"/>
      <c r="C373" s="19">
        <f t="shared" si="38"/>
        <v>0</v>
      </c>
      <c r="D373" s="21"/>
      <c r="E373" s="21"/>
      <c r="F373" s="21"/>
      <c r="G373" s="21"/>
      <c r="H373" s="21"/>
      <c r="I373" s="21"/>
      <c r="J373" s="21"/>
      <c r="K373" s="21"/>
      <c r="L373" s="20"/>
      <c r="M373" s="21"/>
      <c r="N373" s="2"/>
    </row>
    <row r="374">
      <c r="A374" s="2"/>
      <c r="B374" s="30" t="s">
        <v>1126</v>
      </c>
      <c r="C374" s="4">
        <f t="shared" si="38"/>
        <v>3</v>
      </c>
      <c r="D374" s="11" t="s">
        <v>1127</v>
      </c>
      <c r="E374" s="12" t="s">
        <v>1128</v>
      </c>
      <c r="F374" s="13"/>
      <c r="G374" s="12"/>
      <c r="H374" s="12" t="s">
        <v>1129</v>
      </c>
      <c r="I374" s="13" t="str">
        <f t="shared" ref="I374:I379" si="39">"cheat summon "&amp;H374</f>
        <v>cheat summon Prime_Mammoth_Character_BP_C</v>
      </c>
      <c r="J374" s="13" t="str">
        <f t="shared" ref="J374:J379" si="40"> "admincheat GMSummon " &amp;CHAR(34) &amp; H374&amp;CHAR(34)&amp; " 225"</f>
        <v>admincheat GMSummon "Prime_Mammoth_Character_BP_C" 225</v>
      </c>
      <c r="K374" s="12" t="s">
        <v>1130</v>
      </c>
      <c r="L374" s="12" t="str">
        <f t="shared" ref="L374:L379" si="41"> "cheat spawndino " &amp;CHAR(34) &amp; K374&amp;CHAR(34)&amp; " 500 0 0 35"</f>
        <v>cheat spawndino "/ArkSupreme/Content/SupremeDinos/7Prime/Mammoth/Prime_Mammoth_Character_BP_C" 500 0 0 35</v>
      </c>
      <c r="M374" s="13" t="str">
        <f t="shared" ref="M374:M379" si="42">"NPCReplacements=(FromClassName="&amp;CHAR(34)&amp;H374&amp;""&amp;CHAR(34)&amp;",ToClassName="&amp;CHAR(34)&amp;CHAR(34)&amp;")"</f>
        <v>NPCReplacements=(FromClassName="Prime_Mammoth_Character_BP_C",ToClassName="")</v>
      </c>
      <c r="N374" s="2"/>
    </row>
    <row r="375">
      <c r="A375" s="2"/>
      <c r="B375" s="7"/>
      <c r="C375" s="4">
        <f t="shared" si="38"/>
        <v>3</v>
      </c>
      <c r="D375" s="8" t="s">
        <v>1131</v>
      </c>
      <c r="E375" s="9" t="s">
        <v>1128</v>
      </c>
      <c r="F375" s="10"/>
      <c r="G375" s="9"/>
      <c r="H375" s="9" t="s">
        <v>1132</v>
      </c>
      <c r="I375" s="10" t="str">
        <f t="shared" si="39"/>
        <v>cheat summon Prime_Saber_Character_BP_S_C</v>
      </c>
      <c r="J375" s="10" t="str">
        <f t="shared" si="40"/>
        <v>admincheat GMSummon "Prime_Saber_Character_BP_S_C" 225</v>
      </c>
      <c r="K375" s="9" t="s">
        <v>1133</v>
      </c>
      <c r="L375" s="9" t="str">
        <f t="shared" si="41"/>
        <v>cheat spawndino "/ArkSupreme/Content/SupremeDinos/7Prime/Saber/Prime_Saber_Character_BP_S_C" 500 0 0 35</v>
      </c>
      <c r="M375" s="10" t="str">
        <f t="shared" si="42"/>
        <v>NPCReplacements=(FromClassName="Prime_Saber_Character_BP_S_C",ToClassName="")</v>
      </c>
      <c r="N375" s="2"/>
    </row>
    <row r="376">
      <c r="A376" s="2"/>
      <c r="B376" s="7"/>
      <c r="C376" s="4"/>
      <c r="D376" s="11" t="s">
        <v>1134</v>
      </c>
      <c r="E376" s="12"/>
      <c r="F376" s="13"/>
      <c r="G376" s="12"/>
      <c r="H376" s="12" t="s">
        <v>1135</v>
      </c>
      <c r="I376" s="13" t="str">
        <f t="shared" si="39"/>
        <v>cheat summon Prime_Bee_Character_BP_C</v>
      </c>
      <c r="J376" s="13" t="str">
        <f t="shared" si="40"/>
        <v>admincheat GMSummon "Prime_Bee_Character_BP_C" 225</v>
      </c>
      <c r="K376" s="12" t="s">
        <v>1136</v>
      </c>
      <c r="L376" s="12" t="str">
        <f t="shared" si="41"/>
        <v>cheat spawndino "/ArkSupreme/Content/SupremeDinos/0BeeProgression/2Prime/Parent/Bee_Queen_Character_BPPrimeParent_C" 500 0 0 35</v>
      </c>
      <c r="M376" s="13" t="str">
        <f t="shared" si="42"/>
        <v>NPCReplacements=(FromClassName="Prime_Bee_Character_BP_C",ToClassName="")</v>
      </c>
      <c r="N376" s="2"/>
    </row>
    <row r="377">
      <c r="A377" s="2"/>
      <c r="B377" s="7"/>
      <c r="C377" s="4"/>
      <c r="D377" s="8" t="s">
        <v>1137</v>
      </c>
      <c r="E377" s="9"/>
      <c r="F377" s="10"/>
      <c r="G377" s="9"/>
      <c r="H377" s="9" t="s">
        <v>1138</v>
      </c>
      <c r="I377" s="10" t="str">
        <f t="shared" si="39"/>
        <v>cheat summon Bee_Queen_Character_BPPrimeParent_C</v>
      </c>
      <c r="J377" s="10" t="str">
        <f t="shared" si="40"/>
        <v>admincheat GMSummon "Bee_Queen_Character_BPPrimeParent_C" 225</v>
      </c>
      <c r="K377" s="9" t="s">
        <v>1139</v>
      </c>
      <c r="L377" s="9" t="str">
        <f t="shared" si="41"/>
        <v>cheat spawndino "/ArkSupreme/Content/SupremeDinos/0BeeProgression/2Prime/Prime_Bee_Character_BP_C" 500 0 0 35</v>
      </c>
      <c r="M377" s="10" t="str">
        <f t="shared" si="42"/>
        <v>NPCReplacements=(FromClassName="Bee_Queen_Character_BPPrimeParent_C",ToClassName="")</v>
      </c>
      <c r="N377" s="2"/>
    </row>
    <row r="378">
      <c r="A378" s="2"/>
      <c r="B378" s="7"/>
      <c r="C378" s="4">
        <f t="shared" ref="C378:C379" si="43">IF(E378="Alpha",1)+IF(E378="Apex",2)+IF(E378="Earth",3)+IF(E378="Frost",3)+IF(E378="Nature",3)+IF(E378="Storm",4)+IF(E378="Volcanic",4)+IF(E378="Bionic",5)+IF(E378="Legendary",5)+IF(E378="Demonic",6)+IF(E378="Celestial",6)+IF(E378="Godly",7)+IF(E378="Loot",8)+IF(E378="Boss",9)</f>
        <v>3</v>
      </c>
      <c r="D378" s="11" t="s">
        <v>1140</v>
      </c>
      <c r="E378" s="12" t="s">
        <v>1128</v>
      </c>
      <c r="F378" s="13"/>
      <c r="G378" s="12"/>
      <c r="H378" s="12" t="s">
        <v>1141</v>
      </c>
      <c r="I378" s="13" t="str">
        <f t="shared" si="39"/>
        <v>cheat summon Prime_Wyvern_Character_BP_S_C</v>
      </c>
      <c r="J378" s="13" t="str">
        <f t="shared" si="40"/>
        <v>admincheat GMSummon "Prime_Wyvern_Character_BP_S_C" 225</v>
      </c>
      <c r="K378" s="12" t="s">
        <v>1142</v>
      </c>
      <c r="L378" s="12" t="str">
        <f t="shared" si="41"/>
        <v>cheat spawndino "/ArkSupreme/Content/SupremeDinos/7Prime/Wyvern/Prime_Wyvern_Character_BP_S_C" 500 0 0 35</v>
      </c>
      <c r="M378" s="13" t="str">
        <f t="shared" si="42"/>
        <v>NPCReplacements=(FromClassName="Prime_Wyvern_Character_BP_S_C",ToClassName="")</v>
      </c>
      <c r="N378" s="2"/>
    </row>
    <row r="379">
      <c r="A379" s="2"/>
      <c r="B379" s="29"/>
      <c r="C379" s="4">
        <f t="shared" si="43"/>
        <v>3</v>
      </c>
      <c r="D379" s="8" t="s">
        <v>1143</v>
      </c>
      <c r="E379" s="9" t="s">
        <v>1128</v>
      </c>
      <c r="F379" s="10"/>
      <c r="G379" s="9"/>
      <c r="H379" s="9" t="s">
        <v>1144</v>
      </c>
      <c r="I379" s="10" t="str">
        <f t="shared" si="39"/>
        <v>cheat summon Prime_Defender_Character_BP_C</v>
      </c>
      <c r="J379" s="10" t="str">
        <f t="shared" si="40"/>
        <v>admincheat GMSummon "Prime_Defender_Character_BP_C" 225</v>
      </c>
      <c r="K379" s="9" t="s">
        <v>1145</v>
      </c>
      <c r="L379" s="9" t="str">
        <f t="shared" si="41"/>
        <v>cheat spawndino "/ArkSupreme/Content/SupremeDinos/7Prime/defenseunit/Prime_Defender_Character_BP_C" 500 0 0 35</v>
      </c>
      <c r="M379" s="10" t="str">
        <f t="shared" si="42"/>
        <v>NPCReplacements=(FromClassName="Prime_Defender_Character_BP_C",ToClassName="")</v>
      </c>
      <c r="N379" s="2"/>
    </row>
    <row r="380">
      <c r="A380" s="2"/>
      <c r="B380" s="18"/>
      <c r="C380" s="19"/>
      <c r="D380" s="21"/>
      <c r="E380" s="21"/>
      <c r="F380" s="21"/>
      <c r="G380" s="21"/>
      <c r="H380" s="21"/>
      <c r="I380" s="21"/>
      <c r="J380" s="21"/>
      <c r="K380" s="21"/>
      <c r="L380" s="20"/>
      <c r="M380" s="21"/>
      <c r="N380" s="2"/>
    </row>
    <row r="381">
      <c r="A381" s="2"/>
      <c r="B381" s="31" t="s">
        <v>1146</v>
      </c>
      <c r="C381" s="19"/>
      <c r="D381" s="8" t="s">
        <v>1147</v>
      </c>
      <c r="E381" s="9"/>
      <c r="F381" s="10"/>
      <c r="G381" s="9"/>
      <c r="H381" s="9" t="s">
        <v>1148</v>
      </c>
      <c r="I381" s="10" t="str">
        <f t="shared" ref="I381:I398" si="44">"cheat summon "&amp;H381</f>
        <v>cheat summon Nuclear_Allo_Character_BP_C</v>
      </c>
      <c r="J381" s="10" t="str">
        <f t="shared" ref="J381:J398" si="45"> "admincheat GMSummon " &amp;CHAR(34) &amp; H381&amp;CHAR(34)&amp; " 225"</f>
        <v>admincheat GMSummon "Nuclear_Allo_Character_BP_C" 225</v>
      </c>
      <c r="K381" s="9" t="s">
        <v>1149</v>
      </c>
      <c r="L381" s="9" t="str">
        <f t="shared" ref="L381:L398" si="46"> "cheat spawndino " &amp;CHAR(34) &amp; K381&amp;CHAR(34)&amp; " 500 0 0 35"</f>
        <v>cheat spawndino "/ArkSupreme/Content/SupremeDinos/8Nuclear_Vampiric/Nuclear/Allo/Nuclear_Allo_Character_BP_C" 500 0 0 35</v>
      </c>
      <c r="M381" s="10" t="str">
        <f t="shared" ref="M381:M398" si="47">"NPCReplacements=(FromClassName="&amp;CHAR(34)&amp;H381&amp;""&amp;CHAR(34)&amp;",ToClassName="&amp;CHAR(34)&amp;CHAR(34)&amp;")"</f>
        <v>NPCReplacements=(FromClassName="Nuclear_Allo_Character_BP_C",ToClassName="")</v>
      </c>
      <c r="N381" s="2"/>
    </row>
    <row r="382">
      <c r="A382" s="2"/>
      <c r="B382" s="7"/>
      <c r="C382" s="19"/>
      <c r="D382" s="11" t="s">
        <v>1150</v>
      </c>
      <c r="E382" s="12"/>
      <c r="F382" s="13"/>
      <c r="G382" s="12"/>
      <c r="H382" s="12" t="s">
        <v>1151</v>
      </c>
      <c r="I382" s="13" t="str">
        <f t="shared" si="44"/>
        <v>cheat summon Nuclear_Basilisk_Character_BP_C</v>
      </c>
      <c r="J382" s="13" t="str">
        <f t="shared" si="45"/>
        <v>admincheat GMSummon "Nuclear_Basilisk_Character_BP_C" 225</v>
      </c>
      <c r="K382" s="12" t="s">
        <v>1152</v>
      </c>
      <c r="L382" s="12" t="str">
        <f t="shared" si="46"/>
        <v>cheat spawndino "/ArkSupreme/Content/SupremeDinos/8Nuclear_Vampiric/Nuclear/Basilisk/Nuclear_Basilisk_Character_BP_C" 500 0 0 35</v>
      </c>
      <c r="M382" s="13" t="str">
        <f t="shared" si="47"/>
        <v>NPCReplacements=(FromClassName="Nuclear_Basilisk_Character_BP_C",ToClassName="")</v>
      </c>
      <c r="N382" s="2"/>
    </row>
    <row r="383">
      <c r="A383" s="2"/>
      <c r="B383" s="7"/>
      <c r="C383" s="19"/>
      <c r="D383" s="8" t="s">
        <v>1153</v>
      </c>
      <c r="E383" s="9"/>
      <c r="F383" s="10"/>
      <c r="G383" s="9"/>
      <c r="H383" s="9" t="s">
        <v>1154</v>
      </c>
      <c r="I383" s="10" t="str">
        <f t="shared" si="44"/>
        <v>cheat summon NuclearBroodmother_Character_BP_S_C</v>
      </c>
      <c r="J383" s="10" t="str">
        <f t="shared" si="45"/>
        <v>admincheat GMSummon "NuclearBroodmother_Character_BP_S_C" 225</v>
      </c>
      <c r="K383" s="9" t="s">
        <v>1155</v>
      </c>
      <c r="L383" s="9" t="str">
        <f t="shared" si="46"/>
        <v>cheat spawndino "/ArkSupreme/Content/SupremeDinos/8Nuclear_Vampiric/Nuclear/Broodmother/NuclearBroodmother_Character_BP_S_C" 500 0 0 35</v>
      </c>
      <c r="M383" s="10" t="str">
        <f t="shared" si="47"/>
        <v>NPCReplacements=(FromClassName="NuclearBroodmother_Character_BP_S_C",ToClassName="")</v>
      </c>
      <c r="N383" s="2"/>
    </row>
    <row r="384">
      <c r="A384" s="2"/>
      <c r="B384" s="7"/>
      <c r="C384" s="19"/>
      <c r="D384" s="11" t="s">
        <v>1156</v>
      </c>
      <c r="E384" s="12"/>
      <c r="F384" s="13"/>
      <c r="G384" s="12"/>
      <c r="H384" s="12" t="s">
        <v>1157</v>
      </c>
      <c r="I384" s="13" t="str">
        <f t="shared" si="44"/>
        <v>cheat summon Nuclear_Deathworm_Character_BP_C</v>
      </c>
      <c r="J384" s="13" t="str">
        <f t="shared" si="45"/>
        <v>admincheat GMSummon "Nuclear_Deathworm_Character_BP_C" 225</v>
      </c>
      <c r="K384" s="12" t="s">
        <v>1158</v>
      </c>
      <c r="L384" s="12" t="str">
        <f t="shared" si="46"/>
        <v>cheat spawndino "/ArkSupreme/Content/SupremeDinos/8Nuclear_Vampiric/Nuclear/Deathworm/Nuclear_Deathworm_Character_BP_C" 500 0 0 35</v>
      </c>
      <c r="M384" s="13" t="str">
        <f t="shared" si="47"/>
        <v>NPCReplacements=(FromClassName="Nuclear_Deathworm_Character_BP_C",ToClassName="")</v>
      </c>
      <c r="N384" s="2"/>
    </row>
    <row r="385">
      <c r="A385" s="2"/>
      <c r="B385" s="7"/>
      <c r="C385" s="19"/>
      <c r="D385" s="8" t="s">
        <v>1159</v>
      </c>
      <c r="E385" s="9"/>
      <c r="F385" s="10"/>
      <c r="G385" s="9"/>
      <c r="H385" s="9" t="s">
        <v>1160</v>
      </c>
      <c r="I385" s="10" t="str">
        <f t="shared" si="44"/>
        <v>cheat summon Nuclear_Gigant_Character_BP_C</v>
      </c>
      <c r="J385" s="10" t="str">
        <f t="shared" si="45"/>
        <v>admincheat GMSummon "Nuclear_Gigant_Character_BP_C" 225</v>
      </c>
      <c r="K385" s="9" t="s">
        <v>1161</v>
      </c>
      <c r="L385" s="9" t="str">
        <f t="shared" si="46"/>
        <v>cheat spawndino "/ArkSupreme/Content/SupremeDinos/8Nuclear_Vampiric/Nuclear/Giga/Nuclear_Gigant_Character_BP_C" 500 0 0 35</v>
      </c>
      <c r="M385" s="10" t="str">
        <f t="shared" si="47"/>
        <v>NPCReplacements=(FromClassName="Nuclear_Gigant_Character_BP_C",ToClassName="")</v>
      </c>
      <c r="N385" s="2"/>
    </row>
    <row r="386">
      <c r="A386" s="2"/>
      <c r="B386" s="7"/>
      <c r="C386" s="19"/>
      <c r="D386" s="11" t="s">
        <v>1162</v>
      </c>
      <c r="E386" s="12"/>
      <c r="F386" s="13"/>
      <c r="G386" s="12"/>
      <c r="H386" s="12" t="s">
        <v>1163</v>
      </c>
      <c r="I386" s="13" t="str">
        <f t="shared" si="44"/>
        <v>cheat summon Nuclear_Gorilla_Character_BP_C</v>
      </c>
      <c r="J386" s="13" t="str">
        <f t="shared" si="45"/>
        <v>admincheat GMSummon "Nuclear_Gorilla_Character_BP_C" 225</v>
      </c>
      <c r="K386" s="12" t="s">
        <v>1164</v>
      </c>
      <c r="L386" s="12" t="str">
        <f t="shared" si="46"/>
        <v>cheat spawndino "/ArkSupreme/Content/SupremeDinos/8Nuclear_Vampiric/Nuclear/Gorilla/Nuclear_Gorilla_Character_BP_C" 500 0 0 35</v>
      </c>
      <c r="M386" s="13" t="str">
        <f t="shared" si="47"/>
        <v>NPCReplacements=(FromClassName="Nuclear_Gorilla_Character_BP_C",ToClassName="")</v>
      </c>
      <c r="N386" s="2"/>
    </row>
    <row r="387">
      <c r="A387" s="2"/>
      <c r="B387" s="7"/>
      <c r="C387" s="19"/>
      <c r="D387" s="8" t="s">
        <v>1165</v>
      </c>
      <c r="E387" s="9"/>
      <c r="F387" s="10"/>
      <c r="G387" s="9"/>
      <c r="H387" s="9" t="s">
        <v>1166</v>
      </c>
      <c r="I387" s="10" t="str">
        <f t="shared" si="44"/>
        <v>cheat summon Nuclear_Hydra_Character_BP_C</v>
      </c>
      <c r="J387" s="10" t="str">
        <f t="shared" si="45"/>
        <v>admincheat GMSummon "Nuclear_Hydra_Character_BP_C" 225</v>
      </c>
      <c r="K387" s="9" t="s">
        <v>1167</v>
      </c>
      <c r="L387" s="9" t="str">
        <f t="shared" si="46"/>
        <v>cheat spawndino "/ArkSupreme/Content/SupremeDinos/8Nuclear_Vampiric/Nuclear/Hydra/Nuclear_Hydra_Character_BP_C" 500 0 0 35</v>
      </c>
      <c r="M387" s="10" t="str">
        <f t="shared" si="47"/>
        <v>NPCReplacements=(FromClassName="Nuclear_Hydra_Character_BP_C",ToClassName="")</v>
      </c>
      <c r="N387" s="2"/>
    </row>
    <row r="388">
      <c r="A388" s="2"/>
      <c r="B388" s="7"/>
      <c r="C388" s="19"/>
      <c r="D388" s="11" t="s">
        <v>1168</v>
      </c>
      <c r="E388" s="12"/>
      <c r="F388" s="13"/>
      <c r="G388" s="12"/>
      <c r="H388" s="12" t="s">
        <v>1169</v>
      </c>
      <c r="I388" s="13" t="str">
        <f t="shared" si="44"/>
        <v>cheat summon Nuclear_Maelizard_Character_BP_C</v>
      </c>
      <c r="J388" s="13" t="str">
        <f t="shared" si="45"/>
        <v>admincheat GMSummon "Nuclear_Maelizard_Character_BP_C" 225</v>
      </c>
      <c r="K388" s="12" t="s">
        <v>1170</v>
      </c>
      <c r="L388" s="12" t="str">
        <f t="shared" si="46"/>
        <v>cheat spawndino "/ArkSupreme/Content/SupremeDinos/8Nuclear_Vampiric/Nuclear/maeguana/Nuclear_Maelizard_Character_BP_C" 500 0 0 35</v>
      </c>
      <c r="M388" s="13" t="str">
        <f t="shared" si="47"/>
        <v>NPCReplacements=(FromClassName="Nuclear_Maelizard_Character_BP_C",ToClassName="")</v>
      </c>
      <c r="N388" s="2"/>
    </row>
    <row r="389">
      <c r="A389" s="2"/>
      <c r="B389" s="7"/>
      <c r="C389" s="19"/>
      <c r="D389" s="8" t="s">
        <v>1171</v>
      </c>
      <c r="E389" s="9"/>
      <c r="F389" s="10"/>
      <c r="G389" s="9"/>
      <c r="H389" s="9" t="s">
        <v>1172</v>
      </c>
      <c r="I389" s="10" t="str">
        <f t="shared" si="44"/>
        <v>cheat summon NuclearRaptor_Character_BP_S_C</v>
      </c>
      <c r="J389" s="10" t="str">
        <f t="shared" si="45"/>
        <v>admincheat GMSummon "NuclearRaptor_Character_BP_S_C" 225</v>
      </c>
      <c r="K389" s="9" t="s">
        <v>1173</v>
      </c>
      <c r="L389" s="9" t="str">
        <f t="shared" si="46"/>
        <v>cheat spawndino "/ArkSupreme/Content/SupremeDinos/8Nuclear_Vampiric/Nuclear/Raptor/NuclearRaptor_Character_BP_S_C" 500 0 0 35</v>
      </c>
      <c r="M389" s="10" t="str">
        <f t="shared" si="47"/>
        <v>NPCReplacements=(FromClassName="NuclearRaptor_Character_BP_S_C",ToClassName="")</v>
      </c>
      <c r="N389" s="2"/>
    </row>
    <row r="390">
      <c r="A390" s="2"/>
      <c r="B390" s="7"/>
      <c r="C390" s="19"/>
      <c r="D390" s="11" t="s">
        <v>1174</v>
      </c>
      <c r="E390" s="12"/>
      <c r="F390" s="13"/>
      <c r="G390" s="12"/>
      <c r="H390" s="12" t="s">
        <v>1175</v>
      </c>
      <c r="I390" s="13" t="str">
        <f t="shared" si="44"/>
        <v>cheat summon Nuclear_Rex_Character_BP_C</v>
      </c>
      <c r="J390" s="13" t="str">
        <f t="shared" si="45"/>
        <v>admincheat GMSummon "Nuclear_Rex_Character_BP_C" 225</v>
      </c>
      <c r="K390" s="12" t="s">
        <v>1176</v>
      </c>
      <c r="L390" s="12" t="str">
        <f t="shared" si="46"/>
        <v>cheat spawndino "/ArkSupreme/Content/SupremeDinos/8Nuclear_Vampiric/Nuclear/Rex/Nuclear_Rex_Character_BP_C" 500 0 0 35</v>
      </c>
      <c r="M390" s="13" t="str">
        <f t="shared" si="47"/>
        <v>NPCReplacements=(FromClassName="Nuclear_Rex_Character_BP_C",ToClassName="")</v>
      </c>
      <c r="N390" s="2"/>
    </row>
    <row r="391">
      <c r="A391" s="2"/>
      <c r="B391" s="7"/>
      <c r="C391" s="19"/>
      <c r="D391" s="8" t="s">
        <v>1177</v>
      </c>
      <c r="E391" s="9"/>
      <c r="F391" s="10"/>
      <c r="G391" s="9"/>
      <c r="H391" s="9" t="s">
        <v>1178</v>
      </c>
      <c r="I391" s="10" t="str">
        <f t="shared" si="44"/>
        <v>cheat summon NuclearRockDrake_Character_BP_C</v>
      </c>
      <c r="J391" s="10" t="str">
        <f t="shared" si="45"/>
        <v>admincheat GMSummon "NuclearRockDrake_Character_BP_C" 225</v>
      </c>
      <c r="K391" s="9" t="s">
        <v>1179</v>
      </c>
      <c r="L391" s="9" t="str">
        <f t="shared" si="46"/>
        <v>cheat spawndino "/ArkSupreme/Content/SupremeDinos/8Nuclear_Vampiric/Nuclear/Rockdrake/NuclearRockDrake_Character_BP_C" 500 0 0 35</v>
      </c>
      <c r="M391" s="10" t="str">
        <f t="shared" si="47"/>
        <v>NPCReplacements=(FromClassName="NuclearRockDrake_Character_BP_C",ToClassName="")</v>
      </c>
      <c r="N391" s="2"/>
    </row>
    <row r="392">
      <c r="A392" s="2"/>
      <c r="B392" s="7"/>
      <c r="C392" s="19"/>
      <c r="D392" s="11" t="s">
        <v>1180</v>
      </c>
      <c r="E392" s="12"/>
      <c r="F392" s="13"/>
      <c r="G392" s="12"/>
      <c r="H392" s="12" t="s">
        <v>1181</v>
      </c>
      <c r="I392" s="13" t="str">
        <f t="shared" si="44"/>
        <v>cheat summon NuclearSaber_Character_BP_C</v>
      </c>
      <c r="J392" s="13" t="str">
        <f t="shared" si="45"/>
        <v>admincheat GMSummon "NuclearSaber_Character_BP_C" 225</v>
      </c>
      <c r="K392" s="12" t="s">
        <v>1182</v>
      </c>
      <c r="L392" s="12" t="str">
        <f t="shared" si="46"/>
        <v>cheat spawndino "/ArkSupreme/Content/SupremeDinos/8Nuclear_Vampiric/Nuclear/Saber/NuclearSaber_Character_BP_C" 500 0 0 35</v>
      </c>
      <c r="M392" s="13" t="str">
        <f t="shared" si="47"/>
        <v>NPCReplacements=(FromClassName="NuclearSaber_Character_BP_C",ToClassName="")</v>
      </c>
      <c r="N392" s="2"/>
    </row>
    <row r="393">
      <c r="A393" s="2"/>
      <c r="B393" s="7"/>
      <c r="C393" s="19"/>
      <c r="D393" s="8" t="s">
        <v>1183</v>
      </c>
      <c r="E393" s="9"/>
      <c r="F393" s="10"/>
      <c r="G393" s="9"/>
      <c r="H393" s="9" t="s">
        <v>1184</v>
      </c>
      <c r="I393" s="10" t="str">
        <f t="shared" si="44"/>
        <v>cheat summon NuclearSarco_Character_BP_C</v>
      </c>
      <c r="J393" s="10" t="str">
        <f t="shared" si="45"/>
        <v>admincheat GMSummon "NuclearSarco_Character_BP_C" 225</v>
      </c>
      <c r="K393" s="9" t="s">
        <v>1185</v>
      </c>
      <c r="L393" s="9" t="str">
        <f t="shared" si="46"/>
        <v>cheat spawndino "/ArkSupreme/Content/SupremeDinos/8Nuclear_Vampiric/Nuclear/Sarco/NuclearSarco_Character_BP_C" 500 0 0 35</v>
      </c>
      <c r="M393" s="10" t="str">
        <f t="shared" si="47"/>
        <v>NPCReplacements=(FromClassName="NuclearSarco_Character_BP_C",ToClassName="")</v>
      </c>
      <c r="N393" s="2"/>
    </row>
    <row r="394">
      <c r="A394" s="2"/>
      <c r="B394" s="7"/>
      <c r="C394" s="19"/>
      <c r="D394" s="11" t="s">
        <v>1186</v>
      </c>
      <c r="E394" s="12"/>
      <c r="F394" s="13"/>
      <c r="G394" s="12"/>
      <c r="H394" s="12" t="s">
        <v>1187</v>
      </c>
      <c r="I394" s="13" t="str">
        <f t="shared" si="44"/>
        <v>cheat summon NuclearScorpion_Character_BP_S_C</v>
      </c>
      <c r="J394" s="13" t="str">
        <f t="shared" si="45"/>
        <v>admincheat GMSummon "NuclearScorpion_Character_BP_S_C" 225</v>
      </c>
      <c r="K394" s="12" t="s">
        <v>1188</v>
      </c>
      <c r="L394" s="12" t="str">
        <f t="shared" si="46"/>
        <v>cheat spawndino "/ArkSupreme/Content/SupremeDinos/8Nuclear_Vampiric/Nuclear/Scorpion/NuclearScorpion_Character_BP_S_C" 500 0 0 35</v>
      </c>
      <c r="M394" s="13" t="str">
        <f t="shared" si="47"/>
        <v>NPCReplacements=(FromClassName="NuclearScorpion_Character_BP_S_C",ToClassName="")</v>
      </c>
      <c r="N394" s="2"/>
    </row>
    <row r="395">
      <c r="A395" s="2"/>
      <c r="B395" s="7"/>
      <c r="C395" s="19"/>
      <c r="D395" s="8" t="s">
        <v>1189</v>
      </c>
      <c r="E395" s="9" t="s">
        <v>1190</v>
      </c>
      <c r="F395" s="10"/>
      <c r="G395" s="9"/>
      <c r="H395" s="9" t="s">
        <v>1191</v>
      </c>
      <c r="I395" s="10" t="str">
        <f t="shared" si="44"/>
        <v>cheat summon NuclearSpino_Character_BP_S_C</v>
      </c>
      <c r="J395" s="10" t="str">
        <f t="shared" si="45"/>
        <v>admincheat GMSummon "NuclearSpino_Character_BP_S_C" 225</v>
      </c>
      <c r="K395" s="9" t="s">
        <v>1192</v>
      </c>
      <c r="L395" s="9" t="str">
        <f t="shared" si="46"/>
        <v>cheat spawndino "/ArkSupreme/Content/SupremeDinos/8Nuclear_Vampiric/Nuclear/Spino/NuclearSpino_Character_BP_S_C" 500 0 0 35</v>
      </c>
      <c r="M395" s="10" t="str">
        <f t="shared" si="47"/>
        <v>NPCReplacements=(FromClassName="NuclearSpino_Character_BP_S_C",ToClassName="")</v>
      </c>
      <c r="N395" s="2"/>
    </row>
    <row r="396">
      <c r="A396" s="2"/>
      <c r="B396" s="7"/>
      <c r="C396" s="19"/>
      <c r="D396" s="11" t="s">
        <v>1193</v>
      </c>
      <c r="E396" s="12"/>
      <c r="F396" s="13"/>
      <c r="G396" s="12"/>
      <c r="H396" s="12" t="s">
        <v>1194</v>
      </c>
      <c r="I396" s="13" t="str">
        <f t="shared" si="44"/>
        <v>cheat summon Nuclear_Bee_Character_BP_C</v>
      </c>
      <c r="J396" s="13" t="str">
        <f t="shared" si="45"/>
        <v>admincheat GMSummon "Nuclear_Bee_Character_BP_C" 225</v>
      </c>
      <c r="K396" s="12" t="s">
        <v>1195</v>
      </c>
      <c r="L396" s="12" t="str">
        <f t="shared" si="46"/>
        <v>cheat spawndino "/ArkSupreme/Content/SupremeDinos/0BeeProgression/3Nuclear_Vampiric/Nuclear/Nuclear_Bee_Character_BP_C" 500 0 0 35</v>
      </c>
      <c r="M396" s="13" t="str">
        <f t="shared" si="47"/>
        <v>NPCReplacements=(FromClassName="Nuclear_Bee_Character_BP_C",ToClassName="")</v>
      </c>
      <c r="N396" s="2"/>
    </row>
    <row r="397">
      <c r="A397" s="2"/>
      <c r="B397" s="7"/>
      <c r="C397" s="19"/>
      <c r="D397" s="8" t="s">
        <v>1196</v>
      </c>
      <c r="E397" s="9"/>
      <c r="F397" s="10"/>
      <c r="G397" s="9"/>
      <c r="H397" s="9" t="s">
        <v>1197</v>
      </c>
      <c r="I397" s="10" t="str">
        <f t="shared" si="44"/>
        <v>cheat summon Bee_Queen_Character_BPNuclearParent_C</v>
      </c>
      <c r="J397" s="10" t="str">
        <f t="shared" si="45"/>
        <v>admincheat GMSummon "Bee_Queen_Character_BPNuclearParent_C" 225</v>
      </c>
      <c r="K397" s="9" t="s">
        <v>1198</v>
      </c>
      <c r="L397" s="9" t="str">
        <f t="shared" si="46"/>
        <v>cheat spawndino "/ArkSupreme/Content/SupremeDinos/0BeeProgression/3Nuclear_Vampiric/Nuclear/Parent/Bee_Queen_Character_BPNuclearParent_C" 500 0 0 35</v>
      </c>
      <c r="M397" s="10" t="str">
        <f t="shared" si="47"/>
        <v>NPCReplacements=(FromClassName="Bee_Queen_Character_BPNuclearParent_C",ToClassName="")</v>
      </c>
      <c r="N397" s="2"/>
    </row>
    <row r="398">
      <c r="A398" s="2"/>
      <c r="B398" s="29"/>
      <c r="C398" s="19"/>
      <c r="D398" s="11" t="s">
        <v>1199</v>
      </c>
      <c r="E398" s="12" t="s">
        <v>1190</v>
      </c>
      <c r="F398" s="13"/>
      <c r="G398" s="12"/>
      <c r="H398" s="12" t="s">
        <v>1200</v>
      </c>
      <c r="I398" s="13" t="str">
        <f t="shared" si="44"/>
        <v>cheat summon NuclearWyvern_Character_BP_C</v>
      </c>
      <c r="J398" s="13" t="str">
        <f t="shared" si="45"/>
        <v>admincheat GMSummon "NuclearWyvern_Character_BP_C" 225</v>
      </c>
      <c r="K398" s="12" t="s">
        <v>1201</v>
      </c>
      <c r="L398" s="12" t="str">
        <f t="shared" si="46"/>
        <v>cheat spawndino "/ArkSupreme/Content/SupremeDinos/8Nuclear_Vampiric/Nuclear/Wyvern/NuclearWyvern_Character_BP_C" 500 0 0 35</v>
      </c>
      <c r="M398" s="13" t="str">
        <f t="shared" si="47"/>
        <v>NPCReplacements=(FromClassName="NuclearWyvern_Character_BP_C",ToClassName="")</v>
      </c>
      <c r="N398" s="2"/>
    </row>
    <row r="399">
      <c r="A399" s="2"/>
      <c r="B399" s="18"/>
      <c r="C399" s="19">
        <f>IF(E399="Alpha",1)+IF(E399="Apex",2)+IF(E399="Earth",3)+IF(E399="Frost",3)+IF(E399="Nature",3)+IF(E399="Storm",4)+IF(E399="Volcanic",4)+IF(E399="Bionic",5)+IF(E399="Legendary",5)+IF(E399="Demonic",6)+IF(E399="Celestial",6)+IF(E399="Godly",7)+IF(E399="Loot",8)+IF(E399="Boss",9)</f>
        <v>0</v>
      </c>
      <c r="D399" s="21"/>
      <c r="E399" s="21"/>
      <c r="F399" s="21"/>
      <c r="G399" s="21"/>
      <c r="H399" s="21"/>
      <c r="I399" s="21"/>
      <c r="J399" s="21"/>
      <c r="K399" s="21"/>
      <c r="L399" s="20"/>
      <c r="M399" s="21"/>
      <c r="N399" s="2"/>
    </row>
    <row r="400">
      <c r="A400" s="2"/>
      <c r="B400" s="32" t="s">
        <v>1202</v>
      </c>
      <c r="C400" s="19"/>
      <c r="D400" s="11" t="s">
        <v>1203</v>
      </c>
      <c r="E400" s="12"/>
      <c r="F400" s="13"/>
      <c r="G400" s="12"/>
      <c r="H400" s="12" t="s">
        <v>1204</v>
      </c>
      <c r="I400" s="13" t="str">
        <f t="shared" ref="I400:I417" si="48">"cheat summon "&amp;H400</f>
        <v>cheat summon Vampiric_Allo_Character_BP_C</v>
      </c>
      <c r="J400" s="13" t="str">
        <f t="shared" ref="J400:J417" si="49"> "admincheat GMSummon " &amp;CHAR(34) &amp; H400&amp;CHAR(34)&amp; " 225"</f>
        <v>admincheat GMSummon "Vampiric_Allo_Character_BP_C" 225</v>
      </c>
      <c r="K400" s="12" t="s">
        <v>1205</v>
      </c>
      <c r="L400" s="12" t="str">
        <f t="shared" ref="L400:L417" si="50"> "cheat spawndino " &amp;CHAR(34) &amp; K400&amp;CHAR(34)&amp; " 500 0 0 35"</f>
        <v>cheat spawndino "/ArkSupreme/Content/SupremeDinos/8Nuclear_Vampiric/Vampiric/Allo/Vampiric_Allo_Character_BP_C" 500 0 0 35</v>
      </c>
      <c r="M400" s="13" t="str">
        <f t="shared" ref="M400:M417" si="51">"NPCReplacements=(FromClassName="&amp;CHAR(34)&amp;H400&amp;""&amp;CHAR(34)&amp;",ToClassName="&amp;CHAR(34)&amp;CHAR(34)&amp;")"</f>
        <v>NPCReplacements=(FromClassName="Vampiric_Allo_Character_BP_C",ToClassName="")</v>
      </c>
      <c r="N400" s="2"/>
    </row>
    <row r="401">
      <c r="A401" s="2"/>
      <c r="B401" s="7"/>
      <c r="C401" s="19"/>
      <c r="D401" s="8" t="s">
        <v>1206</v>
      </c>
      <c r="E401" s="9"/>
      <c r="F401" s="10"/>
      <c r="G401" s="9"/>
      <c r="H401" s="9" t="s">
        <v>1207</v>
      </c>
      <c r="I401" s="10" t="str">
        <f t="shared" si="48"/>
        <v>cheat summon Vampiric_Basilisk_Character_BP_C</v>
      </c>
      <c r="J401" s="10" t="str">
        <f t="shared" si="49"/>
        <v>admincheat GMSummon "Vampiric_Basilisk_Character_BP_C" 225</v>
      </c>
      <c r="K401" s="9" t="s">
        <v>1208</v>
      </c>
      <c r="L401" s="9" t="str">
        <f t="shared" si="50"/>
        <v>cheat spawndino "/ArkSupreme/Content/SupremeDinos/8Nuclear_Vampiric/Vampiric/Basilisk/Vampiric_Basilisk_Character_BP_C" 500 0 0 35</v>
      </c>
      <c r="M401" s="10" t="str">
        <f t="shared" si="51"/>
        <v>NPCReplacements=(FromClassName="Vampiric_Basilisk_Character_BP_C",ToClassName="")</v>
      </c>
      <c r="N401" s="2"/>
    </row>
    <row r="402">
      <c r="A402" s="2"/>
      <c r="B402" s="7"/>
      <c r="C402" s="19"/>
      <c r="D402" s="11" t="s">
        <v>1209</v>
      </c>
      <c r="E402" s="12"/>
      <c r="F402" s="13"/>
      <c r="G402" s="12"/>
      <c r="H402" s="12" t="s">
        <v>1210</v>
      </c>
      <c r="I402" s="13" t="str">
        <f t="shared" si="48"/>
        <v>cheat summon VampiricBroodmother_Character_BP_S_C</v>
      </c>
      <c r="J402" s="13" t="str">
        <f t="shared" si="49"/>
        <v>admincheat GMSummon "VampiricBroodmother_Character_BP_S_C" 225</v>
      </c>
      <c r="K402" s="12" t="s">
        <v>1211</v>
      </c>
      <c r="L402" s="12" t="str">
        <f t="shared" si="50"/>
        <v>cheat spawndino "/ArkSupreme/Content/SupremeDinos/8Nuclear_Vampiric/Vampiric/Broodmother/VampiricBroodmother_Character_BP_S_C" 500 0 0 35</v>
      </c>
      <c r="M402" s="13" t="str">
        <f t="shared" si="51"/>
        <v>NPCReplacements=(FromClassName="VampiricBroodmother_Character_BP_S_C",ToClassName="")</v>
      </c>
      <c r="N402" s="2"/>
    </row>
    <row r="403">
      <c r="A403" s="2"/>
      <c r="B403" s="7"/>
      <c r="C403" s="19"/>
      <c r="D403" s="8" t="s">
        <v>1212</v>
      </c>
      <c r="E403" s="9"/>
      <c r="F403" s="10"/>
      <c r="G403" s="9"/>
      <c r="H403" s="9" t="s">
        <v>1213</v>
      </c>
      <c r="I403" s="10" t="str">
        <f t="shared" si="48"/>
        <v>cheat summon Vampiric_Deathworm_Character_BP_C</v>
      </c>
      <c r="J403" s="10" t="str">
        <f t="shared" si="49"/>
        <v>admincheat GMSummon "Vampiric_Deathworm_Character_BP_C" 225</v>
      </c>
      <c r="K403" s="9" t="s">
        <v>1214</v>
      </c>
      <c r="L403" s="9" t="str">
        <f t="shared" si="50"/>
        <v>cheat spawndino "/ArkSupreme/Content/SupremeDinos/8Nuclear_Vampiric/Vampiric/Deathworm/Vampiric_Deathworm_Character_BP_C" 500 0 0 35</v>
      </c>
      <c r="M403" s="10" t="str">
        <f t="shared" si="51"/>
        <v>NPCReplacements=(FromClassName="Vampiric_Deathworm_Character_BP_C",ToClassName="")</v>
      </c>
      <c r="N403" s="2"/>
    </row>
    <row r="404">
      <c r="A404" s="2"/>
      <c r="B404" s="7"/>
      <c r="C404" s="19"/>
      <c r="D404" s="11" t="s">
        <v>1215</v>
      </c>
      <c r="E404" s="12"/>
      <c r="F404" s="13"/>
      <c r="G404" s="12"/>
      <c r="H404" s="12" t="s">
        <v>1216</v>
      </c>
      <c r="I404" s="13" t="str">
        <f t="shared" si="48"/>
        <v>cheat summon Vampiric_Gigant_Character_BP_C</v>
      </c>
      <c r="J404" s="13" t="str">
        <f t="shared" si="49"/>
        <v>admincheat GMSummon "Vampiric_Gigant_Character_BP_C" 225</v>
      </c>
      <c r="K404" s="12" t="s">
        <v>1217</v>
      </c>
      <c r="L404" s="12" t="str">
        <f t="shared" si="50"/>
        <v>cheat spawndino "/ArkSupreme/Content/SupremeDinos/8Nuclear_Vampiric/Vampiric/Giga/Vampiric_Gigant_Character_BP_C" 500 0 0 35</v>
      </c>
      <c r="M404" s="13" t="str">
        <f t="shared" si="51"/>
        <v>NPCReplacements=(FromClassName="Vampiric_Gigant_Character_BP_C",ToClassName="")</v>
      </c>
      <c r="N404" s="2"/>
    </row>
    <row r="405">
      <c r="A405" s="2"/>
      <c r="B405" s="7"/>
      <c r="C405" s="19"/>
      <c r="D405" s="8" t="s">
        <v>1218</v>
      </c>
      <c r="E405" s="9"/>
      <c r="F405" s="10"/>
      <c r="G405" s="9"/>
      <c r="H405" s="9" t="s">
        <v>1219</v>
      </c>
      <c r="I405" s="10" t="str">
        <f t="shared" si="48"/>
        <v>cheat summon Vampiric_Gorilla_Character_BP_C</v>
      </c>
      <c r="J405" s="10" t="str">
        <f t="shared" si="49"/>
        <v>admincheat GMSummon "Vampiric_Gorilla_Character_BP_C" 225</v>
      </c>
      <c r="K405" s="9" t="s">
        <v>1220</v>
      </c>
      <c r="L405" s="9" t="str">
        <f t="shared" si="50"/>
        <v>cheat spawndino "/ArkSupreme/Content/SupremeDinos/8Nuclear_Vampiric/Vampiric/Gorilla/Vampiric_Gorilla_Character_BP_C" 500 0 0 35</v>
      </c>
      <c r="M405" s="10" t="str">
        <f t="shared" si="51"/>
        <v>NPCReplacements=(FromClassName="Vampiric_Gorilla_Character_BP_C",ToClassName="")</v>
      </c>
      <c r="N405" s="2"/>
    </row>
    <row r="406">
      <c r="A406" s="2"/>
      <c r="B406" s="7"/>
      <c r="C406" s="19"/>
      <c r="D406" s="11" t="s">
        <v>1221</v>
      </c>
      <c r="E406" s="12"/>
      <c r="F406" s="13"/>
      <c r="G406" s="12"/>
      <c r="H406" s="12" t="s">
        <v>1222</v>
      </c>
      <c r="I406" s="13" t="str">
        <f t="shared" si="48"/>
        <v>cheat summon Vampiric_Hydra_Character_BP_C</v>
      </c>
      <c r="J406" s="13" t="str">
        <f t="shared" si="49"/>
        <v>admincheat GMSummon "Vampiric_Hydra_Character_BP_C" 225</v>
      </c>
      <c r="K406" s="12" t="s">
        <v>1223</v>
      </c>
      <c r="L406" s="12" t="str">
        <f t="shared" si="50"/>
        <v>cheat spawndino "/ArkSupreme/Content/SupremeDinos/8Nuclear_Vampiric/Vampiric/Hydra/Vampiric_Hydra_Character_BP_C" 500 0 0 35</v>
      </c>
      <c r="M406" s="13" t="str">
        <f t="shared" si="51"/>
        <v>NPCReplacements=(FromClassName="Vampiric_Hydra_Character_BP_C",ToClassName="")</v>
      </c>
      <c r="N406" s="2"/>
    </row>
    <row r="407">
      <c r="A407" s="2"/>
      <c r="B407" s="7"/>
      <c r="C407" s="19"/>
      <c r="D407" s="8" t="s">
        <v>1224</v>
      </c>
      <c r="E407" s="9"/>
      <c r="F407" s="10"/>
      <c r="G407" s="9"/>
      <c r="H407" s="9" t="s">
        <v>1225</v>
      </c>
      <c r="I407" s="10" t="str">
        <f t="shared" si="48"/>
        <v>cheat summon Vampiric_Maelizard_Character_BP_C</v>
      </c>
      <c r="J407" s="10" t="str">
        <f t="shared" si="49"/>
        <v>admincheat GMSummon "Vampiric_Maelizard_Character_BP_C" 225</v>
      </c>
      <c r="K407" s="9" t="s">
        <v>1226</v>
      </c>
      <c r="L407" s="9" t="str">
        <f t="shared" si="50"/>
        <v>cheat spawndino "/ArkSupreme/Content/SupremeDinos/8Nuclear_Vampiric/Vampiric/maeguana/Vampiric_Maelizard_Character_BP_C" 500 0 0 35</v>
      </c>
      <c r="M407" s="10" t="str">
        <f t="shared" si="51"/>
        <v>NPCReplacements=(FromClassName="Vampiric_Maelizard_Character_BP_C",ToClassName="")</v>
      </c>
      <c r="N407" s="2"/>
    </row>
    <row r="408">
      <c r="A408" s="2"/>
      <c r="B408" s="7"/>
      <c r="C408" s="19"/>
      <c r="D408" s="11" t="s">
        <v>1227</v>
      </c>
      <c r="E408" s="12"/>
      <c r="F408" s="13"/>
      <c r="G408" s="12"/>
      <c r="H408" s="12" t="s">
        <v>1228</v>
      </c>
      <c r="I408" s="13" t="str">
        <f t="shared" si="48"/>
        <v>cheat summon VampiricRaptor_Character_BP_S_C</v>
      </c>
      <c r="J408" s="13" t="str">
        <f t="shared" si="49"/>
        <v>admincheat GMSummon "VampiricRaptor_Character_BP_S_C" 225</v>
      </c>
      <c r="K408" s="12" t="s">
        <v>1229</v>
      </c>
      <c r="L408" s="12" t="str">
        <f t="shared" si="50"/>
        <v>cheat spawndino "/ArkSupreme/Content/SupremeDinos/8Nuclear_Vampiric/Vampiric/Raptor/VampiricRaptor_Character_BP_S_C" 500 0 0 35</v>
      </c>
      <c r="M408" s="13" t="str">
        <f t="shared" si="51"/>
        <v>NPCReplacements=(FromClassName="VampiricRaptor_Character_BP_S_C",ToClassName="")</v>
      </c>
      <c r="N408" s="2"/>
    </row>
    <row r="409">
      <c r="A409" s="2"/>
      <c r="B409" s="7"/>
      <c r="C409" s="19"/>
      <c r="D409" s="8" t="s">
        <v>1230</v>
      </c>
      <c r="E409" s="9"/>
      <c r="F409" s="10"/>
      <c r="G409" s="9"/>
      <c r="H409" s="9" t="s">
        <v>1231</v>
      </c>
      <c r="I409" s="10" t="str">
        <f t="shared" si="48"/>
        <v>cheat summon Vampiric_Rex_Character_BP_C</v>
      </c>
      <c r="J409" s="10" t="str">
        <f t="shared" si="49"/>
        <v>admincheat GMSummon "Vampiric_Rex_Character_BP_C" 225</v>
      </c>
      <c r="K409" s="9" t="s">
        <v>1232</v>
      </c>
      <c r="L409" s="9" t="str">
        <f t="shared" si="50"/>
        <v>cheat spawndino "/ArkSupreme/Content/SupremeDinos/8Nuclear_Vampiric/Vampiric/Rex/Vampiric_Rex_Character_BP_C" 500 0 0 35</v>
      </c>
      <c r="M409" s="10" t="str">
        <f t="shared" si="51"/>
        <v>NPCReplacements=(FromClassName="Vampiric_Rex_Character_BP_C",ToClassName="")</v>
      </c>
      <c r="N409" s="2"/>
    </row>
    <row r="410">
      <c r="A410" s="2"/>
      <c r="B410" s="7"/>
      <c r="C410" s="19"/>
      <c r="D410" s="11" t="s">
        <v>1233</v>
      </c>
      <c r="E410" s="12"/>
      <c r="F410" s="13"/>
      <c r="G410" s="12"/>
      <c r="H410" s="12" t="s">
        <v>1234</v>
      </c>
      <c r="I410" s="13" t="str">
        <f t="shared" si="48"/>
        <v>cheat summon Vampiric_RockDrake_Character_BP_C</v>
      </c>
      <c r="J410" s="13" t="str">
        <f t="shared" si="49"/>
        <v>admincheat GMSummon "Vampiric_RockDrake_Character_BP_C" 225</v>
      </c>
      <c r="K410" s="12" t="s">
        <v>1235</v>
      </c>
      <c r="L410" s="12" t="str">
        <f t="shared" si="50"/>
        <v>cheat spawndino "/ArkSupreme/Content/SupremeDinos/8Nuclear_Vampiric/Vampiric/Rockdrake/Vampiric_RockDrake_Character_BP_C" 500 0 0 35</v>
      </c>
      <c r="M410" s="13" t="str">
        <f t="shared" si="51"/>
        <v>NPCReplacements=(FromClassName="Vampiric_RockDrake_Character_BP_C",ToClassName="")</v>
      </c>
      <c r="N410" s="2"/>
    </row>
    <row r="411">
      <c r="A411" s="2"/>
      <c r="B411" s="7"/>
      <c r="C411" s="19"/>
      <c r="D411" s="8" t="s">
        <v>1236</v>
      </c>
      <c r="E411" s="9"/>
      <c r="F411" s="10"/>
      <c r="G411" s="9"/>
      <c r="H411" s="9" t="s">
        <v>1237</v>
      </c>
      <c r="I411" s="10" t="str">
        <f t="shared" si="48"/>
        <v>cheat summon Vampiric_Saber_Character_BP_C</v>
      </c>
      <c r="J411" s="10" t="str">
        <f t="shared" si="49"/>
        <v>admincheat GMSummon "Vampiric_Saber_Character_BP_C" 225</v>
      </c>
      <c r="K411" s="9" t="s">
        <v>1238</v>
      </c>
      <c r="L411" s="9" t="str">
        <f t="shared" si="50"/>
        <v>cheat spawndino "/ArkSupreme/Content/SupremeDinos/8Nuclear_Vampiric/Vampiric/Saber/Vampiric_Saber_Character_BP_C" 500 0 0 35</v>
      </c>
      <c r="M411" s="10" t="str">
        <f t="shared" si="51"/>
        <v>NPCReplacements=(FromClassName="Vampiric_Saber_Character_BP_C",ToClassName="")</v>
      </c>
      <c r="N411" s="2"/>
    </row>
    <row r="412">
      <c r="A412" s="2"/>
      <c r="B412" s="7"/>
      <c r="C412" s="19"/>
      <c r="D412" s="11" t="s">
        <v>1239</v>
      </c>
      <c r="E412" s="12"/>
      <c r="F412" s="13"/>
      <c r="G412" s="12"/>
      <c r="H412" s="12" t="s">
        <v>1240</v>
      </c>
      <c r="I412" s="13" t="str">
        <f t="shared" si="48"/>
        <v>cheat summon Vampiric_Sarco_Character_BP_C</v>
      </c>
      <c r="J412" s="13" t="str">
        <f t="shared" si="49"/>
        <v>admincheat GMSummon "Vampiric_Sarco_Character_BP_C" 225</v>
      </c>
      <c r="K412" s="12" t="s">
        <v>1241</v>
      </c>
      <c r="L412" s="12" t="str">
        <f t="shared" si="50"/>
        <v>cheat spawndino "/ArkSupreme/Content/SupremeDinos/8Nuclear_Vampiric/Vampiric/Sarco/Vampiric_Sarco_Character_BP_C" 500 0 0 35</v>
      </c>
      <c r="M412" s="13" t="str">
        <f t="shared" si="51"/>
        <v>NPCReplacements=(FromClassName="Vampiric_Sarco_Character_BP_C",ToClassName="")</v>
      </c>
      <c r="N412" s="2"/>
    </row>
    <row r="413">
      <c r="A413" s="2"/>
      <c r="B413" s="7"/>
      <c r="C413" s="19"/>
      <c r="D413" s="8" t="s">
        <v>1242</v>
      </c>
      <c r="E413" s="9"/>
      <c r="F413" s="10"/>
      <c r="G413" s="9"/>
      <c r="H413" s="9" t="s">
        <v>1243</v>
      </c>
      <c r="I413" s="10" t="str">
        <f t="shared" si="48"/>
        <v>cheat summon VampiricScorpion_Character_BP_S_C</v>
      </c>
      <c r="J413" s="10" t="str">
        <f t="shared" si="49"/>
        <v>admincheat GMSummon "VampiricScorpion_Character_BP_S_C" 225</v>
      </c>
      <c r="K413" s="9" t="s">
        <v>1244</v>
      </c>
      <c r="L413" s="9" t="str">
        <f t="shared" si="50"/>
        <v>cheat spawndino "/ArkSupreme/Content/SupremeDinos/8Nuclear_Vampiric/Vampiric/Scorpion/VampiricScorpion_Character_BP_S_C" 500 0 0 35</v>
      </c>
      <c r="M413" s="10" t="str">
        <f t="shared" si="51"/>
        <v>NPCReplacements=(FromClassName="VampiricScorpion_Character_BP_S_C",ToClassName="")</v>
      </c>
      <c r="N413" s="2"/>
    </row>
    <row r="414">
      <c r="A414" s="2"/>
      <c r="B414" s="7"/>
      <c r="C414" s="19"/>
      <c r="D414" s="11" t="s">
        <v>1245</v>
      </c>
      <c r="E414" s="12"/>
      <c r="F414" s="13"/>
      <c r="G414" s="12"/>
      <c r="H414" s="12" t="s">
        <v>1246</v>
      </c>
      <c r="I414" s="13" t="str">
        <f t="shared" si="48"/>
        <v>cheat summon VampiricSpino_Character_BP_S_C</v>
      </c>
      <c r="J414" s="13" t="str">
        <f t="shared" si="49"/>
        <v>admincheat GMSummon "VampiricSpino_Character_BP_S_C" 225</v>
      </c>
      <c r="K414" s="12" t="s">
        <v>1247</v>
      </c>
      <c r="L414" s="12" t="str">
        <f t="shared" si="50"/>
        <v>cheat spawndino "/ArkSupreme/Content/SupremeDinos/8Nuclear_Vampiric/Vampiric/Spino/VampiricSpino_Character_BP_S_C" 500 0 0 35</v>
      </c>
      <c r="M414" s="13" t="str">
        <f t="shared" si="51"/>
        <v>NPCReplacements=(FromClassName="VampiricSpino_Character_BP_S_C",ToClassName="")</v>
      </c>
      <c r="N414" s="2"/>
    </row>
    <row r="415">
      <c r="A415" s="2"/>
      <c r="B415" s="7"/>
      <c r="C415" s="19"/>
      <c r="D415" s="8" t="s">
        <v>1248</v>
      </c>
      <c r="E415" s="9"/>
      <c r="F415" s="10"/>
      <c r="G415" s="9"/>
      <c r="H415" s="9" t="s">
        <v>1249</v>
      </c>
      <c r="I415" s="10" t="str">
        <f t="shared" si="48"/>
        <v>cheat summon Vampiric_Bee_Character_BP_C</v>
      </c>
      <c r="J415" s="10" t="str">
        <f t="shared" si="49"/>
        <v>admincheat GMSummon "Vampiric_Bee_Character_BP_C" 225</v>
      </c>
      <c r="K415" s="9" t="s">
        <v>1250</v>
      </c>
      <c r="L415" s="9" t="str">
        <f t="shared" si="50"/>
        <v>cheat spawndino "/ArkSupreme/Content/SupremeDinos/0BeeProgression/3Nuclear_Vampiric/Vampiric/Parent/Bee_Queen_Character_BPVampiricParent_C" 500 0 0 35</v>
      </c>
      <c r="M415" s="10" t="str">
        <f t="shared" si="51"/>
        <v>NPCReplacements=(FromClassName="Vampiric_Bee_Character_BP_C",ToClassName="")</v>
      </c>
      <c r="N415" s="2"/>
    </row>
    <row r="416">
      <c r="A416" s="2"/>
      <c r="B416" s="7"/>
      <c r="C416" s="19"/>
      <c r="D416" s="11" t="s">
        <v>1251</v>
      </c>
      <c r="E416" s="12"/>
      <c r="F416" s="13"/>
      <c r="G416" s="12"/>
      <c r="H416" s="12" t="s">
        <v>1252</v>
      </c>
      <c r="I416" s="13" t="str">
        <f t="shared" si="48"/>
        <v>cheat summon Bee_Queen_Character_BPVampiricParent_C</v>
      </c>
      <c r="J416" s="13" t="str">
        <f t="shared" si="49"/>
        <v>admincheat GMSummon "Bee_Queen_Character_BPVampiricParent_C" 225</v>
      </c>
      <c r="K416" s="12" t="s">
        <v>1253</v>
      </c>
      <c r="L416" s="12" t="str">
        <f t="shared" si="50"/>
        <v>cheat spawndino "/ArkSupreme/Content/SupremeDinos/0BeeProgression/3Nuclear_Vampiric/Vampiric/Vampiric_Bee_Character_BP_C" 500 0 0 35</v>
      </c>
      <c r="M416" s="13" t="str">
        <f t="shared" si="51"/>
        <v>NPCReplacements=(FromClassName="Bee_Queen_Character_BPVampiricParent_C",ToClassName="")</v>
      </c>
      <c r="N416" s="2"/>
    </row>
    <row r="417">
      <c r="A417" s="2"/>
      <c r="B417" s="29"/>
      <c r="C417" s="19"/>
      <c r="D417" s="8" t="s">
        <v>1254</v>
      </c>
      <c r="E417" s="9"/>
      <c r="F417" s="10"/>
      <c r="G417" s="9"/>
      <c r="H417" s="9" t="s">
        <v>1255</v>
      </c>
      <c r="I417" s="10" t="str">
        <f t="shared" si="48"/>
        <v>cheat summon VampiricWyvern_Character_BP_C</v>
      </c>
      <c r="J417" s="10" t="str">
        <f t="shared" si="49"/>
        <v>admincheat GMSummon "VampiricWyvern_Character_BP_C" 225</v>
      </c>
      <c r="K417" s="9" t="s">
        <v>1256</v>
      </c>
      <c r="L417" s="9" t="str">
        <f t="shared" si="50"/>
        <v>cheat spawndino "/ArkSupreme/Content/SupremeDinos/8Nuclear_Vampiric/Vampiric/Wyvern/VampiricWyvern_Character_BP_C" 500 0 0 35</v>
      </c>
      <c r="M417" s="10" t="str">
        <f t="shared" si="51"/>
        <v>NPCReplacements=(FromClassName="VampiricWyvern_Character_BP_C",ToClassName="")</v>
      </c>
      <c r="N417" s="2"/>
    </row>
    <row r="418">
      <c r="A418" s="2"/>
      <c r="B418" s="18"/>
      <c r="C418" s="19">
        <f t="shared" ref="C418:C419" si="52">IF(E418="Alpha",1)+IF(E418="Apex",2)+IF(E418="Earth",3)+IF(E418="Frost",3)+IF(E418="Nature",3)+IF(E418="Storm",4)+IF(E418="Volcanic",4)+IF(E418="Bionic",5)+IF(E418="Legendary",5)+IF(E418="Demonic",6)+IF(E418="Celestial",6)+IF(E418="Godly",7)+IF(E418="Loot",8)+IF(E418="Boss",9)</f>
        <v>0</v>
      </c>
      <c r="D418" s="21"/>
      <c r="E418" s="21"/>
      <c r="F418" s="21"/>
      <c r="G418" s="21"/>
      <c r="H418" s="21"/>
      <c r="I418" s="21"/>
      <c r="J418" s="21"/>
      <c r="K418" s="21"/>
      <c r="L418" s="20"/>
      <c r="M418" s="21"/>
      <c r="N418" s="2"/>
    </row>
    <row r="419">
      <c r="A419" s="2"/>
      <c r="B419" s="33" t="s">
        <v>1257</v>
      </c>
      <c r="C419" s="4">
        <f t="shared" si="52"/>
        <v>3</v>
      </c>
      <c r="D419" s="8" t="s">
        <v>1258</v>
      </c>
      <c r="E419" s="9" t="s">
        <v>1259</v>
      </c>
      <c r="F419" s="10"/>
      <c r="G419" s="9"/>
      <c r="H419" s="9" t="s">
        <v>1260</v>
      </c>
      <c r="I419" s="10" t="str">
        <f t="shared" ref="I419:I423" si="53">"cheat summon "&amp;H419</f>
        <v>cheat summon WardenGorilla_Character_BP_C</v>
      </c>
      <c r="J419" s="10" t="str">
        <f t="shared" ref="J419:J423" si="54"> "admincheat GMSummon " &amp;CHAR(34) &amp; H419&amp;CHAR(34)&amp; " 225"</f>
        <v>admincheat GMSummon "WardenGorilla_Character_BP_C" 225</v>
      </c>
      <c r="K419" s="9" t="s">
        <v>1261</v>
      </c>
      <c r="L419" s="9" t="str">
        <f t="shared" ref="L419:L423" si="55"> "cheat spawndino " &amp;CHAR(34) &amp; K419&amp;CHAR(34)&amp; " 500 0 0 35"</f>
        <v>cheat spawndino "/ArkSupreme/Content/SupremeDinos/Wardens/Gorilla/WardenGorilla_Character_BP_C" 500 0 0 35</v>
      </c>
      <c r="M419" s="10" t="str">
        <f t="shared" ref="M419:M423" si="56">"NPCReplacements=(FromClassName="&amp;CHAR(34)&amp;H419&amp;""&amp;CHAR(34)&amp;",ToClassName="&amp;CHAR(34)&amp;CHAR(34)&amp;")"</f>
        <v>NPCReplacements=(FromClassName="WardenGorilla_Character_BP_C",ToClassName="")</v>
      </c>
      <c r="N419" s="2"/>
    </row>
    <row r="420">
      <c r="A420" s="2"/>
      <c r="B420" s="7"/>
      <c r="C420" s="4"/>
      <c r="D420" s="11" t="s">
        <v>1262</v>
      </c>
      <c r="E420" s="12"/>
      <c r="F420" s="13"/>
      <c r="G420" s="12"/>
      <c r="H420" s="12" t="s">
        <v>1263</v>
      </c>
      <c r="I420" s="13" t="str">
        <f t="shared" si="53"/>
        <v>cheat summon WardenManticore_Character_BP_C</v>
      </c>
      <c r="J420" s="13" t="str">
        <f t="shared" si="54"/>
        <v>admincheat GMSummon "WardenManticore_Character_BP_C" 225</v>
      </c>
      <c r="K420" s="12" t="s">
        <v>1264</v>
      </c>
      <c r="L420" s="12" t="str">
        <f t="shared" si="55"/>
        <v>cheat spawndino "/ArkSupreme/Content/SupremeDinos/Wardens/Manticore/WardenManticore_Character_BP_C" 500 0 0 35</v>
      </c>
      <c r="M420" s="13" t="str">
        <f t="shared" si="56"/>
        <v>NPCReplacements=(FromClassName="WardenManticore_Character_BP_C",ToClassName="")</v>
      </c>
      <c r="N420" s="2"/>
    </row>
    <row r="421">
      <c r="A421" s="2"/>
      <c r="B421" s="7"/>
      <c r="C421" s="4">
        <f t="shared" ref="C421:C431" si="57">IF(E421="Alpha",1)+IF(E421="Apex",2)+IF(E421="Earth",3)+IF(E421="Frost",3)+IF(E421="Nature",3)+IF(E421="Storm",4)+IF(E421="Volcanic",4)+IF(E421="Bionic",5)+IF(E421="Legendary",5)+IF(E421="Demonic",6)+IF(E421="Celestial",6)+IF(E421="Godly",7)+IF(E421="Loot",8)+IF(E421="Boss",9)</f>
        <v>3</v>
      </c>
      <c r="D421" s="8" t="s">
        <v>1265</v>
      </c>
      <c r="E421" s="9" t="s">
        <v>1259</v>
      </c>
      <c r="F421" s="10"/>
      <c r="G421" s="9"/>
      <c r="H421" s="9" t="s">
        <v>1266</v>
      </c>
      <c r="I421" s="10" t="str">
        <f t="shared" si="53"/>
        <v>cheat summon Warden_Rex_Character_BP_C</v>
      </c>
      <c r="J421" s="10" t="str">
        <f t="shared" si="54"/>
        <v>admincheat GMSummon "Warden_Rex_Character_BP_C" 225</v>
      </c>
      <c r="K421" s="9" t="s">
        <v>1267</v>
      </c>
      <c r="L421" s="9" t="str">
        <f t="shared" si="55"/>
        <v>cheat spawndino "/ArkSupreme/Content/SupremeDinos/Wardens/Rex/Warden_Rex_Character_BP_C" 500 0 0 35</v>
      </c>
      <c r="M421" s="10" t="str">
        <f t="shared" si="56"/>
        <v>NPCReplacements=(FromClassName="Warden_Rex_Character_BP_C",ToClassName="")</v>
      </c>
      <c r="N421" s="2"/>
    </row>
    <row r="422">
      <c r="A422" s="2"/>
      <c r="B422" s="7"/>
      <c r="C422" s="4">
        <f t="shared" si="57"/>
        <v>3</v>
      </c>
      <c r="D422" s="11" t="s">
        <v>1268</v>
      </c>
      <c r="E422" s="12" t="s">
        <v>1259</v>
      </c>
      <c r="F422" s="13"/>
      <c r="G422" s="12"/>
      <c r="H422" s="12" t="s">
        <v>1269</v>
      </c>
      <c r="I422" s="13" t="str">
        <f t="shared" si="53"/>
        <v>cheat summon Warden_Trike_Character_BP_C</v>
      </c>
      <c r="J422" s="13" t="str">
        <f t="shared" si="54"/>
        <v>admincheat GMSummon "Warden_Trike_Character_BP_C" 225</v>
      </c>
      <c r="K422" s="12" t="s">
        <v>1270</v>
      </c>
      <c r="L422" s="12" t="str">
        <f t="shared" si="55"/>
        <v>cheat spawndino "/ArkSupreme/Content/SupremeDinos/Wardens/Trike/Warden_Trike_Character_BP_C" 500 0 0 35</v>
      </c>
      <c r="M422" s="13" t="str">
        <f t="shared" si="56"/>
        <v>NPCReplacements=(FromClassName="Warden_Trike_Character_BP_C",ToClassName="")</v>
      </c>
      <c r="N422" s="2"/>
    </row>
    <row r="423">
      <c r="A423" s="2"/>
      <c r="B423" s="29"/>
      <c r="C423" s="4">
        <f t="shared" si="57"/>
        <v>3</v>
      </c>
      <c r="D423" s="8" t="s">
        <v>1271</v>
      </c>
      <c r="E423" s="9" t="s">
        <v>1259</v>
      </c>
      <c r="F423" s="10"/>
      <c r="G423" s="9"/>
      <c r="H423" s="9" t="s">
        <v>1272</v>
      </c>
      <c r="I423" s="10" t="str">
        <f t="shared" si="53"/>
        <v>cheat summon Warden_Wyvern_Character_BP_Fire_C</v>
      </c>
      <c r="J423" s="10" t="str">
        <f t="shared" si="54"/>
        <v>admincheat GMSummon "Warden_Wyvern_Character_BP_Fire_C" 225</v>
      </c>
      <c r="K423" s="9" t="s">
        <v>1273</v>
      </c>
      <c r="L423" s="9" t="str">
        <f t="shared" si="55"/>
        <v>cheat spawndino "/ArkSupreme/Content/SupremeDinos/Wardens/Wyvern/Warden_Wyvern_Character_BP_Fire_C" 500 0 0 35</v>
      </c>
      <c r="M423" s="10" t="str">
        <f t="shared" si="56"/>
        <v>NPCReplacements=(FromClassName="Warden_Wyvern_Character_BP_Fire_C",ToClassName="")</v>
      </c>
      <c r="N423" s="2"/>
    </row>
    <row r="424">
      <c r="A424" s="2"/>
      <c r="B424" s="18"/>
      <c r="C424" s="19">
        <f t="shared" si="57"/>
        <v>0</v>
      </c>
      <c r="D424" s="21"/>
      <c r="E424" s="21"/>
      <c r="F424" s="21"/>
      <c r="G424" s="21"/>
      <c r="H424" s="21"/>
      <c r="I424" s="21"/>
      <c r="J424" s="21"/>
      <c r="K424" s="21"/>
      <c r="L424" s="20"/>
      <c r="M424" s="21"/>
      <c r="N424" s="2"/>
    </row>
    <row r="425">
      <c r="A425" s="2"/>
      <c r="B425" s="34" t="s">
        <v>1274</v>
      </c>
      <c r="C425" s="4">
        <f t="shared" si="57"/>
        <v>4</v>
      </c>
      <c r="D425" s="8" t="s">
        <v>1275</v>
      </c>
      <c r="E425" s="9" t="s">
        <v>1276</v>
      </c>
      <c r="F425" s="35"/>
      <c r="G425" s="9"/>
      <c r="H425" s="9" t="s">
        <v>1277</v>
      </c>
      <c r="I425" s="10" t="str">
        <f t="shared" ref="I425:I427" si="58">"cheat summon "&amp;H425</f>
        <v>cheat summon CorruptedDarkGodRockGolem_Character_BP_C</v>
      </c>
      <c r="J425" s="10" t="str">
        <f t="shared" ref="J425:J427" si="59"> "admincheat GMSummon " &amp;CHAR(34) &amp; H425&amp;CHAR(34)&amp; " 225"</f>
        <v>admincheat GMSummon "CorruptedDarkGodRockGolem_Character_BP_C" 225</v>
      </c>
      <c r="K425" s="9" t="s">
        <v>1278</v>
      </c>
      <c r="L425" s="9" t="str">
        <f t="shared" ref="L425:L427" si="60"> "cheat spawndino " &amp;CHAR(34) &amp; K425&amp;CHAR(34)&amp; " 500 0 0 35"</f>
        <v>cheat spawndino "/ArkSupreme/Content/SupremeDinos/X12Corrupted/Golem/CorruptedDarkGodRockGolem_Character_BP_C" 500 0 0 35</v>
      </c>
      <c r="M425" s="10" t="str">
        <f t="shared" ref="M425:M427" si="61">"NPCReplacements=(FromClassName="&amp;CHAR(34)&amp;H425&amp;""&amp;CHAR(34)&amp;",ToClassName="&amp;CHAR(34)&amp;CHAR(34)&amp;")"</f>
        <v>NPCReplacements=(FromClassName="CorruptedDarkGodRockGolem_Character_BP_C",ToClassName="")</v>
      </c>
      <c r="N425" s="2"/>
    </row>
    <row r="426">
      <c r="A426" s="2"/>
      <c r="B426" s="7"/>
      <c r="C426" s="4">
        <f t="shared" si="57"/>
        <v>4</v>
      </c>
      <c r="D426" s="11" t="s">
        <v>1279</v>
      </c>
      <c r="E426" s="12" t="s">
        <v>1276</v>
      </c>
      <c r="F426" s="13"/>
      <c r="G426" s="12"/>
      <c r="H426" s="12" t="s">
        <v>1280</v>
      </c>
      <c r="I426" s="13" t="str">
        <f t="shared" si="58"/>
        <v>cheat summon CorruptedDarkGodRex_Character_BP_C</v>
      </c>
      <c r="J426" s="13" t="str">
        <f t="shared" si="59"/>
        <v>admincheat GMSummon "CorruptedDarkGodRex_Character_BP_C" 225</v>
      </c>
      <c r="K426" s="12" t="s">
        <v>1281</v>
      </c>
      <c r="L426" s="12" t="str">
        <f t="shared" si="60"/>
        <v>cheat spawndino "/ArkSupreme/Content/SupremeDinos/X12Corrupted/Rex/CorruptedDarkGodRex_Character_BP_C" 500 0 0 35</v>
      </c>
      <c r="M426" s="13" t="str">
        <f t="shared" si="61"/>
        <v>NPCReplacements=(FromClassName="CorruptedDarkGodRex_Character_BP_C",ToClassName="")</v>
      </c>
      <c r="N426" s="2"/>
    </row>
    <row r="427">
      <c r="A427" s="2"/>
      <c r="B427" s="29"/>
      <c r="C427" s="4">
        <f t="shared" si="57"/>
        <v>4</v>
      </c>
      <c r="D427" s="8" t="s">
        <v>1282</v>
      </c>
      <c r="E427" s="9" t="s">
        <v>1276</v>
      </c>
      <c r="F427" s="10"/>
      <c r="G427" s="9"/>
      <c r="H427" s="9" t="s">
        <v>1283</v>
      </c>
      <c r="I427" s="10" t="str">
        <f t="shared" si="58"/>
        <v>cheat summon CorruptedDarkGodBroodmother_Character_BP_C</v>
      </c>
      <c r="J427" s="10" t="str">
        <f t="shared" si="59"/>
        <v>admincheat GMSummon "CorruptedDarkGodBroodmother_Character_BP_C" 225</v>
      </c>
      <c r="K427" s="9" t="s">
        <v>1284</v>
      </c>
      <c r="L427" s="9" t="str">
        <f t="shared" si="60"/>
        <v>cheat spawndino "/ArkSupreme/Content/SupremeDinos/X12Corrupted/Spider/CorruptedDarkGodBroodmother_Character_BP_C" 500 0 0 35</v>
      </c>
      <c r="M427" s="10" t="str">
        <f t="shared" si="61"/>
        <v>NPCReplacements=(FromClassName="CorruptedDarkGodBroodmother_Character_BP_C",ToClassName="")</v>
      </c>
      <c r="N427" s="2"/>
    </row>
    <row r="428">
      <c r="A428" s="2"/>
      <c r="B428" s="18"/>
      <c r="C428" s="19">
        <f t="shared" si="57"/>
        <v>0</v>
      </c>
      <c r="D428" s="21"/>
      <c r="E428" s="21"/>
      <c r="F428" s="21"/>
      <c r="G428" s="21"/>
      <c r="H428" s="21"/>
      <c r="I428" s="21"/>
      <c r="J428" s="21"/>
      <c r="K428" s="21"/>
      <c r="L428" s="20"/>
      <c r="M428" s="21"/>
      <c r="N428" s="2"/>
    </row>
    <row r="429">
      <c r="A429" s="2"/>
      <c r="B429" s="36" t="s">
        <v>1285</v>
      </c>
      <c r="C429" s="4">
        <f t="shared" si="57"/>
        <v>4</v>
      </c>
      <c r="D429" s="8" t="s">
        <v>1286</v>
      </c>
      <c r="E429" s="9" t="s">
        <v>1287</v>
      </c>
      <c r="F429" s="10"/>
      <c r="G429" s="9"/>
      <c r="H429" s="9" t="s">
        <v>1288</v>
      </c>
      <c r="I429" s="10" t="str">
        <f t="shared" ref="I429:I438" si="62">"cheat summon "&amp;H429</f>
        <v>cheat summon HellfireArgent_Character_BP_S_C</v>
      </c>
      <c r="J429" s="10" t="str">
        <f t="shared" ref="J429:J437" si="63"> "admincheat GMSummon " &amp;CHAR(34) &amp; H429&amp;CHAR(34)&amp; " 225"</f>
        <v>admincheat GMSummon "HellfireArgent_Character_BP_S_C" 225</v>
      </c>
      <c r="K429" s="9" t="s">
        <v>1289</v>
      </c>
      <c r="L429" s="9" t="str">
        <f t="shared" ref="L429:L438" si="64"> "cheat spawndino " &amp;CHAR(34) &amp; K429&amp;CHAR(34)&amp; " 500 0 0 35"</f>
        <v>cheat spawndino "/ArkSupreme/Content/SupremeDinos/Hellfire/Argent/HellfireArgent_Character_BP_S_C" 500 0 0 35</v>
      </c>
      <c r="M429" s="10" t="str">
        <f t="shared" ref="M429:M438" si="65">"NPCReplacements=(FromClassName="&amp;CHAR(34)&amp;H429&amp;""&amp;CHAR(34)&amp;",ToClassName="&amp;CHAR(34)&amp;CHAR(34)&amp;")"</f>
        <v>NPCReplacements=(FromClassName="HellfireArgent_Character_BP_S_C",ToClassName="")</v>
      </c>
      <c r="N429" s="2"/>
    </row>
    <row r="430">
      <c r="A430" s="2"/>
      <c r="B430" s="7"/>
      <c r="C430" s="4">
        <f t="shared" si="57"/>
        <v>4</v>
      </c>
      <c r="D430" s="11" t="s">
        <v>1290</v>
      </c>
      <c r="E430" s="12" t="s">
        <v>1287</v>
      </c>
      <c r="F430" s="13"/>
      <c r="G430" s="12"/>
      <c r="H430" s="12" t="s">
        <v>1291</v>
      </c>
      <c r="I430" s="13" t="str">
        <f t="shared" si="62"/>
        <v>cheat summon Hellfire_Deathworm_Character_BP_C</v>
      </c>
      <c r="J430" s="13" t="str">
        <f t="shared" si="63"/>
        <v>admincheat GMSummon "Hellfire_Deathworm_Character_BP_C" 225</v>
      </c>
      <c r="K430" s="12" t="s">
        <v>1292</v>
      </c>
      <c r="L430" s="12" t="str">
        <f t="shared" si="64"/>
        <v>cheat spawndino "/ArkSupreme/Content/SupremeDinos/Hellfire/Deathworm/Hellfire_Deathworm_Character_BP_C" 500 0 0 35</v>
      </c>
      <c r="M430" s="13" t="str">
        <f t="shared" si="65"/>
        <v>NPCReplacements=(FromClassName="Hellfire_Deathworm_Character_BP_C",ToClassName="")</v>
      </c>
      <c r="N430" s="2"/>
    </row>
    <row r="431">
      <c r="A431" s="2"/>
      <c r="B431" s="7"/>
      <c r="C431" s="4">
        <f t="shared" si="57"/>
        <v>4</v>
      </c>
      <c r="D431" s="8" t="s">
        <v>1293</v>
      </c>
      <c r="E431" s="9" t="s">
        <v>1287</v>
      </c>
      <c r="F431" s="10"/>
      <c r="G431" s="9"/>
      <c r="H431" s="9" t="s">
        <v>1294</v>
      </c>
      <c r="I431" s="10" t="str">
        <f t="shared" si="62"/>
        <v>cheat summon Hellfire_Dragon_Character_BP_C</v>
      </c>
      <c r="J431" s="10" t="str">
        <f t="shared" si="63"/>
        <v>admincheat GMSummon "Hellfire_Dragon_Character_BP_C" 225</v>
      </c>
      <c r="K431" s="9" t="s">
        <v>1295</v>
      </c>
      <c r="L431" s="9" t="str">
        <f t="shared" si="64"/>
        <v>cheat spawndino "/ArkSupreme/Content/SupremeDinos/Hellfire/Dragon/Hellfire_Dragon_Character_BP_C" 500 0 0 35</v>
      </c>
      <c r="M431" s="10" t="str">
        <f t="shared" si="65"/>
        <v>NPCReplacements=(FromClassName="Hellfire_Dragon_Character_BP_C",ToClassName="")</v>
      </c>
      <c r="N431" s="2"/>
    </row>
    <row r="432">
      <c r="A432" s="2"/>
      <c r="B432" s="7"/>
      <c r="C432" s="4"/>
      <c r="D432" s="11" t="s">
        <v>1296</v>
      </c>
      <c r="E432" s="12" t="s">
        <v>1297</v>
      </c>
      <c r="F432" s="13"/>
      <c r="G432" s="15"/>
      <c r="H432" s="16" t="s">
        <v>1298</v>
      </c>
      <c r="I432" s="13" t="str">
        <f t="shared" si="62"/>
        <v>cheat summon Gorilla_Character_BP_Hellfire_C</v>
      </c>
      <c r="J432" s="13" t="str">
        <f t="shared" si="63"/>
        <v>admincheat GMSummon "Gorilla_Character_BP_Hellfire_C" 225</v>
      </c>
      <c r="K432" s="16" t="s">
        <v>1299</v>
      </c>
      <c r="L432" s="12" t="str">
        <f t="shared" si="64"/>
        <v>cheat spawndino "/ArkSupreme/Content/SupremeDinos/Hellfire/Gorilla/Gorilla_Character_BP_Hellfire_C" 500 0 0 35</v>
      </c>
      <c r="M432" s="13" t="str">
        <f t="shared" si="65"/>
        <v>NPCReplacements=(FromClassName="Gorilla_Character_BP_Hellfire_C",ToClassName="")</v>
      </c>
      <c r="N432" s="2"/>
    </row>
    <row r="433">
      <c r="A433" s="2"/>
      <c r="B433" s="7"/>
      <c r="C433" s="4">
        <f t="shared" ref="C433:C435" si="66">IF(E433="Alpha",1)+IF(E433="Apex",2)+IF(E433="Earth",3)+IF(E433="Frost",3)+IF(E433="Nature",3)+IF(E433="Storm",4)+IF(E433="Volcanic",4)+IF(E433="Bionic",5)+IF(E433="Legendary",5)+IF(E433="Demonic",6)+IF(E433="Celestial",6)+IF(E433="Godly",7)+IF(E433="Loot",8)+IF(E433="Boss",9)</f>
        <v>4</v>
      </c>
      <c r="D433" s="8" t="s">
        <v>1300</v>
      </c>
      <c r="E433" s="9" t="s">
        <v>1287</v>
      </c>
      <c r="F433" s="10"/>
      <c r="G433" s="9"/>
      <c r="H433" s="9" t="s">
        <v>1301</v>
      </c>
      <c r="I433" s="10" t="str">
        <f t="shared" si="62"/>
        <v>cheat summon Hellfire_KingTitan_Character_BP_C</v>
      </c>
      <c r="J433" s="10" t="str">
        <f t="shared" si="63"/>
        <v>admincheat GMSummon "Hellfire_KingTitan_Character_BP_C" 225</v>
      </c>
      <c r="K433" s="9" t="s">
        <v>1302</v>
      </c>
      <c r="L433" s="9" t="str">
        <f t="shared" si="64"/>
        <v>cheat spawndino "/ArkSupreme/Content/SupremeDinos/Hellfire/Kingkaiju/Hellfire_KingTitan_Character_BP_C" 500 0 0 35</v>
      </c>
      <c r="M433" s="10" t="str">
        <f t="shared" si="65"/>
        <v>NPCReplacements=(FromClassName="Hellfire_KingTitan_Character_BP_C",ToClassName="")</v>
      </c>
      <c r="N433" s="2"/>
    </row>
    <row r="434">
      <c r="A434" s="2"/>
      <c r="B434" s="7"/>
      <c r="C434" s="4">
        <f t="shared" si="66"/>
        <v>4</v>
      </c>
      <c r="D434" s="11" t="s">
        <v>1303</v>
      </c>
      <c r="E434" s="12" t="s">
        <v>1287</v>
      </c>
      <c r="F434" s="13"/>
      <c r="G434" s="12"/>
      <c r="H434" s="12" t="s">
        <v>1304</v>
      </c>
      <c r="I434" s="13" t="str">
        <f t="shared" si="62"/>
        <v>cheat summon Hellfire_CaveWolf_Character_BP_C</v>
      </c>
      <c r="J434" s="13" t="str">
        <f t="shared" si="63"/>
        <v>admincheat GMSummon "Hellfire_CaveWolf_Character_BP_C" 225</v>
      </c>
      <c r="K434" s="12" t="s">
        <v>1305</v>
      </c>
      <c r="L434" s="12" t="str">
        <f t="shared" si="64"/>
        <v>cheat spawndino "/ArkSupreme/Content/SupremeDinos/Hellfire/Ravager/Hellfire_CaveWolf_Character_BP_C" 500 0 0 35</v>
      </c>
      <c r="M434" s="13" t="str">
        <f t="shared" si="65"/>
        <v>NPCReplacements=(FromClassName="Hellfire_CaveWolf_Character_BP_C",ToClassName="")</v>
      </c>
      <c r="N434" s="2"/>
    </row>
    <row r="435">
      <c r="A435" s="2"/>
      <c r="B435" s="7"/>
      <c r="C435" s="4">
        <f t="shared" si="66"/>
        <v>4</v>
      </c>
      <c r="D435" s="8" t="s">
        <v>1306</v>
      </c>
      <c r="E435" s="9" t="s">
        <v>1287</v>
      </c>
      <c r="F435" s="10"/>
      <c r="G435" s="9"/>
      <c r="H435" s="9" t="s">
        <v>1307</v>
      </c>
      <c r="I435" s="10" t="str">
        <f t="shared" si="62"/>
        <v>cheat summon Hellfire_Rex_Character_BP_C</v>
      </c>
      <c r="J435" s="10" t="str">
        <f t="shared" si="63"/>
        <v>admincheat GMSummon "Hellfire_Rex_Character_BP_C" 225</v>
      </c>
      <c r="K435" s="9" t="s">
        <v>1308</v>
      </c>
      <c r="L435" s="9" t="str">
        <f t="shared" si="64"/>
        <v>cheat spawndino "/ArkSupreme/Content/SupremeDinos/Hellfire/Rex/Hellfire_Rex_Character_BP_C" 500 0 0 35</v>
      </c>
      <c r="M435" s="10" t="str">
        <f t="shared" si="65"/>
        <v>NPCReplacements=(FromClassName="Hellfire_Rex_Character_BP_C",ToClassName="")</v>
      </c>
      <c r="N435" s="2"/>
    </row>
    <row r="436">
      <c r="A436" s="2"/>
      <c r="B436" s="7"/>
      <c r="C436" s="4"/>
      <c r="D436" s="11" t="s">
        <v>1309</v>
      </c>
      <c r="E436" s="12"/>
      <c r="F436" s="13"/>
      <c r="G436" s="12"/>
      <c r="H436" s="12" t="s">
        <v>1310</v>
      </c>
      <c r="I436" s="13" t="str">
        <f t="shared" si="62"/>
        <v>cheat summon Hellfire_Bee_Character_BP_C</v>
      </c>
      <c r="J436" s="13" t="str">
        <f t="shared" si="63"/>
        <v>admincheat GMSummon "Hellfire_Bee_Character_BP_C" 225</v>
      </c>
      <c r="K436" s="12" t="s">
        <v>1311</v>
      </c>
      <c r="L436" s="12" t="str">
        <f t="shared" si="64"/>
        <v>cheat spawndino "/ArkSupreme/Content/SupremeDinos/0BeeProgression/4Hellfire/Hellfire_Bee_Character_BP_C" 500 0 0 35</v>
      </c>
      <c r="M436" s="13" t="str">
        <f t="shared" si="65"/>
        <v>NPCReplacements=(FromClassName="Hellfire_Bee_Character_BP_C",ToClassName="")</v>
      </c>
      <c r="N436" s="2"/>
    </row>
    <row r="437">
      <c r="A437" s="2"/>
      <c r="B437" s="7"/>
      <c r="C437" s="4"/>
      <c r="D437" s="8" t="s">
        <v>1312</v>
      </c>
      <c r="E437" s="9"/>
      <c r="F437" s="10"/>
      <c r="G437" s="9"/>
      <c r="H437" s="9" t="s">
        <v>1313</v>
      </c>
      <c r="I437" s="10" t="str">
        <f t="shared" si="62"/>
        <v>cheat summon Bee_Queen_Character_BPHellfireParent_C</v>
      </c>
      <c r="J437" s="10" t="str">
        <f t="shared" si="63"/>
        <v>admincheat GMSummon "Bee_Queen_Character_BPHellfireParent_C" 225</v>
      </c>
      <c r="K437" s="9" t="s">
        <v>1314</v>
      </c>
      <c r="L437" s="9" t="str">
        <f t="shared" si="64"/>
        <v>cheat spawndino "/ArkSupreme/Content/SupremeDinos/0BeeProgression/4Hellfire/Parent/Bee_Queen_Character_BPHellfireParent_C" 500 0 0 35</v>
      </c>
      <c r="M437" s="10" t="str">
        <f t="shared" si="65"/>
        <v>NPCReplacements=(FromClassName="Bee_Queen_Character_BPHellfireParent_C",ToClassName="")</v>
      </c>
      <c r="N437" s="2"/>
    </row>
    <row r="438">
      <c r="A438" s="2"/>
      <c r="B438" s="29"/>
      <c r="C438" s="4">
        <f t="shared" ref="C438:C439" si="67">IF(E438="Alpha",1)+IF(E438="Apex",2)+IF(E438="Earth",3)+IF(E438="Frost",3)+IF(E438="Nature",3)+IF(E438="Storm",4)+IF(E438="Volcanic",4)+IF(E438="Bionic",5)+IF(E438="Legendary",5)+IF(E438="Demonic",6)+IF(E438="Celestial",6)+IF(E438="Godly",7)+IF(E438="Loot",8)+IF(E438="Boss",9)</f>
        <v>4</v>
      </c>
      <c r="D438" s="11" t="s">
        <v>1315</v>
      </c>
      <c r="E438" s="12" t="s">
        <v>1287</v>
      </c>
      <c r="F438" s="13"/>
      <c r="G438" s="12"/>
      <c r="H438" s="12" t="s">
        <v>1316</v>
      </c>
      <c r="I438" s="13" t="str">
        <f t="shared" si="62"/>
        <v>cheat summon Hellfire_Wyvern_Character_BP_C</v>
      </c>
      <c r="J438" s="13" t="str">
        <f>"cheat summon "&amp;I438</f>
        <v>cheat summon cheat summon Hellfire_Wyvern_Character_BP_C</v>
      </c>
      <c r="K438" s="12" t="s">
        <v>1317</v>
      </c>
      <c r="L438" s="12" t="str">
        <f t="shared" si="64"/>
        <v>cheat spawndino "/ArkSupreme/Content/SupremeDinos/Hellfire/Wyvern/Hellfire_Wyvern_Character_BP_C" 500 0 0 35</v>
      </c>
      <c r="M438" s="13" t="str">
        <f t="shared" si="65"/>
        <v>NPCReplacements=(FromClassName="Hellfire_Wyvern_Character_BP_C",ToClassName="")</v>
      </c>
      <c r="N438" s="2"/>
    </row>
    <row r="439">
      <c r="A439" s="2"/>
      <c r="B439" s="18"/>
      <c r="C439" s="19">
        <f t="shared" si="67"/>
        <v>0</v>
      </c>
      <c r="D439" s="21"/>
      <c r="E439" s="21"/>
      <c r="F439" s="21"/>
      <c r="G439" s="21"/>
      <c r="H439" s="21"/>
      <c r="I439" s="21"/>
      <c r="J439" s="21"/>
      <c r="K439" s="21"/>
      <c r="L439" s="20"/>
      <c r="M439" s="21"/>
      <c r="N439" s="2"/>
    </row>
    <row r="440">
      <c r="A440" s="2"/>
      <c r="B440" s="37" t="s">
        <v>1318</v>
      </c>
      <c r="C440" s="4"/>
      <c r="D440" s="11" t="s">
        <v>1319</v>
      </c>
      <c r="E440" s="12" t="s">
        <v>1320</v>
      </c>
      <c r="F440" s="13"/>
      <c r="G440" s="11"/>
      <c r="H440" s="11" t="s">
        <v>1321</v>
      </c>
      <c r="I440" s="13" t="str">
        <f t="shared" ref="I440:I445" si="68">"cheat summon "&amp;H440</f>
        <v>cheat summon DarkGodCrab_Character_BP_S_C</v>
      </c>
      <c r="J440" s="13" t="str">
        <f t="shared" ref="J440:J445" si="69"> "admincheat GMSummon " &amp;CHAR(34) &amp; H440&amp;CHAR(34)&amp; " 225"</f>
        <v>admincheat GMSummon "DarkGodCrab_Character_BP_S_C" 225</v>
      </c>
      <c r="K440" s="12" t="s">
        <v>1322</v>
      </c>
      <c r="L440" s="12" t="str">
        <f t="shared" ref="L440:L445" si="70"> "cheat spawndino " &amp;CHAR(34) &amp; K440&amp;CHAR(34)&amp; " 500 0 0 35"</f>
        <v>cheat spawndino "/ArkSupreme/Content/SupremeDinos/Darkgod/Crab/DarkGodCrab_Character_BP_S_C" 500 0 0 35</v>
      </c>
      <c r="M440" s="13" t="str">
        <f t="shared" ref="M440:M445" si="71">"NPCReplacements=(FromClassName="&amp;CHAR(34)&amp;H440&amp;""&amp;CHAR(34)&amp;",ToClassName="&amp;CHAR(34)&amp;CHAR(34)&amp;")"</f>
        <v>NPCReplacements=(FromClassName="DarkGodCrab_Character_BP_S_C",ToClassName="")</v>
      </c>
      <c r="N440" s="2"/>
    </row>
    <row r="441">
      <c r="A441" s="2"/>
      <c r="B441" s="7"/>
      <c r="C441" s="4"/>
      <c r="D441" s="8" t="s">
        <v>1323</v>
      </c>
      <c r="E441" s="9" t="s">
        <v>1320</v>
      </c>
      <c r="F441" s="10"/>
      <c r="G441" s="8"/>
      <c r="H441" s="8" t="s">
        <v>1324</v>
      </c>
      <c r="I441" s="10" t="str">
        <f t="shared" si="68"/>
        <v>cheat summon DarkGodRockGolem_Character_BP_C</v>
      </c>
      <c r="J441" s="10" t="str">
        <f t="shared" si="69"/>
        <v>admincheat GMSummon "DarkGodRockGolem_Character_BP_C" 225</v>
      </c>
      <c r="K441" s="9" t="s">
        <v>1325</v>
      </c>
      <c r="L441" s="9" t="str">
        <f t="shared" si="70"/>
        <v>cheat spawndino "/ArkSupreme/Content/SupremeDinos/Darkgod/Golem/DarkGodRockGolem_Character_BP_C" 500 0 0 35</v>
      </c>
      <c r="M441" s="10" t="str">
        <f t="shared" si="71"/>
        <v>NPCReplacements=(FromClassName="DarkGodRockGolem_Character_BP_C",ToClassName="")</v>
      </c>
      <c r="N441" s="2"/>
    </row>
    <row r="442">
      <c r="A442" s="2"/>
      <c r="B442" s="7"/>
      <c r="C442" s="4"/>
      <c r="D442" s="11" t="s">
        <v>1326</v>
      </c>
      <c r="E442" s="12" t="s">
        <v>1320</v>
      </c>
      <c r="F442" s="13"/>
      <c r="G442" s="11"/>
      <c r="H442" s="11" t="s">
        <v>1327</v>
      </c>
      <c r="I442" s="13" t="str">
        <f t="shared" si="68"/>
        <v>cheat summon DarkGodRex_Character_BP_C</v>
      </c>
      <c r="J442" s="13" t="str">
        <f t="shared" si="69"/>
        <v>admincheat GMSummon "DarkGodRex_Character_BP_C" 225</v>
      </c>
      <c r="K442" s="12" t="s">
        <v>1328</v>
      </c>
      <c r="L442" s="12" t="str">
        <f t="shared" si="70"/>
        <v>cheat spawndino "/ArkSupreme/Content/SupremeDinos/Darkgod/Rex/DarkGodRex_Character_BP_C" 500 0 0 35</v>
      </c>
      <c r="M442" s="13" t="str">
        <f t="shared" si="71"/>
        <v>NPCReplacements=(FromClassName="DarkGodRex_Character_BP_C",ToClassName="")</v>
      </c>
      <c r="N442" s="2"/>
    </row>
    <row r="443">
      <c r="A443" s="2"/>
      <c r="B443" s="7"/>
      <c r="C443" s="4"/>
      <c r="D443" s="8" t="s">
        <v>1329</v>
      </c>
      <c r="E443" s="9"/>
      <c r="F443" s="10"/>
      <c r="G443" s="8"/>
      <c r="H443" s="8" t="s">
        <v>1330</v>
      </c>
      <c r="I443" s="10" t="str">
        <f t="shared" si="68"/>
        <v>cheat summon Darkgod_Bee_Character_BP_C</v>
      </c>
      <c r="J443" s="10" t="str">
        <f t="shared" si="69"/>
        <v>admincheat GMSummon "Darkgod_Bee_Character_BP_C" 225</v>
      </c>
      <c r="K443" s="9" t="s">
        <v>1331</v>
      </c>
      <c r="L443" s="9" t="str">
        <f t="shared" si="70"/>
        <v>cheat spawndino "/ArkSupreme/Content/SupremeDinos/0BeeProgression/DarkGod/Darkgod_Bee_Character_BP_C" 500 0 0 35</v>
      </c>
      <c r="M443" s="10" t="str">
        <f t="shared" si="71"/>
        <v>NPCReplacements=(FromClassName="Darkgod_Bee_Character_BP_C",ToClassName="")</v>
      </c>
      <c r="N443" s="2"/>
    </row>
    <row r="444">
      <c r="A444" s="2"/>
      <c r="B444" s="7"/>
      <c r="C444" s="4"/>
      <c r="D444" s="11" t="s">
        <v>1332</v>
      </c>
      <c r="E444" s="12"/>
      <c r="F444" s="13"/>
      <c r="G444" s="11"/>
      <c r="H444" s="11" t="s">
        <v>1333</v>
      </c>
      <c r="I444" s="13" t="str">
        <f t="shared" si="68"/>
        <v>cheat summon Bee_Queen_Character_BPDarkgodParent_C</v>
      </c>
      <c r="J444" s="13" t="str">
        <f t="shared" si="69"/>
        <v>admincheat GMSummon "Bee_Queen_Character_BPDarkgodParent_C" 225</v>
      </c>
      <c r="K444" s="12" t="s">
        <v>1334</v>
      </c>
      <c r="L444" s="12" t="str">
        <f t="shared" si="70"/>
        <v>cheat spawndino "/ArkSupreme/Content/SupremeDinos/0BeeProgression/DarkGod/Parent/Bee_Queen_Character_BPDarkgodParent_C" 500 0 0 35</v>
      </c>
      <c r="M444" s="13" t="str">
        <f t="shared" si="71"/>
        <v>NPCReplacements=(FromClassName="Bee_Queen_Character_BPDarkgodParent_C",ToClassName="")</v>
      </c>
      <c r="N444" s="2"/>
    </row>
    <row r="445">
      <c r="A445" s="2"/>
      <c r="B445" s="29"/>
      <c r="C445" s="4"/>
      <c r="D445" s="8" t="s">
        <v>1335</v>
      </c>
      <c r="E445" s="9" t="s">
        <v>1320</v>
      </c>
      <c r="F445" s="10"/>
      <c r="G445" s="8"/>
      <c r="H445" s="8" t="s">
        <v>1336</v>
      </c>
      <c r="I445" s="10" t="str">
        <f t="shared" si="68"/>
        <v>cheat summon DarkGodBroodmother_Character_BP_C</v>
      </c>
      <c r="J445" s="10" t="str">
        <f t="shared" si="69"/>
        <v>admincheat GMSummon "DarkGodBroodmother_Character_BP_C" 225</v>
      </c>
      <c r="K445" s="9" t="s">
        <v>1337</v>
      </c>
      <c r="L445" s="9" t="str">
        <f t="shared" si="70"/>
        <v>cheat spawndino "/ArkSupreme/Content/SupremeDinos/Darkgod/Spider/DarkGodBroodmother_Character_BP_C" 500 0 0 35</v>
      </c>
      <c r="M445" s="10" t="str">
        <f t="shared" si="71"/>
        <v>NPCReplacements=(FromClassName="DarkGodBroodmother_Character_BP_C",ToClassName="")</v>
      </c>
      <c r="N445" s="2"/>
    </row>
    <row r="446">
      <c r="A446" s="2"/>
      <c r="B446" s="18"/>
      <c r="C446" s="19">
        <f>IF(E446="Alpha",1)+IF(E446="Apex",2)+IF(E446="Earth",3)+IF(E446="Frost",3)+IF(E446="Nature",3)+IF(E446="Storm",4)+IF(E446="Volcanic",4)+IF(E446="Bionic",5)+IF(E446="Legendary",5)+IF(E446="Demonic",6)+IF(E446="Celestial",6)+IF(E446="Godly",7)+IF(E446="Loot",8)+IF(E446="Boss",9)</f>
        <v>0</v>
      </c>
      <c r="D446" s="21"/>
      <c r="E446" s="21"/>
      <c r="F446" s="21"/>
      <c r="G446" s="21"/>
      <c r="H446" s="21"/>
      <c r="I446" s="21"/>
      <c r="J446" s="21"/>
      <c r="K446" s="21"/>
      <c r="L446" s="20"/>
      <c r="M446" s="21"/>
      <c r="N446" s="2"/>
    </row>
    <row r="447">
      <c r="A447" s="2"/>
      <c r="B447" s="38" t="s">
        <v>1338</v>
      </c>
      <c r="C447" s="4"/>
      <c r="D447" s="8" t="s">
        <v>1339</v>
      </c>
      <c r="E447" s="9" t="s">
        <v>1340</v>
      </c>
      <c r="F447" s="10"/>
      <c r="G447" s="9"/>
      <c r="H447" s="9" t="s">
        <v>1341</v>
      </c>
      <c r="I447" s="10" t="str">
        <f t="shared" ref="I447:I452" si="72">"cheat summon "&amp;H447</f>
        <v>cheat summon SpectralWarden_Gorilla_Character_BP_C</v>
      </c>
      <c r="J447" s="10" t="str">
        <f t="shared" ref="J447:J452" si="73"> "admincheat GMSummon " &amp;CHAR(34) &amp; H447&amp;CHAR(34)&amp; " 225"</f>
        <v>admincheat GMSummon "SpectralWarden_Gorilla_Character_BP_C" 225</v>
      </c>
      <c r="K447" s="9" t="s">
        <v>1342</v>
      </c>
      <c r="L447" s="9" t="str">
        <f t="shared" ref="L447:L452" si="74"> "cheat spawndino " &amp;CHAR(34) &amp; K447&amp;CHAR(34)&amp; " 500 0 0 35"</f>
        <v>cheat spawndino "/ArkSupreme/Content/SupremeDinos/Spectral/Gorilla/SpectralWarden_Gorilla_Character_BP_C" 500 0 0 35</v>
      </c>
      <c r="M447" s="10" t="str">
        <f t="shared" ref="M447:M452" si="75">"NPCReplacements=(FromClassName="&amp;CHAR(34)&amp;H447&amp;""&amp;CHAR(34)&amp;",ToClassName="&amp;CHAR(34)&amp;CHAR(34)&amp;")"</f>
        <v>NPCReplacements=(FromClassName="SpectralWarden_Gorilla_Character_BP_C",ToClassName="")</v>
      </c>
      <c r="N447" s="2"/>
    </row>
    <row r="448">
      <c r="A448" s="2"/>
      <c r="B448" s="7"/>
      <c r="C448" s="4"/>
      <c r="D448" s="11" t="s">
        <v>1343</v>
      </c>
      <c r="E448" s="12" t="s">
        <v>1340</v>
      </c>
      <c r="F448" s="13"/>
      <c r="G448" s="12"/>
      <c r="H448" s="12" t="s">
        <v>1344</v>
      </c>
      <c r="I448" s="13" t="str">
        <f t="shared" si="72"/>
        <v>cheat summon SpectralWarden_KingTitan_Character_BP_C</v>
      </c>
      <c r="J448" s="13" t="str">
        <f t="shared" si="73"/>
        <v>admincheat GMSummon "SpectralWarden_KingTitan_Character_BP_C" 225</v>
      </c>
      <c r="K448" s="12" t="s">
        <v>1345</v>
      </c>
      <c r="L448" s="12" t="str">
        <f t="shared" si="74"/>
        <v>cheat spawndino "/ArkSupreme/Content/SupremeDinos/Spectral/Kaiju/SpectralWarden_KingTitan_Character_BP_C" 500 0 0 35</v>
      </c>
      <c r="M448" s="13" t="str">
        <f t="shared" si="75"/>
        <v>NPCReplacements=(FromClassName="SpectralWarden_KingTitan_Character_BP_C",ToClassName="")</v>
      </c>
      <c r="N448" s="2"/>
    </row>
    <row r="449">
      <c r="A449" s="2"/>
      <c r="B449" s="7"/>
      <c r="C449" s="4"/>
      <c r="D449" s="8" t="s">
        <v>1346</v>
      </c>
      <c r="E449" s="9" t="s">
        <v>1340</v>
      </c>
      <c r="F449" s="10"/>
      <c r="G449" s="9"/>
      <c r="H449" s="9" t="s">
        <v>1347</v>
      </c>
      <c r="I449" s="10" t="str">
        <f t="shared" si="72"/>
        <v>cheat summon SpectralWarden_Manticore_Character_BP_C</v>
      </c>
      <c r="J449" s="10" t="str">
        <f t="shared" si="73"/>
        <v>admincheat GMSummon "SpectralWarden_Manticore_Character_BP_C" 225</v>
      </c>
      <c r="K449" s="9" t="s">
        <v>1348</v>
      </c>
      <c r="L449" s="9" t="str">
        <f t="shared" si="74"/>
        <v>cheat spawndino "/ArkSupreme/Content/SupremeDinos/Spectral/Manticore/SpectralWarden_Manticore_Character_BP_C" 500 0 0 35</v>
      </c>
      <c r="M449" s="10" t="str">
        <f t="shared" si="75"/>
        <v>NPCReplacements=(FromClassName="SpectralWarden_Manticore_Character_BP_C",ToClassName="")</v>
      </c>
      <c r="N449" s="2"/>
    </row>
    <row r="450">
      <c r="A450" s="2"/>
      <c r="B450" s="7"/>
      <c r="C450" s="4"/>
      <c r="D450" s="11" t="s">
        <v>1349</v>
      </c>
      <c r="E450" s="12" t="s">
        <v>1340</v>
      </c>
      <c r="F450" s="13"/>
      <c r="G450" s="12"/>
      <c r="H450" s="12" t="s">
        <v>1350</v>
      </c>
      <c r="I450" s="13" t="str">
        <f t="shared" si="72"/>
        <v>cheat summon SpectralWarden_Rex_Character_BP_C</v>
      </c>
      <c r="J450" s="13" t="str">
        <f t="shared" si="73"/>
        <v>admincheat GMSummon "SpectralWarden_Rex_Character_BP_C" 225</v>
      </c>
      <c r="K450" s="12" t="s">
        <v>1351</v>
      </c>
      <c r="L450" s="12" t="str">
        <f t="shared" si="74"/>
        <v>cheat spawndino "/ArkSupreme/Content/SupremeDinos/Spectral/Rex/SpectralWarden_Rex_Character_BP_C" 500 0 0 35</v>
      </c>
      <c r="M450" s="13" t="str">
        <f t="shared" si="75"/>
        <v>NPCReplacements=(FromClassName="SpectralWarden_Rex_Character_BP_C",ToClassName="")</v>
      </c>
      <c r="N450" s="2"/>
    </row>
    <row r="451">
      <c r="A451" s="2"/>
      <c r="B451" s="7"/>
      <c r="C451" s="4"/>
      <c r="D451" s="8" t="s">
        <v>1352</v>
      </c>
      <c r="E451" s="9" t="s">
        <v>1340</v>
      </c>
      <c r="F451" s="10"/>
      <c r="G451" s="9"/>
      <c r="H451" s="9" t="s">
        <v>1353</v>
      </c>
      <c r="I451" s="10" t="str">
        <f t="shared" si="72"/>
        <v>cheat summon SpectralWarden_Trike_Character_BP_C</v>
      </c>
      <c r="J451" s="10" t="str">
        <f t="shared" si="73"/>
        <v>admincheat GMSummon "SpectralWarden_Trike_Character_BP_C" 225</v>
      </c>
      <c r="K451" s="9" t="s">
        <v>1354</v>
      </c>
      <c r="L451" s="9" t="str">
        <f t="shared" si="74"/>
        <v>cheat spawndino "/ArkSupreme/Content/SupremeDinos/Spectral/Trike/SpectralWarden_Trike_Character_BP_C" 500 0 0 35</v>
      </c>
      <c r="M451" s="10" t="str">
        <f t="shared" si="75"/>
        <v>NPCReplacements=(FromClassName="SpectralWarden_Trike_Character_BP_C",ToClassName="")</v>
      </c>
      <c r="N451" s="2"/>
    </row>
    <row r="452">
      <c r="A452" s="2"/>
      <c r="B452" s="29"/>
      <c r="C452" s="4"/>
      <c r="D452" s="11" t="s">
        <v>1355</v>
      </c>
      <c r="E452" s="12"/>
      <c r="F452" s="13"/>
      <c r="G452" s="12"/>
      <c r="H452" s="12" t="s">
        <v>1356</v>
      </c>
      <c r="I452" s="13" t="str">
        <f t="shared" si="72"/>
        <v>cheat summon SpectralWarden_Wyvern_Character_BP_Fire_C</v>
      </c>
      <c r="J452" s="13" t="str">
        <f t="shared" si="73"/>
        <v>admincheat GMSummon "SpectralWarden_Wyvern_Character_BP_Fire_C" 225</v>
      </c>
      <c r="K452" s="12" t="s">
        <v>1357</v>
      </c>
      <c r="L452" s="12" t="str">
        <f t="shared" si="74"/>
        <v>cheat spawndino "/ArkSupreme/Content/SupremeDinos/Spectral/Wyvern/SpectralWarden_Wyvern_Character_BP_Fire_C" 500 0 0 35</v>
      </c>
      <c r="M452" s="13" t="str">
        <f t="shared" si="75"/>
        <v>NPCReplacements=(FromClassName="SpectralWarden_Wyvern_Character_BP_Fire_C",ToClassName="")</v>
      </c>
      <c r="N452" s="2"/>
    </row>
    <row r="453">
      <c r="A453" s="2"/>
      <c r="B453" s="18"/>
      <c r="C453" s="19">
        <f>IF(E453="Alpha",1)+IF(E453="Apex",2)+IF(E453="Earth",3)+IF(E453="Frost",3)+IF(E453="Nature",3)+IF(E453="Storm",4)+IF(E453="Volcanic",4)+IF(E453="Bionic",5)+IF(E453="Legendary",5)+IF(E453="Demonic",6)+IF(E453="Celestial",6)+IF(E453="Godly",7)+IF(E453="Loot",8)+IF(E453="Boss",9)</f>
        <v>0</v>
      </c>
      <c r="D453" s="21"/>
      <c r="E453" s="21"/>
      <c r="F453" s="21"/>
      <c r="G453" s="21"/>
      <c r="H453" s="21"/>
      <c r="I453" s="21"/>
      <c r="J453" s="21"/>
      <c r="K453" s="21"/>
      <c r="L453" s="20"/>
      <c r="M453" s="21"/>
      <c r="N453" s="2"/>
    </row>
    <row r="454">
      <c r="A454" s="2"/>
      <c r="B454" s="39" t="s">
        <v>51</v>
      </c>
      <c r="D454" s="11" t="s">
        <v>1358</v>
      </c>
      <c r="E454" s="12"/>
      <c r="F454" s="13"/>
      <c r="G454" s="12"/>
      <c r="H454" s="12" t="s">
        <v>1359</v>
      </c>
      <c r="I454" s="13" t="str">
        <f t="shared" ref="I454:I471" si="76">"cheat summon "&amp;H454</f>
        <v>cheat summon BerserkKingOfTheDesert_Character_BP_C</v>
      </c>
      <c r="J454" s="13" t="str">
        <f t="shared" ref="J454:J471" si="77"> "admincheat GMSummon " &amp;CHAR(34) &amp; H454&amp;CHAR(34)&amp; " 225"</f>
        <v>admincheat GMSummon "BerserkKingOfTheDesert_Character_BP_C" 225</v>
      </c>
      <c r="K454" s="12" t="s">
        <v>1360</v>
      </c>
      <c r="L454" s="12" t="str">
        <f t="shared" ref="L454:L471" si="78"> "cheat spawndino " &amp;CHAR(34) &amp; K454&amp;CHAR(34)&amp; " 500 0 0 35"</f>
        <v>cheat spawndino "/ArkSupreme/Content/SupremeBosses/TieredBosses/4BerserkKings/KingOfDesert/BerserkKingOfTheDesert_Character_BP_C" 500 0 0 35</v>
      </c>
      <c r="M454" s="13" t="str">
        <f t="shared" ref="M454:M471" si="79">"NPCReplacements=(FromClassName="&amp;CHAR(34)&amp;H454&amp;""&amp;CHAR(34)&amp;",ToClassName="&amp;CHAR(34)&amp;CHAR(34)&amp;")"</f>
        <v>NPCReplacements=(FromClassName="BerserkKingOfTheDesert_Character_BP_C",ToClassName="")</v>
      </c>
      <c r="N454" s="2"/>
    </row>
    <row r="455">
      <c r="A455" s="2"/>
      <c r="D455" s="8" t="s">
        <v>1361</v>
      </c>
      <c r="E455" s="9"/>
      <c r="F455" s="10"/>
      <c r="G455" s="9"/>
      <c r="H455" s="9" t="s">
        <v>1362</v>
      </c>
      <c r="I455" s="10" t="str">
        <f t="shared" si="76"/>
        <v>cheat summon BerserkKingOfTheGrasslands_Character_BP_C</v>
      </c>
      <c r="J455" s="10" t="str">
        <f t="shared" si="77"/>
        <v>admincheat GMSummon "BerserkKingOfTheGrasslands_Character_BP_C" 225</v>
      </c>
      <c r="K455" s="9" t="s">
        <v>1363</v>
      </c>
      <c r="L455" s="9" t="str">
        <f t="shared" si="78"/>
        <v>cheat spawndino "/ArkSupreme/Content/SupremeBosses/TieredBosses/4BerserkKings/KingOfGrasslands/BerserkKingOfTheGrasslands_Character_BP_C" 500 0 0 35</v>
      </c>
      <c r="M455" s="10" t="str">
        <f t="shared" si="79"/>
        <v>NPCReplacements=(FromClassName="BerserkKingOfTheGrasslands_Character_BP_C",ToClassName="")</v>
      </c>
      <c r="N455" s="2"/>
    </row>
    <row r="456">
      <c r="A456" s="2"/>
      <c r="D456" s="11" t="s">
        <v>1364</v>
      </c>
      <c r="E456" s="12"/>
      <c r="F456" s="13"/>
      <c r="G456" s="12"/>
      <c r="H456" s="12" t="s">
        <v>1365</v>
      </c>
      <c r="I456" s="13" t="str">
        <f t="shared" si="76"/>
        <v>cheat summon BerserkKingOfTheSwamp_Character_BP_C</v>
      </c>
      <c r="J456" s="13" t="str">
        <f t="shared" si="77"/>
        <v>admincheat GMSummon "BerserkKingOfTheSwamp_Character_BP_C" 225</v>
      </c>
      <c r="K456" s="12" t="s">
        <v>1366</v>
      </c>
      <c r="L456" s="12" t="str">
        <f t="shared" si="78"/>
        <v>cheat spawndino "/ArkSupreme/Content/SupremeBosses/TieredBosses/4BerserkKings/KingOfSwamps/BerserkKingOfTheSwamp_Character_BP_C" 500 0 0 35</v>
      </c>
      <c r="M456" s="13" t="str">
        <f t="shared" si="79"/>
        <v>NPCReplacements=(FromClassName="BerserkKingOfTheSwamp_Character_BP_C",ToClassName="")</v>
      </c>
      <c r="N456" s="2"/>
    </row>
    <row r="457">
      <c r="A457" s="2"/>
      <c r="D457" s="8" t="s">
        <v>1367</v>
      </c>
      <c r="E457" s="9"/>
      <c r="F457" s="10"/>
      <c r="G457" s="9"/>
      <c r="H457" s="9" t="s">
        <v>1368</v>
      </c>
      <c r="I457" s="10" t="str">
        <f t="shared" si="76"/>
        <v>cheat summon NecroticGolem_Character_BP_BOSS_C</v>
      </c>
      <c r="J457" s="10" t="str">
        <f t="shared" si="77"/>
        <v>admincheat GMSummon "NecroticGolem_Character_BP_BOSS_C" 225</v>
      </c>
      <c r="K457" s="9" t="s">
        <v>1369</v>
      </c>
      <c r="L457" s="9" t="str">
        <f t="shared" si="78"/>
        <v>cheat spawndino "/ArkSupreme/Content/SupremeBosses/TieredBosses/NecBoss/NecroticGolem_Character_BP_BOSS_C" 500 0 0 35</v>
      </c>
      <c r="M457" s="10" t="str">
        <f t="shared" si="79"/>
        <v>NPCReplacements=(FromClassName="NecroticGolem_Character_BP_BOSS_C",ToClassName="")</v>
      </c>
      <c r="N457" s="2"/>
    </row>
    <row r="458">
      <c r="A458" s="2"/>
      <c r="D458" s="11" t="s">
        <v>1370</v>
      </c>
      <c r="E458" s="12"/>
      <c r="F458" s="13"/>
      <c r="G458" s="12"/>
      <c r="H458" s="12" t="s">
        <v>1371</v>
      </c>
      <c r="I458" s="13" t="str">
        <f t="shared" si="76"/>
        <v>cheat summon NecroticGolem_Character_BP_BOSS_Tameable_C</v>
      </c>
      <c r="J458" s="13" t="str">
        <f t="shared" si="77"/>
        <v>admincheat GMSummon "NecroticGolem_Character_BP_BOSS_Tameable_C" 225</v>
      </c>
      <c r="K458" s="12" t="s">
        <v>1372</v>
      </c>
      <c r="L458" s="12" t="str">
        <f t="shared" si="78"/>
        <v>cheat spawndino "/ArkSupreme/Content/SupremeBosses/TameableTieredBosses/NecBoss/NecroticGolem_Character_BP_BOSS_Tameable_C" 500 0 0 35</v>
      </c>
      <c r="M458" s="13" t="str">
        <f t="shared" si="79"/>
        <v>NPCReplacements=(FromClassName="NecroticGolem_Character_BP_BOSS_Tameable_C",ToClassName="")</v>
      </c>
      <c r="N458" s="2"/>
    </row>
    <row r="459">
      <c r="A459" s="2"/>
      <c r="D459" s="8" t="s">
        <v>1373</v>
      </c>
      <c r="E459" s="9"/>
      <c r="F459" s="10"/>
      <c r="G459" s="9"/>
      <c r="H459" s="9" t="s">
        <v>1374</v>
      </c>
      <c r="I459" s="10" t="str">
        <f t="shared" si="76"/>
        <v>cheat summon GrenadierBigfoot_Character_BP_BOSS_C</v>
      </c>
      <c r="J459" s="10" t="str">
        <f t="shared" si="77"/>
        <v>admincheat GMSummon "GrenadierBigfoot_Character_BP_BOSS_C" 225</v>
      </c>
      <c r="K459" s="9" t="s">
        <v>1375</v>
      </c>
      <c r="L459" s="9" t="str">
        <f t="shared" si="78"/>
        <v>cheat spawndino "/ArkSupreme/Content/SupremeBosses/BossTier/Grenadier/Bigfoot/GrenadierBigfoot_Character_BP_BOSS_C" 500 0 0 35</v>
      </c>
      <c r="M459" s="10" t="str">
        <f t="shared" si="79"/>
        <v>NPCReplacements=(FromClassName="GrenadierBigfoot_Character_BP_BOSS_C",ToClassName="")</v>
      </c>
      <c r="N459" s="2"/>
    </row>
    <row r="460">
      <c r="A460" s="2"/>
      <c r="D460" s="11" t="s">
        <v>1376</v>
      </c>
      <c r="E460" s="12"/>
      <c r="F460" s="13"/>
      <c r="G460" s="12"/>
      <c r="H460" s="12" t="s">
        <v>1377</v>
      </c>
      <c r="I460" s="13" t="str">
        <f t="shared" si="76"/>
        <v>cheat summon GrenadierDodo_Character_BP_BOSS_C</v>
      </c>
      <c r="J460" s="13" t="str">
        <f t="shared" si="77"/>
        <v>admincheat GMSummon "GrenadierDodo_Character_BP_BOSS_C" 225</v>
      </c>
      <c r="K460" s="12" t="s">
        <v>1378</v>
      </c>
      <c r="L460" s="12" t="str">
        <f t="shared" si="78"/>
        <v>cheat spawndino "/ArkSupreme/Content/SupremeBosses/BossTier/Grenadier/Dodo/GrenadierDodo_Character_BP_BOSS_C" 500 0 0 35</v>
      </c>
      <c r="M460" s="13" t="str">
        <f t="shared" si="79"/>
        <v>NPCReplacements=(FromClassName="GrenadierDodo_Character_BP_BOSS_C",ToClassName="")</v>
      </c>
      <c r="N460" s="2"/>
    </row>
    <row r="461">
      <c r="A461" s="2"/>
      <c r="D461" s="8" t="s">
        <v>1379</v>
      </c>
      <c r="E461" s="9"/>
      <c r="F461" s="10"/>
      <c r="G461" s="9"/>
      <c r="H461" s="9" t="s">
        <v>1380</v>
      </c>
      <c r="I461" s="10" t="str">
        <f t="shared" si="76"/>
        <v>cheat summon GrenadierDoed_Character_BP_BOSS_C</v>
      </c>
      <c r="J461" s="10" t="str">
        <f t="shared" si="77"/>
        <v>admincheat GMSummon "GrenadierDoed_Character_BP_BOSS_C" 225</v>
      </c>
      <c r="K461" s="9" t="s">
        <v>1381</v>
      </c>
      <c r="L461" s="9" t="str">
        <f t="shared" si="78"/>
        <v>cheat spawndino "/ArkSupreme/Content/SupremeBosses/BossTier/Grenadier/Doedic/GrenadierDoed_Character_BP_BOSS_C" 500 0 0 35</v>
      </c>
      <c r="M461" s="10" t="str">
        <f t="shared" si="79"/>
        <v>NPCReplacements=(FromClassName="GrenadierDoed_Character_BP_BOSS_C",ToClassName="")</v>
      </c>
      <c r="N461" s="2"/>
    </row>
    <row r="462">
      <c r="A462" s="2"/>
      <c r="D462" s="11" t="s">
        <v>1382</v>
      </c>
      <c r="E462" s="12"/>
      <c r="F462" s="13"/>
      <c r="G462" s="12"/>
      <c r="H462" s="12" t="s">
        <v>1383</v>
      </c>
      <c r="I462" s="13" t="str">
        <f t="shared" si="76"/>
        <v>cheat summon GrenadierMonkey_Character_BP_BOSS_C</v>
      </c>
      <c r="J462" s="13" t="str">
        <f t="shared" si="77"/>
        <v>admincheat GMSummon "GrenadierMonkey_Character_BP_BOSS_C" 225</v>
      </c>
      <c r="K462" s="12" t="s">
        <v>1384</v>
      </c>
      <c r="L462" s="12" t="str">
        <f t="shared" si="78"/>
        <v>cheat spawndino "/ArkSupreme/Content/SupremeBosses/BossTier/Grenadier/Monkey/GrenadierMonkey_Character_BP_BOSS_C" 500 0 0 35</v>
      </c>
      <c r="M462" s="13" t="str">
        <f t="shared" si="79"/>
        <v>NPCReplacements=(FromClassName="GrenadierMonkey_Character_BP_BOSS_C",ToClassName="")</v>
      </c>
      <c r="N462" s="2"/>
    </row>
    <row r="463">
      <c r="A463" s="2"/>
      <c r="D463" s="8" t="s">
        <v>1385</v>
      </c>
      <c r="E463" s="9"/>
      <c r="F463" s="10"/>
      <c r="G463" s="9"/>
      <c r="H463" s="9" t="s">
        <v>1386</v>
      </c>
      <c r="I463" s="10" t="str">
        <f t="shared" si="76"/>
        <v>cheat summon GrenadierSpino_Character_BP_BOSS_C</v>
      </c>
      <c r="J463" s="10" t="str">
        <f t="shared" si="77"/>
        <v>admincheat GMSummon "GrenadierSpino_Character_BP_BOSS_C" 225</v>
      </c>
      <c r="K463" s="9" t="s">
        <v>1387</v>
      </c>
      <c r="L463" s="9" t="str">
        <f t="shared" si="78"/>
        <v>cheat spawndino "/ArkSupreme/Content/SupremeBosses/BossTier/Grenadier/Spino/GrenadierSpino_Character_BP_BOSS_C" 500 0 0 35</v>
      </c>
      <c r="M463" s="10" t="str">
        <f t="shared" si="79"/>
        <v>NPCReplacements=(FromClassName="GrenadierSpino_Character_BP_BOSS_C",ToClassName="")</v>
      </c>
      <c r="N463" s="2"/>
    </row>
    <row r="464">
      <c r="A464" s="2"/>
      <c r="D464" s="11" t="s">
        <v>1388</v>
      </c>
      <c r="E464" s="12"/>
      <c r="F464" s="13"/>
      <c r="G464" s="12"/>
      <c r="H464" s="12" t="s">
        <v>1389</v>
      </c>
      <c r="I464" s="13" t="str">
        <f t="shared" si="76"/>
        <v>cheat summon Bionic_Ferox_Character_BP_C</v>
      </c>
      <c r="J464" s="13" t="str">
        <f t="shared" si="77"/>
        <v>admincheat GMSummon "Bionic_Ferox_Character_BP_C" 225</v>
      </c>
      <c r="K464" s="12" t="s">
        <v>1390</v>
      </c>
      <c r="L464" s="12" t="str">
        <f t="shared" si="78"/>
        <v>cheat spawndino "/ArkSupreme/Content/SupremeBosses/TieredBosses/7PrimeGuardians/Ferox/Bionic_Ferox_Character_BP_C" 500 0 0 35</v>
      </c>
      <c r="M464" s="13" t="str">
        <f t="shared" si="79"/>
        <v>NPCReplacements=(FromClassName="Bionic_Ferox_Character_BP_C",ToClassName="")</v>
      </c>
      <c r="N464" s="2"/>
    </row>
    <row r="465">
      <c r="A465" s="2"/>
      <c r="D465" s="8" t="s">
        <v>1391</v>
      </c>
      <c r="E465" s="9"/>
      <c r="F465" s="10"/>
      <c r="G465" s="9"/>
      <c r="H465" s="9" t="s">
        <v>1392</v>
      </c>
      <c r="I465" s="10" t="str">
        <f t="shared" si="76"/>
        <v>cheat summon Prime_SpiderL_Character_BP_C</v>
      </c>
      <c r="J465" s="10" t="str">
        <f t="shared" si="77"/>
        <v>admincheat GMSummon "Prime_SpiderL_Character_BP_C" 225</v>
      </c>
      <c r="K465" s="9" t="s">
        <v>1393</v>
      </c>
      <c r="L465" s="9" t="str">
        <f t="shared" si="78"/>
        <v>cheat spawndino "/ArkSupreme/Content/SupremeBosses/TieredBosses/7PrimeGuardians/Spider/Prime_SpiderL_Character_BP_C" 500 0 0 35</v>
      </c>
      <c r="M465" s="10" t="str">
        <f t="shared" si="79"/>
        <v>NPCReplacements=(FromClassName="Prime_SpiderL_Character_BP_C",ToClassName="")</v>
      </c>
      <c r="N465" s="2"/>
    </row>
    <row r="466">
      <c r="A466" s="2"/>
      <c r="D466" s="11" t="s">
        <v>1394</v>
      </c>
      <c r="E466" s="12"/>
      <c r="F466" s="13"/>
      <c r="G466" s="12"/>
      <c r="H466" s="12" t="s">
        <v>1007</v>
      </c>
      <c r="I466" s="13" t="str">
        <f t="shared" si="76"/>
        <v>cheat summon BerserkSpino_Character_BP_S_C</v>
      </c>
      <c r="J466" s="13" t="str">
        <f t="shared" si="77"/>
        <v>admincheat GMSummon "BerserkSpino_Character_BP_S_C" 225</v>
      </c>
      <c r="K466" s="12" t="s">
        <v>1395</v>
      </c>
      <c r="L466" s="12" t="str">
        <f t="shared" si="78"/>
        <v>cheat spawndino "/ArkSupreme/Content/SupremeBosses/TieredBosses/7PrimeGuardians/Spino/BerserkSpino_Character_BP_S_C" 500 0 0 35</v>
      </c>
      <c r="M466" s="13" t="str">
        <f t="shared" si="79"/>
        <v>NPCReplacements=(FromClassName="BerserkSpino_Character_BP_S_C",ToClassName="")</v>
      </c>
      <c r="N466" s="2"/>
    </row>
    <row r="467">
      <c r="A467" s="2"/>
      <c r="D467" s="8" t="s">
        <v>1396</v>
      </c>
      <c r="E467" s="9"/>
      <c r="F467" s="10"/>
      <c r="G467" s="9"/>
      <c r="H467" s="9" t="s">
        <v>1397</v>
      </c>
      <c r="I467" s="10" t="str">
        <f t="shared" si="76"/>
        <v>cheat summon WardenGorilla_Character_BP_BOSS_C</v>
      </c>
      <c r="J467" s="10" t="str">
        <f t="shared" si="77"/>
        <v>admincheat GMSummon "WardenGorilla_Character_BP_BOSS_C" 225</v>
      </c>
      <c r="K467" s="9" t="s">
        <v>1398</v>
      </c>
      <c r="L467" s="9" t="str">
        <f t="shared" si="78"/>
        <v>cheat spawndino "/ArkSupreme/Content/SupremeBosses/BossTier/Wardens/Gorilla/WardenGorilla_Character_BP_BOSS_C" 500 0 0 35</v>
      </c>
      <c r="M467" s="10" t="str">
        <f t="shared" si="79"/>
        <v>NPCReplacements=(FromClassName="WardenGorilla_Character_BP_BOSS_C",ToClassName="")</v>
      </c>
      <c r="N467" s="2"/>
    </row>
    <row r="468">
      <c r="A468" s="2"/>
      <c r="D468" s="11" t="s">
        <v>1399</v>
      </c>
      <c r="E468" s="12"/>
      <c r="F468" s="13"/>
      <c r="G468" s="12"/>
      <c r="H468" s="12" t="s">
        <v>1400</v>
      </c>
      <c r="I468" s="13" t="str">
        <f t="shared" si="76"/>
        <v>cheat summon WardenManticore_Character_BP_BOSS_C</v>
      </c>
      <c r="J468" s="13" t="str">
        <f t="shared" si="77"/>
        <v>admincheat GMSummon "WardenManticore_Character_BP_BOSS_C" 225</v>
      </c>
      <c r="K468" s="12" t="s">
        <v>1401</v>
      </c>
      <c r="L468" s="12" t="str">
        <f t="shared" si="78"/>
        <v>cheat spawndino "/ArkSupreme/Content/SupremeBosses/BossTier/Wardens/Manticore/WardenManticore_Character_BP_BOSS_C" 500 0 0 35</v>
      </c>
      <c r="M468" s="13" t="str">
        <f t="shared" si="79"/>
        <v>NPCReplacements=(FromClassName="WardenManticore_Character_BP_BOSS_C",ToClassName="")</v>
      </c>
      <c r="N468" s="2"/>
    </row>
    <row r="469">
      <c r="A469" s="2"/>
      <c r="D469" s="8" t="s">
        <v>1402</v>
      </c>
      <c r="E469" s="9"/>
      <c r="F469" s="10"/>
      <c r="G469" s="9"/>
      <c r="H469" s="9" t="s">
        <v>1403</v>
      </c>
      <c r="I469" s="10" t="str">
        <f t="shared" si="76"/>
        <v>cheat summon Warden_Rex_Character_BP_BOSS_C</v>
      </c>
      <c r="J469" s="10" t="str">
        <f t="shared" si="77"/>
        <v>admincheat GMSummon "Warden_Rex_Character_BP_BOSS_C" 225</v>
      </c>
      <c r="K469" s="9" t="s">
        <v>1404</v>
      </c>
      <c r="L469" s="9" t="str">
        <f t="shared" si="78"/>
        <v>cheat spawndino "/ArkSupreme/Content/SupremeBosses/BossTier/Wardens/Rex/Warden_Rex_Character_BP_BOSS_C" 500 0 0 35</v>
      </c>
      <c r="M469" s="10" t="str">
        <f t="shared" si="79"/>
        <v>NPCReplacements=(FromClassName="Warden_Rex_Character_BP_BOSS_C",ToClassName="")</v>
      </c>
      <c r="N469" s="2"/>
    </row>
    <row r="470">
      <c r="A470" s="2"/>
      <c r="D470" s="11" t="s">
        <v>1405</v>
      </c>
      <c r="E470" s="12"/>
      <c r="F470" s="13"/>
      <c r="G470" s="12"/>
      <c r="H470" s="12" t="s">
        <v>1406</v>
      </c>
      <c r="I470" s="13" t="str">
        <f t="shared" si="76"/>
        <v>cheat summon Warden_Trike_Character_BP_BOSS_C</v>
      </c>
      <c r="J470" s="13" t="str">
        <f t="shared" si="77"/>
        <v>admincheat GMSummon "Warden_Trike_Character_BP_BOSS_C" 225</v>
      </c>
      <c r="K470" s="12" t="s">
        <v>1407</v>
      </c>
      <c r="L470" s="12" t="str">
        <f t="shared" si="78"/>
        <v>cheat spawndino "/ArkSupreme/Content/SupremeBosses/BossTier/Wardens/Trike/Warden_Trike_Character_BP_BOSS_C" 500 0 0 35</v>
      </c>
      <c r="M470" s="13" t="str">
        <f t="shared" si="79"/>
        <v>NPCReplacements=(FromClassName="Warden_Trike_Character_BP_BOSS_C",ToClassName="")</v>
      </c>
      <c r="N470" s="2"/>
    </row>
    <row r="471">
      <c r="A471" s="2"/>
      <c r="D471" s="8" t="s">
        <v>1408</v>
      </c>
      <c r="E471" s="9"/>
      <c r="F471" s="10"/>
      <c r="G471" s="9"/>
      <c r="H471" s="9" t="s">
        <v>1409</v>
      </c>
      <c r="I471" s="10" t="str">
        <f t="shared" si="76"/>
        <v>cheat summon Warden_Wyvern_Character_BP_Fire_BOSS_C</v>
      </c>
      <c r="J471" s="10" t="str">
        <f t="shared" si="77"/>
        <v>admincheat GMSummon "Warden_Wyvern_Character_BP_Fire_BOSS_C" 225</v>
      </c>
      <c r="K471" s="9" t="s">
        <v>1410</v>
      </c>
      <c r="L471" s="9" t="str">
        <f t="shared" si="78"/>
        <v>cheat spawndino "/ArkSupreme/Content/SupremeBosses/BossTier/Wardens/Wyvern/Warden_Wyvern_Character_BP_Fire_BOSS_C" 500 0 0 35</v>
      </c>
      <c r="M471" s="10" t="str">
        <f t="shared" si="79"/>
        <v>NPCReplacements=(FromClassName="Warden_Wyvern_Character_BP_Fire_BOSS_C",ToClassName="")</v>
      </c>
      <c r="N471" s="2"/>
    </row>
    <row r="472">
      <c r="A472" s="2"/>
      <c r="D472" s="11" t="s">
        <v>1411</v>
      </c>
      <c r="E472" s="12"/>
      <c r="F472" s="13"/>
      <c r="G472" s="12"/>
      <c r="H472" s="12" t="s">
        <v>1412</v>
      </c>
      <c r="I472" s="13"/>
      <c r="J472" s="13"/>
      <c r="K472" s="12" t="s">
        <v>1413</v>
      </c>
      <c r="L472" s="12"/>
      <c r="M472" s="13"/>
      <c r="N472" s="2"/>
    </row>
    <row r="473">
      <c r="A473" s="2"/>
      <c r="D473" s="8" t="s">
        <v>1414</v>
      </c>
      <c r="E473" s="9"/>
      <c r="F473" s="10"/>
      <c r="G473" s="9"/>
      <c r="H473" s="9" t="s">
        <v>1415</v>
      </c>
      <c r="I473" s="10"/>
      <c r="J473" s="10"/>
      <c r="K473" s="9" t="s">
        <v>1416</v>
      </c>
      <c r="L473" s="9"/>
      <c r="M473" s="10"/>
      <c r="N473" s="2"/>
    </row>
    <row r="474">
      <c r="A474" s="2"/>
      <c r="D474" s="11" t="s">
        <v>1417</v>
      </c>
      <c r="E474" s="12"/>
      <c r="F474" s="13"/>
      <c r="G474" s="12"/>
      <c r="H474" s="12" t="s">
        <v>1418</v>
      </c>
      <c r="I474" s="13"/>
      <c r="J474" s="13"/>
      <c r="K474" s="12" t="s">
        <v>1419</v>
      </c>
      <c r="L474" s="12"/>
      <c r="M474" s="13"/>
      <c r="N474" s="2"/>
    </row>
    <row r="475">
      <c r="A475" s="2"/>
      <c r="D475" s="8" t="s">
        <v>1420</v>
      </c>
      <c r="E475" s="9"/>
      <c r="F475" s="10"/>
      <c r="G475" s="9"/>
      <c r="H475" s="9" t="s">
        <v>1421</v>
      </c>
      <c r="I475" s="10" t="str">
        <f t="shared" ref="I475:I483" si="80">"cheat summon "&amp;H475</f>
        <v>cheat summon ToxicTribesman_Character_BP_Minion_C</v>
      </c>
      <c r="J475" s="10" t="str">
        <f t="shared" ref="J475:J483" si="81"> "admincheat GMSummon " &amp;CHAR(34) &amp; H475&amp;CHAR(34)&amp; " 225"</f>
        <v>admincheat GMSummon "ToxicTribesman_Character_BP_Minion_C" 225</v>
      </c>
      <c r="K475" s="9" t="s">
        <v>1422</v>
      </c>
      <c r="L475" s="9" t="str">
        <f t="shared" ref="L475:L483" si="82"> "cheat spawndino " &amp;CHAR(34) &amp; K475&amp;CHAR(34)&amp; " 500 0 0 35"</f>
        <v>cheat spawndino "/ArkSupreme/Content/SupremeBosses/Lootbosses/1Toxic/ToxicTribesman_Character_BP_Minion_C" 500 0 0 35</v>
      </c>
      <c r="M475" s="10" t="str">
        <f t="shared" ref="M475:M483" si="83">"NPCReplacements=(FromClassName="&amp;CHAR(34)&amp;H475&amp;""&amp;CHAR(34)&amp;",ToClassName="&amp;CHAR(34)&amp;CHAR(34)&amp;")"</f>
        <v>NPCReplacements=(FromClassName="ToxicTribesman_Character_BP_Minion_C",ToClassName="")</v>
      </c>
      <c r="N475" s="2"/>
    </row>
    <row r="476">
      <c r="A476" s="2"/>
      <c r="D476" s="11" t="s">
        <v>1423</v>
      </c>
      <c r="E476" s="12"/>
      <c r="F476" s="13"/>
      <c r="G476" s="12"/>
      <c r="H476" s="12" t="s">
        <v>1424</v>
      </c>
      <c r="I476" s="13" t="str">
        <f t="shared" si="80"/>
        <v>cheat summon ToxicTribesmanChief_Character_BP_C</v>
      </c>
      <c r="J476" s="13" t="str">
        <f t="shared" si="81"/>
        <v>admincheat GMSummon "ToxicTribesmanChief_Character_BP_C" 225</v>
      </c>
      <c r="K476" s="12" t="s">
        <v>1425</v>
      </c>
      <c r="L476" s="12" t="str">
        <f t="shared" si="82"/>
        <v>cheat spawndino "/ArkSupreme/Content/SupremeBosses/Lootbosses/1Toxic/ToxicTribesmanChief_Character_BP_C" 500 0 0 35</v>
      </c>
      <c r="M476" s="13" t="str">
        <f t="shared" si="83"/>
        <v>NPCReplacements=(FromClassName="ToxicTribesmanChief_Character_BP_C",ToClassName="")</v>
      </c>
      <c r="N476" s="2"/>
    </row>
    <row r="477">
      <c r="A477" s="2"/>
      <c r="D477" s="8" t="s">
        <v>1426</v>
      </c>
      <c r="E477" s="9"/>
      <c r="F477" s="10"/>
      <c r="G477" s="9"/>
      <c r="H477" s="9" t="s">
        <v>1427</v>
      </c>
      <c r="I477" s="10" t="str">
        <f t="shared" si="80"/>
        <v>cheat summon BerserkTribesman_Character_BP_Pistol_Minion_C</v>
      </c>
      <c r="J477" s="10" t="str">
        <f t="shared" si="81"/>
        <v>admincheat GMSummon "BerserkTribesman_Character_BP_Pistol_Minion_C" 225</v>
      </c>
      <c r="K477" s="9" t="s">
        <v>1428</v>
      </c>
      <c r="L477" s="9" t="str">
        <f t="shared" si="82"/>
        <v>cheat spawndino "/ArkSupreme/Content/SupremeBosses/Lootbosses/2Berserk/BerserkTribesman_Character_BP_Pistol_C" 500 0 0 35</v>
      </c>
      <c r="M477" s="10" t="str">
        <f t="shared" si="83"/>
        <v>NPCReplacements=(FromClassName="BerserkTribesman_Character_BP_Pistol_Minion_C",ToClassName="")</v>
      </c>
      <c r="N477" s="2"/>
    </row>
    <row r="478">
      <c r="A478" s="2"/>
      <c r="D478" s="11" t="s">
        <v>1429</v>
      </c>
      <c r="E478" s="12"/>
      <c r="F478" s="13"/>
      <c r="G478" s="12"/>
      <c r="H478" s="12" t="s">
        <v>1430</v>
      </c>
      <c r="I478" s="13" t="str">
        <f t="shared" si="80"/>
        <v>cheat summon BerserkTribesman_Character_BP_Pistol_C</v>
      </c>
      <c r="J478" s="13" t="str">
        <f t="shared" si="81"/>
        <v>admincheat GMSummon "BerserkTribesman_Character_BP_Pistol_C" 225</v>
      </c>
      <c r="K478" s="12" t="s">
        <v>1431</v>
      </c>
      <c r="L478" s="12" t="str">
        <f t="shared" si="82"/>
        <v>cheat spawndino "/ArkSupreme/Content/SupremeBosses/Lootbosses/2Berserk/BerserkTribesman_Character_BP_Pistol_Minion_C" 500 0 0 35</v>
      </c>
      <c r="M478" s="13" t="str">
        <f t="shared" si="83"/>
        <v>NPCReplacements=(FromClassName="BerserkTribesman_Character_BP_Pistol_C",ToClassName="")</v>
      </c>
      <c r="N478" s="2"/>
    </row>
    <row r="479">
      <c r="A479" s="2"/>
      <c r="D479" s="8" t="s">
        <v>1432</v>
      </c>
      <c r="E479" s="9"/>
      <c r="F479" s="10"/>
      <c r="G479" s="9"/>
      <c r="H479" s="9" t="s">
        <v>1433</v>
      </c>
      <c r="I479" s="10" t="str">
        <f t="shared" si="80"/>
        <v>cheat summon NecroticTribesman_Character_BP_Minion_C</v>
      </c>
      <c r="J479" s="10" t="str">
        <f t="shared" si="81"/>
        <v>admincheat GMSummon "NecroticTribesman_Character_BP_Minion_C" 225</v>
      </c>
      <c r="K479" s="9" t="s">
        <v>1434</v>
      </c>
      <c r="L479" s="9" t="str">
        <f t="shared" si="82"/>
        <v>cheat spawndino "/ArkSupreme/Content/SupremeBosses/Lootbosses/4Necrotic/ChiefNecroticTribesman_Character_BP_C" 500 0 0 35</v>
      </c>
      <c r="M479" s="10" t="str">
        <f t="shared" si="83"/>
        <v>NPCReplacements=(FromClassName="NecroticTribesman_Character_BP_Minion_C",ToClassName="")</v>
      </c>
      <c r="N479" s="2"/>
    </row>
    <row r="480">
      <c r="A480" s="2"/>
      <c r="D480" s="11" t="s">
        <v>1432</v>
      </c>
      <c r="E480" s="12"/>
      <c r="F480" s="13"/>
      <c r="G480" s="12"/>
      <c r="H480" s="12" t="s">
        <v>1435</v>
      </c>
      <c r="I480" s="13" t="str">
        <f t="shared" si="80"/>
        <v>cheat summon ChiefNecroticTribesman_Character_BP_C</v>
      </c>
      <c r="J480" s="13" t="str">
        <f t="shared" si="81"/>
        <v>admincheat GMSummon "ChiefNecroticTribesman_Character_BP_C" 225</v>
      </c>
      <c r="K480" s="12" t="s">
        <v>1436</v>
      </c>
      <c r="L480" s="12" t="str">
        <f t="shared" si="82"/>
        <v>cheat spawndino "/ArkSupreme/Content/SupremeBosses/Lootbosses/4Necrotic/NecroticTribesman_Character_BP_Minion_C" 500 0 0 35</v>
      </c>
      <c r="M480" s="13" t="str">
        <f t="shared" si="83"/>
        <v>NPCReplacements=(FromClassName="ChiefNecroticTribesman_Character_BP_C",ToClassName="")</v>
      </c>
      <c r="N480" s="2"/>
    </row>
    <row r="481">
      <c r="A481" s="2"/>
      <c r="D481" s="8" t="s">
        <v>1437</v>
      </c>
      <c r="E481" s="9"/>
      <c r="F481" s="10"/>
      <c r="G481" s="9"/>
      <c r="H481" s="9" t="s">
        <v>1438</v>
      </c>
      <c r="I481" s="10" t="str">
        <f t="shared" si="80"/>
        <v>cheat summon Thrall_Character_BP_WithShotgun_C</v>
      </c>
      <c r="J481" s="10" t="str">
        <f t="shared" si="81"/>
        <v>admincheat GMSummon "Thrall_Character_BP_WithShotgun_C" 225</v>
      </c>
      <c r="K481" s="9" t="s">
        <v>1439</v>
      </c>
      <c r="L481" s="9" t="str">
        <f t="shared" si="82"/>
        <v>cheat spawndino "/ArkSupreme/Content/SupremeBosses/Lootbosses/Prime/Thrall_Character_BP_WithShotgun_C" 500 0 0 35</v>
      </c>
      <c r="M481" s="10" t="str">
        <f t="shared" si="83"/>
        <v>NPCReplacements=(FromClassName="Thrall_Character_BP_WithShotgun_C",ToClassName="")</v>
      </c>
      <c r="N481" s="2"/>
    </row>
    <row r="482">
      <c r="A482" s="2"/>
      <c r="D482" s="11" t="s">
        <v>1440</v>
      </c>
      <c r="E482" s="12"/>
      <c r="F482" s="13"/>
      <c r="G482" s="12"/>
      <c r="H482" s="12" t="s">
        <v>1441</v>
      </c>
      <c r="I482" s="13" t="str">
        <f t="shared" si="80"/>
        <v>cheat summon Thrall_Character_BP_WithRocketLauncher_C</v>
      </c>
      <c r="J482" s="13" t="str">
        <f t="shared" si="81"/>
        <v>admincheat GMSummon "Thrall_Character_BP_WithRocketLauncher_C" 225</v>
      </c>
      <c r="K482" s="12" t="s">
        <v>1442</v>
      </c>
      <c r="L482" s="12" t="str">
        <f t="shared" si="82"/>
        <v>cheat spawndino "/ArkSupreme/Content/SupremeBosses/Lootbosses/6Nuclear/Thrall_Character_BP_WithRocketLauncher_C" 500 0 0 35</v>
      </c>
      <c r="M482" s="13" t="str">
        <f t="shared" si="83"/>
        <v>NPCReplacements=(FromClassName="Thrall_Character_BP_WithRocketLauncher_C",ToClassName="")</v>
      </c>
      <c r="N482" s="2"/>
    </row>
    <row r="483">
      <c r="A483" s="2"/>
      <c r="D483" s="8" t="s">
        <v>1443</v>
      </c>
      <c r="E483" s="9"/>
      <c r="F483" s="10"/>
      <c r="G483" s="9"/>
      <c r="H483" s="9" t="s">
        <v>1444</v>
      </c>
      <c r="I483" s="10" t="str">
        <f t="shared" si="80"/>
        <v>cheat summon Thrall_Character_BP_WithFlamethrower_C</v>
      </c>
      <c r="J483" s="10" t="str">
        <f t="shared" si="81"/>
        <v>admincheat GMSummon "Thrall_Character_BP_WithFlamethrower_C" 225</v>
      </c>
      <c r="K483" s="9" t="s">
        <v>1445</v>
      </c>
      <c r="L483" s="9" t="str">
        <f t="shared" si="82"/>
        <v>cheat spawndino "/ArkSupreme/Content/SupremeBosses/Lootbosses/7Hellfire/Thrall_Character_BP_WithFlamethrower_C" 500 0 0 35</v>
      </c>
      <c r="M483" s="10" t="str">
        <f t="shared" si="83"/>
        <v>NPCReplacements=(FromClassName="Thrall_Character_BP_WithFlamethrower_C",ToClassName="")</v>
      </c>
      <c r="N483" s="2"/>
    </row>
    <row r="484" ht="38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</sheetData>
  <autoFilter ref="$C$2:$M$452">
    <sortState ref="C2:M452">
      <sortCondition ref="C2:C452"/>
    </sortState>
  </autoFilter>
  <mergeCells count="15">
    <mergeCell ref="B381:B398"/>
    <mergeCell ref="B400:B417"/>
    <mergeCell ref="B419:B423"/>
    <mergeCell ref="B425:B427"/>
    <mergeCell ref="B429:B438"/>
    <mergeCell ref="B440:B445"/>
    <mergeCell ref="B447:B452"/>
    <mergeCell ref="B454:B483"/>
    <mergeCell ref="A1:M1"/>
    <mergeCell ref="B2:B118"/>
    <mergeCell ref="B120:B235"/>
    <mergeCell ref="B237:B353"/>
    <mergeCell ref="B355:B365"/>
    <mergeCell ref="B368:B372"/>
    <mergeCell ref="B374:B37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7.63"/>
    <col customWidth="1" hidden="1" min="3" max="4" width="32.38"/>
    <col customWidth="1" min="5" max="5" width="32.38"/>
    <col customWidth="1" min="6" max="6" width="55.0"/>
    <col customWidth="1" min="7" max="7" width="75.25"/>
    <col customWidth="1" min="8" max="8" width="150.63"/>
    <col customWidth="1" min="9" max="9" width="39.25"/>
    <col customWidth="1" min="10" max="10" width="99.25"/>
    <col customWidth="1" min="11" max="29" width="7.63"/>
  </cols>
  <sheetData>
    <row r="1" ht="32.25" customHeight="1">
      <c r="A1" s="40"/>
      <c r="B1" s="41"/>
      <c r="C1" s="41"/>
      <c r="D1" s="41"/>
      <c r="E1" s="41"/>
      <c r="F1" s="41"/>
      <c r="G1" s="41"/>
      <c r="H1" s="41"/>
      <c r="I1" s="41"/>
      <c r="J1" s="42"/>
      <c r="K1" s="2"/>
    </row>
    <row r="2" ht="24.0" customHeight="1">
      <c r="A2" s="43"/>
      <c r="B2" s="44" t="s">
        <v>1446</v>
      </c>
      <c r="C2" s="6" t="s">
        <v>1447</v>
      </c>
      <c r="D2" s="6" t="s">
        <v>1448</v>
      </c>
      <c r="E2" s="6" t="s">
        <v>1449</v>
      </c>
      <c r="F2" s="5" t="s">
        <v>1450</v>
      </c>
      <c r="G2" s="6" t="s">
        <v>1451</v>
      </c>
      <c r="H2" s="6" t="s">
        <v>10</v>
      </c>
      <c r="I2" s="5" t="s">
        <v>1452</v>
      </c>
      <c r="J2" s="6" t="s">
        <v>1453</v>
      </c>
      <c r="K2" s="2"/>
    </row>
    <row r="3">
      <c r="A3" s="7"/>
      <c r="B3" s="7"/>
      <c r="C3" s="45">
        <f>IF(D3="PrimalItemConsumable_Blood",1)+IF(D3="PrimalItemConsumable_Narcotic",2)+IF(D3="PrimalItemConsumable_Seed",3)+IF(D3="PrimalItemConsumable_Fruit",4)+IF(D3="PrimalItemConsumable_Egg_Unfertilized",5)+IF(D3="PrimalItemConsumable_Kibble",6)+IF(D3="PrimalItemConsumable_Potion",7)+IF(D3="PrimalItemConsumable_XP",8)+IF(D3="PrimalItemConsumable_Food",9)+IF(D3="PrimalItemResource",10)+IF(D3="PrimalItemResource_Hide",11)+IF(D3="PrimalItemResource_MetalIngot",12)+IF(D3="PrimalItemConsumable_Summon",13)+IF(D3="PrimalItemStructure",14)+IF(D3="PrimalItem_Weapon",15)+IF(D3="PrimalItemAmmo",16)+IF(D3="PrimalItemArmor",17)+IF(D3="PrimalItemSaddle",18)+IF(D3="PrimalItemConsumable_UnderwaterEgg",19)+IF(D3="PrimalItemConsumable_Egg",20)+IF(D3="PrimalItemSaddle",21)</f>
        <v>1</v>
      </c>
      <c r="D3" s="45" t="str">
        <f t="shared" ref="D3:D15" si="1">Left(F3,find("Blood",F3)+4)</f>
        <v>PrimalItemConsumable_Blood</v>
      </c>
      <c r="E3" s="8" t="s">
        <v>1454</v>
      </c>
      <c r="F3" s="8" t="s">
        <v>1455</v>
      </c>
      <c r="G3" s="45" t="str">
        <f t="shared" ref="G3:G22" si="2">"cheat gfi "&amp;F3&amp;" 1 0 0"</f>
        <v>cheat gfi PrimalItemConsumable_Blood_Alpha_C 1 0 0</v>
      </c>
      <c r="H3" s="8" t="s">
        <v>1456</v>
      </c>
      <c r="I3" s="45" t="str">
        <f t="shared" ref="I3:I22" si="3">CONCATENATE("EngramEntry",RIGHT(F3,LEN(F3) - (FIND("_",F3) - 1)))</f>
        <v>EngramEntry_Blood_Alpha_C</v>
      </c>
      <c r="J3" s="45" t="str">
        <f t="shared" ref="J3:J22" si="4">"OverrideNamedEngramEntries=("&amp;I3&amp;",EngramHidden=true)"</f>
        <v>OverrideNamedEngramEntries=(EngramEntry_Blood_Alpha_C,EngramHidden=true)</v>
      </c>
      <c r="K3" s="2"/>
    </row>
    <row r="4">
      <c r="A4" s="7"/>
      <c r="B4" s="7"/>
      <c r="C4" s="46">
        <f t="shared" ref="C4:C22" si="5">IF(D4="PrimalItemConsumable_Blood",1)+IF(D4="PrimalItemConsumable_Narcotic",2)+IF(D4="PrimalItemConsumable_Seed",3)+IF(D4="PrimalItemConsumable_Fruit",4)+IF(D4="PrimalItemConsumable_Egg_Unfertilized",5)+IF(D4="PrimalItemConsumable_Kibble",6)+IF(D4="PrimalItemConsumable_Potion",7)+IF(D4="PrimalItemConsumable_XP",8)+IF(D4="PrimalItemConsumable_Food",9)+IF(D4="PrimalItemResource",10)+IF(D4="PrimalItemResource_Hide",11)+IF(D4="PrimalItemResource_MetalIngot",12)+IF(D4="PrimalItemConsumable_Summon",13)+IF(D4="PrimalItemStructure",14)+IF(D4="PrimalItem_Weapon",15)+IF(D4="PrimalItemAmmo",16)+IF(D4="PrimalItemArmor",17)+IF(D4="PrimalItemSaddle",18)+IF(D4="PrimalItemConsumable_UnderwaterEgg",19)+IF(D4="PrimalItemConsumable_Egg",20)</f>
        <v>1</v>
      </c>
      <c r="D4" s="46" t="str">
        <f t="shared" si="1"/>
        <v>PrimalItemConsumable_Blood</v>
      </c>
      <c r="E4" s="11" t="s">
        <v>1457</v>
      </c>
      <c r="F4" s="11" t="s">
        <v>1458</v>
      </c>
      <c r="G4" s="46" t="str">
        <f t="shared" si="2"/>
        <v>cheat gfi PrimalItemConsumable_Blood_Apex_C 1 0 0</v>
      </c>
      <c r="H4" s="11" t="s">
        <v>1459</v>
      </c>
      <c r="I4" s="46" t="str">
        <f t="shared" si="3"/>
        <v>EngramEntry_Blood_Apex_C</v>
      </c>
      <c r="J4" s="46" t="str">
        <f t="shared" si="4"/>
        <v>OverrideNamedEngramEntries=(EngramEntry_Blood_Apex_C,EngramHidden=true)</v>
      </c>
      <c r="K4" s="2"/>
    </row>
    <row r="5">
      <c r="A5" s="7"/>
      <c r="B5" s="7"/>
      <c r="C5" s="45">
        <f t="shared" si="5"/>
        <v>1</v>
      </c>
      <c r="D5" s="45" t="str">
        <f t="shared" si="1"/>
        <v>PrimalItemConsumable_Blood</v>
      </c>
      <c r="E5" s="8" t="s">
        <v>1460</v>
      </c>
      <c r="F5" s="8" t="s">
        <v>1461</v>
      </c>
      <c r="G5" s="45" t="str">
        <f t="shared" si="2"/>
        <v>cheat gfi PrimalItemConsumable_Blood_Bionic_C 1 0 0</v>
      </c>
      <c r="H5" s="8" t="s">
        <v>1462</v>
      </c>
      <c r="I5" s="45" t="str">
        <f t="shared" si="3"/>
        <v>EngramEntry_Blood_Bionic_C</v>
      </c>
      <c r="J5" s="45" t="str">
        <f t="shared" si="4"/>
        <v>OverrideNamedEngramEntries=(EngramEntry_Blood_Bionic_C,EngramHidden=true)</v>
      </c>
      <c r="K5" s="2"/>
    </row>
    <row r="6">
      <c r="A6" s="7"/>
      <c r="B6" s="7"/>
      <c r="C6" s="46">
        <f t="shared" si="5"/>
        <v>1</v>
      </c>
      <c r="D6" s="46" t="str">
        <f t="shared" si="1"/>
        <v>PrimalItemConsumable_Blood</v>
      </c>
      <c r="E6" s="11" t="s">
        <v>1463</v>
      </c>
      <c r="F6" s="11" t="s">
        <v>1464</v>
      </c>
      <c r="G6" s="46" t="str">
        <f t="shared" si="2"/>
        <v>cheat gfi PrimalItemConsumable_Blood_Celestial_C 1 0 0</v>
      </c>
      <c r="H6" s="11" t="s">
        <v>1465</v>
      </c>
      <c r="I6" s="46" t="str">
        <f t="shared" si="3"/>
        <v>EngramEntry_Blood_Celestial_C</v>
      </c>
      <c r="J6" s="46" t="str">
        <f t="shared" si="4"/>
        <v>OverrideNamedEngramEntries=(EngramEntry_Blood_Celestial_C,EngramHidden=true)</v>
      </c>
      <c r="K6" s="2"/>
    </row>
    <row r="7">
      <c r="A7" s="7"/>
      <c r="B7" s="7"/>
      <c r="C7" s="45">
        <f t="shared" si="5"/>
        <v>1</v>
      </c>
      <c r="D7" s="45" t="str">
        <f t="shared" si="1"/>
        <v>PrimalItemConsumable_Blood</v>
      </c>
      <c r="E7" s="8" t="s">
        <v>1466</v>
      </c>
      <c r="F7" s="8" t="s">
        <v>1467</v>
      </c>
      <c r="G7" s="45" t="str">
        <f t="shared" si="2"/>
        <v>cheat gfi PrimalItemConsumable_Blood_Demonic_C 1 0 0</v>
      </c>
      <c r="H7" s="8" t="s">
        <v>1468</v>
      </c>
      <c r="I7" s="45" t="str">
        <f t="shared" si="3"/>
        <v>EngramEntry_Blood_Demonic_C</v>
      </c>
      <c r="J7" s="45" t="str">
        <f t="shared" si="4"/>
        <v>OverrideNamedEngramEntries=(EngramEntry_Blood_Demonic_C,EngramHidden=true)</v>
      </c>
      <c r="K7" s="2"/>
    </row>
    <row r="8">
      <c r="A8" s="7"/>
      <c r="B8" s="7"/>
      <c r="C8" s="46">
        <f t="shared" si="5"/>
        <v>1</v>
      </c>
      <c r="D8" s="46" t="str">
        <f t="shared" si="1"/>
        <v>PrimalItemConsumable_Blood</v>
      </c>
      <c r="E8" s="11" t="s">
        <v>1469</v>
      </c>
      <c r="F8" s="11" t="s">
        <v>1470</v>
      </c>
      <c r="G8" s="46" t="str">
        <f t="shared" si="2"/>
        <v>cheat gfi PrimalItemConsumable_Blood_Earth_C 1 0 0</v>
      </c>
      <c r="H8" s="11" t="s">
        <v>1471</v>
      </c>
      <c r="I8" s="46" t="str">
        <f t="shared" si="3"/>
        <v>EngramEntry_Blood_Earth_C</v>
      </c>
      <c r="J8" s="46" t="str">
        <f t="shared" si="4"/>
        <v>OverrideNamedEngramEntries=(EngramEntry_Blood_Earth_C,EngramHidden=true)</v>
      </c>
      <c r="K8" s="2"/>
    </row>
    <row r="9">
      <c r="A9" s="7"/>
      <c r="B9" s="7"/>
      <c r="C9" s="45">
        <f t="shared" si="5"/>
        <v>1</v>
      </c>
      <c r="D9" s="45" t="str">
        <f t="shared" si="1"/>
        <v>PrimalItemConsumable_Blood</v>
      </c>
      <c r="E9" s="8" t="s">
        <v>1472</v>
      </c>
      <c r="F9" s="8" t="s">
        <v>1473</v>
      </c>
      <c r="G9" s="45" t="str">
        <f t="shared" si="2"/>
        <v>cheat gfi PrimalItemConsumable_Blood_Frost_C 1 0 0</v>
      </c>
      <c r="H9" s="8" t="s">
        <v>1474</v>
      </c>
      <c r="I9" s="45" t="str">
        <f t="shared" si="3"/>
        <v>EngramEntry_Blood_Frost_C</v>
      </c>
      <c r="J9" s="45" t="str">
        <f t="shared" si="4"/>
        <v>OverrideNamedEngramEntries=(EngramEntry_Blood_Frost_C,EngramHidden=true)</v>
      </c>
      <c r="K9" s="2"/>
    </row>
    <row r="10">
      <c r="A10" s="7"/>
      <c r="B10" s="7"/>
      <c r="C10" s="46">
        <f t="shared" si="5"/>
        <v>1</v>
      </c>
      <c r="D10" s="46" t="str">
        <f t="shared" si="1"/>
        <v>PrimalItemConsumable_Blood</v>
      </c>
      <c r="E10" s="11" t="s">
        <v>1475</v>
      </c>
      <c r="F10" s="11" t="s">
        <v>1476</v>
      </c>
      <c r="G10" s="46" t="str">
        <f t="shared" si="2"/>
        <v>cheat gfi PrimalItemConsumable_Blood_Hydro_C 1 0 0</v>
      </c>
      <c r="H10" s="11" t="s">
        <v>1477</v>
      </c>
      <c r="I10" s="46" t="str">
        <f t="shared" si="3"/>
        <v>EngramEntry_Blood_Hydro_C</v>
      </c>
      <c r="J10" s="46" t="str">
        <f t="shared" si="4"/>
        <v>OverrideNamedEngramEntries=(EngramEntry_Blood_Hydro_C,EngramHidden=true)</v>
      </c>
      <c r="K10" s="2"/>
    </row>
    <row r="11">
      <c r="A11" s="7"/>
      <c r="B11" s="7"/>
      <c r="C11" s="45">
        <f t="shared" si="5"/>
        <v>1</v>
      </c>
      <c r="D11" s="45" t="str">
        <f t="shared" si="1"/>
        <v>PrimalItemConsumable_Blood</v>
      </c>
      <c r="E11" s="8" t="s">
        <v>1478</v>
      </c>
      <c r="F11" s="8" t="s">
        <v>1479</v>
      </c>
      <c r="G11" s="45" t="str">
        <f t="shared" si="2"/>
        <v>cheat gfi PrimalItemConsumable_Blood_Nature_C 1 0 0</v>
      </c>
      <c r="H11" s="8" t="s">
        <v>1480</v>
      </c>
      <c r="I11" s="45" t="str">
        <f t="shared" si="3"/>
        <v>EngramEntry_Blood_Nature_C</v>
      </c>
      <c r="J11" s="45" t="str">
        <f t="shared" si="4"/>
        <v>OverrideNamedEngramEntries=(EngramEntry_Blood_Nature_C,EngramHidden=true)</v>
      </c>
      <c r="K11" s="2"/>
    </row>
    <row r="12">
      <c r="A12" s="7"/>
      <c r="B12" s="7"/>
      <c r="C12" s="46">
        <f t="shared" si="5"/>
        <v>1</v>
      </c>
      <c r="D12" s="46" t="str">
        <f t="shared" si="1"/>
        <v>PrimalItemConsumable_Blood</v>
      </c>
      <c r="E12" s="11" t="s">
        <v>1481</v>
      </c>
      <c r="F12" s="11" t="s">
        <v>1482</v>
      </c>
      <c r="G12" s="46" t="str">
        <f t="shared" si="2"/>
        <v>cheat gfi PrimalItemConsumable_Blood_Parent_ADV 1 0 0</v>
      </c>
      <c r="H12" s="11" t="s">
        <v>1483</v>
      </c>
      <c r="I12" s="46" t="str">
        <f t="shared" si="3"/>
        <v>EngramEntry_Blood_Parent_ADV</v>
      </c>
      <c r="J12" s="46" t="str">
        <f t="shared" si="4"/>
        <v>OverrideNamedEngramEntries=(EngramEntry_Blood_Parent_ADV,EngramHidden=true)</v>
      </c>
      <c r="K12" s="2"/>
    </row>
    <row r="13">
      <c r="A13" s="7"/>
      <c r="B13" s="7"/>
      <c r="C13" s="45">
        <f t="shared" si="5"/>
        <v>1</v>
      </c>
      <c r="D13" s="45" t="str">
        <f t="shared" si="1"/>
        <v>PrimalItemConsumable_Blood</v>
      </c>
      <c r="E13" s="8" t="s">
        <v>1484</v>
      </c>
      <c r="F13" s="8" t="s">
        <v>1485</v>
      </c>
      <c r="G13" s="45" t="str">
        <f t="shared" si="2"/>
        <v>cheat gfi PrimalItemConsumable_Blood_Parent_C 1 0 0</v>
      </c>
      <c r="H13" s="8" t="s">
        <v>1486</v>
      </c>
      <c r="I13" s="45" t="str">
        <f t="shared" si="3"/>
        <v>EngramEntry_Blood_Parent_C</v>
      </c>
      <c r="J13" s="45" t="str">
        <f t="shared" si="4"/>
        <v>OverrideNamedEngramEntries=(EngramEntry_Blood_Parent_C,EngramHidden=true)</v>
      </c>
      <c r="K13" s="2"/>
    </row>
    <row r="14">
      <c r="A14" s="7"/>
      <c r="B14" s="7"/>
      <c r="C14" s="46">
        <f t="shared" si="5"/>
        <v>1</v>
      </c>
      <c r="D14" s="46" t="str">
        <f t="shared" si="1"/>
        <v>PrimalItemConsumable_Blood</v>
      </c>
      <c r="E14" s="11" t="s">
        <v>1487</v>
      </c>
      <c r="F14" s="11" t="s">
        <v>1488</v>
      </c>
      <c r="G14" s="46" t="str">
        <f t="shared" si="2"/>
        <v>cheat gfi PrimalItemConsumable_Blood_Storm_C 1 0 0</v>
      </c>
      <c r="H14" s="11" t="s">
        <v>1489</v>
      </c>
      <c r="I14" s="46" t="str">
        <f t="shared" si="3"/>
        <v>EngramEntry_Blood_Storm_C</v>
      </c>
      <c r="J14" s="46" t="str">
        <f t="shared" si="4"/>
        <v>OverrideNamedEngramEntries=(EngramEntry_Blood_Storm_C,EngramHidden=true)</v>
      </c>
      <c r="K14" s="2"/>
    </row>
    <row r="15">
      <c r="A15" s="7"/>
      <c r="B15" s="7"/>
      <c r="C15" s="45">
        <f t="shared" si="5"/>
        <v>1</v>
      </c>
      <c r="D15" s="45" t="str">
        <f t="shared" si="1"/>
        <v>PrimalItemConsumable_Blood</v>
      </c>
      <c r="E15" s="8" t="s">
        <v>1490</v>
      </c>
      <c r="F15" s="8" t="s">
        <v>1491</v>
      </c>
      <c r="G15" s="45" t="str">
        <f t="shared" si="2"/>
        <v>cheat gfi PrimalItemConsumable_Blood_Volcanic_C 1 0 0</v>
      </c>
      <c r="H15" s="8" t="s">
        <v>1492</v>
      </c>
      <c r="I15" s="45" t="str">
        <f t="shared" si="3"/>
        <v>EngramEntry_Blood_Volcanic_C</v>
      </c>
      <c r="J15" s="45" t="str">
        <f t="shared" si="4"/>
        <v>OverrideNamedEngramEntries=(EngramEntry_Blood_Volcanic_C,EngramHidden=true)</v>
      </c>
      <c r="K15" s="2"/>
    </row>
    <row r="16">
      <c r="A16" s="7"/>
      <c r="B16" s="7"/>
      <c r="C16" s="46">
        <f t="shared" si="5"/>
        <v>2</v>
      </c>
      <c r="D16" s="46" t="str">
        <f t="shared" ref="D16:D22" si="6">Left(F16,find("Narcotic",F16)+7)</f>
        <v>PrimalItemConsumable_Narcotic</v>
      </c>
      <c r="E16" s="11" t="s">
        <v>1493</v>
      </c>
      <c r="F16" s="11" t="s">
        <v>1494</v>
      </c>
      <c r="G16" s="46" t="str">
        <f t="shared" si="2"/>
        <v>cheat gfi PrimalItemConsumable_Narcotic_Alpha_C 1 0 0</v>
      </c>
      <c r="H16" s="11" t="s">
        <v>1495</v>
      </c>
      <c r="I16" s="46" t="str">
        <f t="shared" si="3"/>
        <v>EngramEntry_Narcotic_Alpha_C</v>
      </c>
      <c r="J16" s="46" t="str">
        <f t="shared" si="4"/>
        <v>OverrideNamedEngramEntries=(EngramEntry_Narcotic_Alpha_C,EngramHidden=true)</v>
      </c>
      <c r="K16" s="2"/>
    </row>
    <row r="17">
      <c r="A17" s="7"/>
      <c r="B17" s="7"/>
      <c r="C17" s="45">
        <f t="shared" si="5"/>
        <v>2</v>
      </c>
      <c r="D17" s="45" t="str">
        <f t="shared" si="6"/>
        <v>PrimalItemConsumable_Narcotic</v>
      </c>
      <c r="E17" s="8" t="s">
        <v>1496</v>
      </c>
      <c r="F17" s="8" t="s">
        <v>1497</v>
      </c>
      <c r="G17" s="45" t="str">
        <f t="shared" si="2"/>
        <v>cheat gfi PrimalItemConsumable_Narcotic_Apex_C 1 0 0</v>
      </c>
      <c r="H17" s="8" t="s">
        <v>1498</v>
      </c>
      <c r="I17" s="45" t="str">
        <f t="shared" si="3"/>
        <v>EngramEntry_Narcotic_Apex_C</v>
      </c>
      <c r="J17" s="45" t="str">
        <f t="shared" si="4"/>
        <v>OverrideNamedEngramEntries=(EngramEntry_Narcotic_Apex_C,EngramHidden=true)</v>
      </c>
      <c r="K17" s="2"/>
    </row>
    <row r="18">
      <c r="A18" s="7"/>
      <c r="B18" s="7"/>
      <c r="C18" s="46">
        <f t="shared" si="5"/>
        <v>2</v>
      </c>
      <c r="D18" s="46" t="str">
        <f t="shared" si="6"/>
        <v>PrimalItemConsumable_Narcotic</v>
      </c>
      <c r="E18" s="11" t="s">
        <v>1499</v>
      </c>
      <c r="F18" s="11" t="s">
        <v>1500</v>
      </c>
      <c r="G18" s="46" t="str">
        <f t="shared" si="2"/>
        <v>cheat gfi PrimalItemConsumable_Narcotic_Bionic_C 1 0 0</v>
      </c>
      <c r="H18" s="11" t="s">
        <v>1501</v>
      </c>
      <c r="I18" s="46" t="str">
        <f t="shared" si="3"/>
        <v>EngramEntry_Narcotic_Bionic_C</v>
      </c>
      <c r="J18" s="46" t="str">
        <f t="shared" si="4"/>
        <v>OverrideNamedEngramEntries=(EngramEntry_Narcotic_Bionic_C,EngramHidden=true)</v>
      </c>
      <c r="K18" s="2"/>
    </row>
    <row r="19">
      <c r="A19" s="7"/>
      <c r="B19" s="7"/>
      <c r="C19" s="45">
        <f t="shared" si="5"/>
        <v>2</v>
      </c>
      <c r="D19" s="45" t="str">
        <f t="shared" si="6"/>
        <v>PrimalItemConsumable_Narcotic</v>
      </c>
      <c r="E19" s="8" t="s">
        <v>1502</v>
      </c>
      <c r="F19" s="8" t="s">
        <v>1503</v>
      </c>
      <c r="G19" s="45" t="str">
        <f t="shared" si="2"/>
        <v>cheat gfi PrimalItemConsumable_Narcotic_Celestial_C 1 0 0</v>
      </c>
      <c r="H19" s="8" t="s">
        <v>1504</v>
      </c>
      <c r="I19" s="45" t="str">
        <f t="shared" si="3"/>
        <v>EngramEntry_Narcotic_Celestial_C</v>
      </c>
      <c r="J19" s="45" t="str">
        <f t="shared" si="4"/>
        <v>OverrideNamedEngramEntries=(EngramEntry_Narcotic_Celestial_C,EngramHidden=true)</v>
      </c>
      <c r="K19" s="2"/>
    </row>
    <row r="20">
      <c r="A20" s="7"/>
      <c r="B20" s="7"/>
      <c r="C20" s="46">
        <f t="shared" si="5"/>
        <v>2</v>
      </c>
      <c r="D20" s="46" t="str">
        <f t="shared" si="6"/>
        <v>PrimalItemConsumable_Narcotic</v>
      </c>
      <c r="E20" s="11" t="s">
        <v>1505</v>
      </c>
      <c r="F20" s="11" t="s">
        <v>1506</v>
      </c>
      <c r="G20" s="46" t="str">
        <f t="shared" si="2"/>
        <v>cheat gfi PrimalItemConsumable_Narcotic_Child_C 1 0 0</v>
      </c>
      <c r="H20" s="11" t="s">
        <v>1507</v>
      </c>
      <c r="I20" s="46" t="str">
        <f t="shared" si="3"/>
        <v>EngramEntry_Narcotic_Child_C</v>
      </c>
      <c r="J20" s="46" t="str">
        <f t="shared" si="4"/>
        <v>OverrideNamedEngramEntries=(EngramEntry_Narcotic_Child_C,EngramHidden=true)</v>
      </c>
      <c r="K20" s="2"/>
    </row>
    <row r="21">
      <c r="A21" s="7"/>
      <c r="B21" s="7"/>
      <c r="C21" s="45">
        <f t="shared" si="5"/>
        <v>2</v>
      </c>
      <c r="D21" s="45" t="str">
        <f t="shared" si="6"/>
        <v>PrimalItemConsumable_Narcotic</v>
      </c>
      <c r="E21" s="8" t="s">
        <v>1508</v>
      </c>
      <c r="F21" s="8" t="s">
        <v>1509</v>
      </c>
      <c r="G21" s="45" t="str">
        <f t="shared" si="2"/>
        <v>cheat gfi PrimalItemConsumable_Narcotic_Demonic_C 1 0 0</v>
      </c>
      <c r="H21" s="8" t="s">
        <v>1510</v>
      </c>
      <c r="I21" s="45" t="str">
        <f t="shared" si="3"/>
        <v>EngramEntry_Narcotic_Demonic_C</v>
      </c>
      <c r="J21" s="45" t="str">
        <f t="shared" si="4"/>
        <v>OverrideNamedEngramEntries=(EngramEntry_Narcotic_Demonic_C,EngramHidden=true)</v>
      </c>
      <c r="K21" s="2"/>
    </row>
    <row r="22">
      <c r="A22" s="7"/>
      <c r="B22" s="29"/>
      <c r="C22" s="46">
        <f t="shared" si="5"/>
        <v>2</v>
      </c>
      <c r="D22" s="46" t="str">
        <f t="shared" si="6"/>
        <v>PrimalItemConsumable_Narcotic</v>
      </c>
      <c r="E22" s="11" t="s">
        <v>1511</v>
      </c>
      <c r="F22" s="11" t="s">
        <v>1512</v>
      </c>
      <c r="G22" s="46" t="str">
        <f t="shared" si="2"/>
        <v>cheat gfi PrimalItemConsumable_Narcotic_Element_C 1 0 0</v>
      </c>
      <c r="H22" s="11" t="s">
        <v>1513</v>
      </c>
      <c r="I22" s="46" t="str">
        <f t="shared" si="3"/>
        <v>EngramEntry_Narcotic_Element_C</v>
      </c>
      <c r="J22" s="46" t="str">
        <f t="shared" si="4"/>
        <v>OverrideNamedEngramEntries=(EngramEntry_Narcotic_Element_C,EngramHidden=true)</v>
      </c>
      <c r="K22" s="2"/>
    </row>
    <row r="23">
      <c r="A23" s="7"/>
      <c r="B23" s="18"/>
      <c r="C23" s="19"/>
      <c r="D23" s="19"/>
      <c r="E23" s="19"/>
      <c r="F23" s="19"/>
      <c r="G23" s="19"/>
      <c r="H23" s="19"/>
      <c r="I23" s="19"/>
      <c r="J23" s="19"/>
      <c r="K23" s="2"/>
    </row>
    <row r="24">
      <c r="A24" s="7"/>
      <c r="B24" s="47"/>
      <c r="C24" s="46">
        <f t="shared" ref="C24:C40" si="7">IF(D24="PrimalItemConsumable_Blood",1)+IF(D24="PrimalItemConsumable_Narcotic",2)+IF(D24="PrimalItemConsumable_Seed",3)+IF(D24="PrimalItemConsumable_Fruit",4)+IF(D24="PrimalItemConsumable_Egg_Unfertilized",5)+IF(D24="PrimalItemConsumable_Kibble",6)+IF(D24="PrimalItemConsumable_Potion",7)+IF(D24="PrimalItemConsumable_XP",8)+IF(D24="PrimalItemConsumable_Food",9)+IF(D24="PrimalItemResource",10)+IF(D24="PrimalItemResource_Hide",11)+IF(D24="PrimalItemResource_MetalIngot",12)+IF(D24="PrimalItemConsumable_Summon",13)+IF(D24="PrimalItemStructure",14)+IF(D24="PrimalItem_Weapon",15)+IF(D24="PrimalItemAmmo",16)+IF(D24="PrimalItemArmor",17)+IF(D24="PrimalItemSaddle",18)+IF(D24="PrimalItemConsumable_UnderwaterEgg",19)+IF(D24="PrimalItemConsumable_Egg",20)</f>
        <v>4</v>
      </c>
      <c r="D24" s="46" t="str">
        <f t="shared" ref="D24:D29" si="8">Left(F24,find("Fruit",F24)+4)</f>
        <v>PrimalItemConsumable_Fruit</v>
      </c>
      <c r="E24" s="11" t="s">
        <v>1514</v>
      </c>
      <c r="F24" s="11" t="s">
        <v>1515</v>
      </c>
      <c r="G24" s="46" t="str">
        <f t="shared" ref="G24:G40" si="9">"cheat gfi "&amp;F24&amp;" 1 0 0"</f>
        <v>cheat gfi PrimalItemConsumable_Fruit_Earth_C 1 0 0</v>
      </c>
      <c r="H24" s="11" t="s">
        <v>1516</v>
      </c>
      <c r="I24" s="46" t="str">
        <f t="shared" ref="I24:I40" si="10">CONCATENATE("EngramEntry",RIGHT(F24,LEN(F24) - (FIND("_",F24) - 1)))</f>
        <v>EngramEntry_Fruit_Earth_C</v>
      </c>
      <c r="J24" s="46" t="str">
        <f t="shared" ref="J24:J40" si="11">"OverrideNamedEngramEntries=("&amp;I24&amp;",EngramHidden=true)"</f>
        <v>OverrideNamedEngramEntries=(EngramEntry_Fruit_Earth_C,EngramHidden=true)</v>
      </c>
      <c r="K24" s="2"/>
    </row>
    <row r="25">
      <c r="A25" s="7"/>
      <c r="B25" s="7"/>
      <c r="C25" s="45">
        <f t="shared" si="7"/>
        <v>4</v>
      </c>
      <c r="D25" s="45" t="str">
        <f t="shared" si="8"/>
        <v>PrimalItemConsumable_Fruit</v>
      </c>
      <c r="E25" s="8" t="s">
        <v>1517</v>
      </c>
      <c r="F25" s="8" t="s">
        <v>1518</v>
      </c>
      <c r="G25" s="45" t="str">
        <f t="shared" si="9"/>
        <v>cheat gfi PrimalItemConsumable_Fruit_Electric_C 1 0 0</v>
      </c>
      <c r="H25" s="8" t="s">
        <v>1519</v>
      </c>
      <c r="I25" s="45" t="str">
        <f t="shared" si="10"/>
        <v>EngramEntry_Fruit_Electric_C</v>
      </c>
      <c r="J25" s="45" t="str">
        <f t="shared" si="11"/>
        <v>OverrideNamedEngramEntries=(EngramEntry_Fruit_Electric_C,EngramHidden=true)</v>
      </c>
      <c r="K25" s="2"/>
    </row>
    <row r="26">
      <c r="A26" s="7"/>
      <c r="B26" s="7"/>
      <c r="C26" s="46">
        <f t="shared" si="7"/>
        <v>4</v>
      </c>
      <c r="D26" s="46" t="str">
        <f t="shared" si="8"/>
        <v>PrimalItemConsumable_Fruit</v>
      </c>
      <c r="E26" s="11" t="s">
        <v>1520</v>
      </c>
      <c r="F26" s="11" t="s">
        <v>1521</v>
      </c>
      <c r="G26" s="46" t="str">
        <f t="shared" si="9"/>
        <v>cheat gfi PrimalItemConsumable_Fruit_Frost_C 1 0 0</v>
      </c>
      <c r="H26" s="11" t="s">
        <v>1522</v>
      </c>
      <c r="I26" s="46" t="str">
        <f t="shared" si="10"/>
        <v>EngramEntry_Fruit_Frost_C</v>
      </c>
      <c r="J26" s="46" t="str">
        <f t="shared" si="11"/>
        <v>OverrideNamedEngramEntries=(EngramEntry_Fruit_Frost_C,EngramHidden=true)</v>
      </c>
      <c r="K26" s="2"/>
    </row>
    <row r="27">
      <c r="A27" s="7"/>
      <c r="B27" s="7"/>
      <c r="C27" s="45">
        <f t="shared" si="7"/>
        <v>4</v>
      </c>
      <c r="D27" s="45" t="str">
        <f t="shared" si="8"/>
        <v>PrimalItemConsumable_Fruit</v>
      </c>
      <c r="E27" s="8" t="s">
        <v>1523</v>
      </c>
      <c r="F27" s="8" t="s">
        <v>1524</v>
      </c>
      <c r="G27" s="45" t="str">
        <f t="shared" si="9"/>
        <v>cheat gfi PrimalItemConsumable_Fruit_Hydro_C 1 0 0</v>
      </c>
      <c r="H27" s="8" t="s">
        <v>1525</v>
      </c>
      <c r="I27" s="45" t="str">
        <f t="shared" si="10"/>
        <v>EngramEntry_Fruit_Hydro_C</v>
      </c>
      <c r="J27" s="45" t="str">
        <f t="shared" si="11"/>
        <v>OverrideNamedEngramEntries=(EngramEntry_Fruit_Hydro_C,EngramHidden=true)</v>
      </c>
      <c r="K27" s="2"/>
    </row>
    <row r="28">
      <c r="A28" s="7"/>
      <c r="B28" s="7"/>
      <c r="C28" s="46">
        <f t="shared" si="7"/>
        <v>4</v>
      </c>
      <c r="D28" s="46" t="str">
        <f t="shared" si="8"/>
        <v>PrimalItemConsumable_Fruit</v>
      </c>
      <c r="E28" s="11" t="s">
        <v>1526</v>
      </c>
      <c r="F28" s="11" t="s">
        <v>1527</v>
      </c>
      <c r="G28" s="46" t="str">
        <f t="shared" si="9"/>
        <v>cheat gfi PrimalItemConsumable_Fruit_Nature_C 1 0 0</v>
      </c>
      <c r="H28" s="11" t="s">
        <v>1528</v>
      </c>
      <c r="I28" s="46" t="str">
        <f t="shared" si="10"/>
        <v>EngramEntry_Fruit_Nature_C</v>
      </c>
      <c r="J28" s="46" t="str">
        <f t="shared" si="11"/>
        <v>OverrideNamedEngramEntries=(EngramEntry_Fruit_Nature_C,EngramHidden=true)</v>
      </c>
      <c r="K28" s="2"/>
    </row>
    <row r="29">
      <c r="A29" s="7"/>
      <c r="B29" s="7"/>
      <c r="C29" s="45">
        <f t="shared" si="7"/>
        <v>4</v>
      </c>
      <c r="D29" s="45" t="str">
        <f t="shared" si="8"/>
        <v>PrimalItemConsumable_Fruit</v>
      </c>
      <c r="E29" s="8" t="s">
        <v>1529</v>
      </c>
      <c r="F29" s="8" t="s">
        <v>1530</v>
      </c>
      <c r="G29" s="45" t="str">
        <f t="shared" si="9"/>
        <v>cheat gfi PrimalItemConsumable_Fruit_Volcanic_C 1 0 0</v>
      </c>
      <c r="H29" s="8" t="s">
        <v>1531</v>
      </c>
      <c r="I29" s="45" t="str">
        <f t="shared" si="10"/>
        <v>EngramEntry_Fruit_Volcanic_C</v>
      </c>
      <c r="J29" s="45" t="str">
        <f t="shared" si="11"/>
        <v>OverrideNamedEngramEntries=(EngramEntry_Fruit_Volcanic_C,EngramHidden=true)</v>
      </c>
      <c r="K29" s="2"/>
    </row>
    <row r="30">
      <c r="A30" s="7"/>
      <c r="B30" s="7"/>
      <c r="C30" s="46">
        <f t="shared" si="7"/>
        <v>3</v>
      </c>
      <c r="D30" s="46" t="str">
        <f t="shared" ref="D30:D38" si="12">Left(F30,find("Seed",F30)+3)</f>
        <v>PrimalItemConsumable_Seed</v>
      </c>
      <c r="E30" s="11" t="s">
        <v>1532</v>
      </c>
      <c r="F30" s="11" t="s">
        <v>1533</v>
      </c>
      <c r="G30" s="46" t="str">
        <f t="shared" si="9"/>
        <v>cheat gfi PrimalItemConsumable_Seed_DefensePlant_Nemesis_C 1 0 0</v>
      </c>
      <c r="H30" s="11" t="s">
        <v>1534</v>
      </c>
      <c r="I30" s="46" t="str">
        <f t="shared" si="10"/>
        <v>EngramEntry_Seed_DefensePlant_Nemesis_C</v>
      </c>
      <c r="J30" s="46" t="str">
        <f t="shared" si="11"/>
        <v>OverrideNamedEngramEntries=(EngramEntry_Seed_DefensePlant_Nemesis_C,EngramHidden=true)</v>
      </c>
      <c r="K30" s="2"/>
    </row>
    <row r="31">
      <c r="A31" s="7"/>
      <c r="B31" s="7"/>
      <c r="C31" s="45">
        <f t="shared" si="7"/>
        <v>3</v>
      </c>
      <c r="D31" s="45" t="str">
        <f t="shared" si="12"/>
        <v>PrimalItemConsumable_Seed</v>
      </c>
      <c r="E31" s="8" t="s">
        <v>1535</v>
      </c>
      <c r="F31" s="8" t="s">
        <v>1536</v>
      </c>
      <c r="G31" s="45" t="str">
        <f t="shared" si="9"/>
        <v>cheat gfi PrimalItemConsumable_Seed_Earth_C 1 0 0</v>
      </c>
      <c r="H31" s="8" t="s">
        <v>1537</v>
      </c>
      <c r="I31" s="45" t="str">
        <f t="shared" si="10"/>
        <v>EngramEntry_Seed_Earth_C</v>
      </c>
      <c r="J31" s="45" t="str">
        <f t="shared" si="11"/>
        <v>OverrideNamedEngramEntries=(EngramEntry_Seed_Earth_C,EngramHidden=true)</v>
      </c>
      <c r="K31" s="2"/>
    </row>
    <row r="32">
      <c r="A32" s="7"/>
      <c r="B32" s="7"/>
      <c r="C32" s="46">
        <f t="shared" si="7"/>
        <v>3</v>
      </c>
      <c r="D32" s="46" t="str">
        <f t="shared" si="12"/>
        <v>PrimalItemConsumable_Seed</v>
      </c>
      <c r="E32" s="11" t="s">
        <v>1538</v>
      </c>
      <c r="F32" s="11" t="s">
        <v>1539</v>
      </c>
      <c r="G32" s="46" t="str">
        <f t="shared" si="9"/>
        <v>cheat gfi PrimalItemConsumable_Seed_Electric_C 1 0 0</v>
      </c>
      <c r="H32" s="11" t="s">
        <v>1540</v>
      </c>
      <c r="I32" s="46" t="str">
        <f t="shared" si="10"/>
        <v>EngramEntry_Seed_Electric_C</v>
      </c>
      <c r="J32" s="46" t="str">
        <f t="shared" si="11"/>
        <v>OverrideNamedEngramEntries=(EngramEntry_Seed_Electric_C,EngramHidden=true)</v>
      </c>
      <c r="K32" s="2"/>
    </row>
    <row r="33">
      <c r="A33" s="7"/>
      <c r="B33" s="7"/>
      <c r="C33" s="45">
        <f t="shared" si="7"/>
        <v>3</v>
      </c>
      <c r="D33" s="45" t="str">
        <f t="shared" si="12"/>
        <v>PrimalItemConsumable_Seed</v>
      </c>
      <c r="E33" s="8" t="s">
        <v>1541</v>
      </c>
      <c r="F33" s="8" t="s">
        <v>1542</v>
      </c>
      <c r="G33" s="45" t="str">
        <f t="shared" si="9"/>
        <v>cheat gfi PrimalItemConsumable_Seed_Frost_C 1 0 0</v>
      </c>
      <c r="H33" s="8" t="s">
        <v>1543</v>
      </c>
      <c r="I33" s="45" t="str">
        <f t="shared" si="10"/>
        <v>EngramEntry_Seed_Frost_C</v>
      </c>
      <c r="J33" s="45" t="str">
        <f t="shared" si="11"/>
        <v>OverrideNamedEngramEntries=(EngramEntry_Seed_Frost_C,EngramHidden=true)</v>
      </c>
      <c r="K33" s="2"/>
    </row>
    <row r="34">
      <c r="A34" s="7"/>
      <c r="B34" s="7"/>
      <c r="C34" s="46">
        <f t="shared" si="7"/>
        <v>3</v>
      </c>
      <c r="D34" s="46" t="str">
        <f t="shared" si="12"/>
        <v>PrimalItemConsumable_Seed</v>
      </c>
      <c r="E34" s="11" t="s">
        <v>1544</v>
      </c>
      <c r="F34" s="11" t="s">
        <v>1545</v>
      </c>
      <c r="G34" s="46" t="str">
        <f t="shared" si="9"/>
        <v>cheat gfi PrimalItemConsumable_Seed_Hydro_C 1 0 0</v>
      </c>
      <c r="H34" s="11" t="s">
        <v>1546</v>
      </c>
      <c r="I34" s="46" t="str">
        <f t="shared" si="10"/>
        <v>EngramEntry_Seed_Hydro_C</v>
      </c>
      <c r="J34" s="46" t="str">
        <f t="shared" si="11"/>
        <v>OverrideNamedEngramEntries=(EngramEntry_Seed_Hydro_C,EngramHidden=true)</v>
      </c>
      <c r="K34" s="2"/>
    </row>
    <row r="35">
      <c r="A35" s="7"/>
      <c r="B35" s="7"/>
      <c r="C35" s="45">
        <f t="shared" si="7"/>
        <v>3</v>
      </c>
      <c r="D35" s="45" t="str">
        <f t="shared" si="12"/>
        <v>PrimalItemConsumable_Seed</v>
      </c>
      <c r="E35" s="8" t="s">
        <v>1547</v>
      </c>
      <c r="F35" s="8" t="s">
        <v>1548</v>
      </c>
      <c r="G35" s="45" t="str">
        <f t="shared" si="9"/>
        <v>cheat gfi PrimalItemConsumable_Seed_Nature_C 1 0 0</v>
      </c>
      <c r="H35" s="8" t="s">
        <v>1549</v>
      </c>
      <c r="I35" s="45" t="str">
        <f t="shared" si="10"/>
        <v>EngramEntry_Seed_Nature_C</v>
      </c>
      <c r="J35" s="45" t="str">
        <f t="shared" si="11"/>
        <v>OverrideNamedEngramEntries=(EngramEntry_Seed_Nature_C,EngramHidden=true)</v>
      </c>
      <c r="K35" s="2"/>
    </row>
    <row r="36">
      <c r="A36" s="7"/>
      <c r="B36" s="7"/>
      <c r="C36" s="46">
        <f t="shared" si="7"/>
        <v>3</v>
      </c>
      <c r="D36" s="46" t="str">
        <f t="shared" si="12"/>
        <v>PrimalItemConsumable_Seed</v>
      </c>
      <c r="E36" s="11" t="s">
        <v>1550</v>
      </c>
      <c r="F36" s="11" t="s">
        <v>1551</v>
      </c>
      <c r="G36" s="46" t="str">
        <f t="shared" si="9"/>
        <v>cheat gfi PrimalItemConsumable_Seed_Rice_C 1 0 0</v>
      </c>
      <c r="H36" s="11" t="s">
        <v>1552</v>
      </c>
      <c r="I36" s="46" t="str">
        <f t="shared" si="10"/>
        <v>EngramEntry_Seed_Rice_C</v>
      </c>
      <c r="J36" s="46" t="str">
        <f t="shared" si="11"/>
        <v>OverrideNamedEngramEntries=(EngramEntry_Seed_Rice_C,EngramHidden=true)</v>
      </c>
      <c r="K36" s="2"/>
    </row>
    <row r="37">
      <c r="A37" s="7"/>
      <c r="B37" s="7"/>
      <c r="C37" s="45">
        <f t="shared" si="7"/>
        <v>3</v>
      </c>
      <c r="D37" s="45" t="str">
        <f t="shared" si="12"/>
        <v>PrimalItemConsumable_Seed</v>
      </c>
      <c r="E37" s="8" t="s">
        <v>1553</v>
      </c>
      <c r="F37" s="8" t="s">
        <v>1554</v>
      </c>
      <c r="G37" s="45" t="str">
        <f t="shared" si="9"/>
        <v>cheat gfi PrimalItemConsumable_Seed_Seaweed_C 1 0 0</v>
      </c>
      <c r="H37" s="8" t="s">
        <v>1555</v>
      </c>
      <c r="I37" s="45" t="str">
        <f t="shared" si="10"/>
        <v>EngramEntry_Seed_Seaweed_C</v>
      </c>
      <c r="J37" s="45" t="str">
        <f t="shared" si="11"/>
        <v>OverrideNamedEngramEntries=(EngramEntry_Seed_Seaweed_C,EngramHidden=true)</v>
      </c>
      <c r="K37" s="2"/>
    </row>
    <row r="38">
      <c r="A38" s="7"/>
      <c r="B38" s="7"/>
      <c r="C38" s="46">
        <f t="shared" si="7"/>
        <v>3</v>
      </c>
      <c r="D38" s="46" t="str">
        <f t="shared" si="12"/>
        <v>PrimalItemConsumable_Seed</v>
      </c>
      <c r="E38" s="11" t="s">
        <v>1556</v>
      </c>
      <c r="F38" s="11" t="s">
        <v>1557</v>
      </c>
      <c r="G38" s="46" t="str">
        <f t="shared" si="9"/>
        <v>cheat gfi PrimalItemConsumable_Seed_Volcanic_C 1 0 0</v>
      </c>
      <c r="H38" s="11" t="s">
        <v>1558</v>
      </c>
      <c r="I38" s="46" t="str">
        <f t="shared" si="10"/>
        <v>EngramEntry_Seed_Volcanic_C</v>
      </c>
      <c r="J38" s="46" t="str">
        <f t="shared" si="11"/>
        <v>OverrideNamedEngramEntries=(EngramEntry_Seed_Volcanic_C,EngramHidden=true)</v>
      </c>
      <c r="K38" s="2"/>
    </row>
    <row r="39">
      <c r="A39" s="7"/>
      <c r="B39" s="7"/>
      <c r="C39" s="45">
        <f t="shared" si="7"/>
        <v>0</v>
      </c>
      <c r="D39" s="45" t="str">
        <f t="shared" ref="D39:D40" si="13">Left(F39,find("Resource",F39)+12)</f>
        <v>PrimalItemResource_Kelp</v>
      </c>
      <c r="E39" s="8" t="s">
        <v>1559</v>
      </c>
      <c r="F39" s="8" t="s">
        <v>1560</v>
      </c>
      <c r="G39" s="45" t="str">
        <f t="shared" si="9"/>
        <v>cheat gfi PrimalItemResource_Kelp_C 1 0 0</v>
      </c>
      <c r="H39" s="8" t="s">
        <v>1561</v>
      </c>
      <c r="I39" s="45" t="str">
        <f t="shared" si="10"/>
        <v>EngramEntry_Kelp_C</v>
      </c>
      <c r="J39" s="45" t="str">
        <f t="shared" si="11"/>
        <v>OverrideNamedEngramEntries=(EngramEntry_Kelp_C,EngramHidden=true)</v>
      </c>
      <c r="K39" s="2"/>
    </row>
    <row r="40">
      <c r="A40" s="7"/>
      <c r="B40" s="29"/>
      <c r="C40" s="46">
        <f t="shared" si="7"/>
        <v>0</v>
      </c>
      <c r="D40" s="46" t="str">
        <f t="shared" si="13"/>
        <v>PrimalItemResource_Rice</v>
      </c>
      <c r="E40" s="11" t="s">
        <v>1562</v>
      </c>
      <c r="F40" s="11" t="s">
        <v>1563</v>
      </c>
      <c r="G40" s="46" t="str">
        <f t="shared" si="9"/>
        <v>cheat gfi PrimalItemResource_Rice_C 1 0 0</v>
      </c>
      <c r="H40" s="11" t="s">
        <v>1564</v>
      </c>
      <c r="I40" s="46" t="str">
        <f t="shared" si="10"/>
        <v>EngramEntry_Rice_C</v>
      </c>
      <c r="J40" s="46" t="str">
        <f t="shared" si="11"/>
        <v>OverrideNamedEngramEntries=(EngramEntry_Rice_C,EngramHidden=true)</v>
      </c>
      <c r="K40" s="2"/>
    </row>
    <row r="41">
      <c r="A41" s="7"/>
      <c r="B41" s="18"/>
      <c r="C41" s="19"/>
      <c r="D41" s="19"/>
      <c r="E41" s="19"/>
      <c r="F41" s="19"/>
      <c r="G41" s="19"/>
      <c r="H41" s="19"/>
      <c r="I41" s="19"/>
      <c r="J41" s="19"/>
      <c r="K41" s="2"/>
    </row>
    <row r="42">
      <c r="A42" s="7"/>
      <c r="B42" s="48" t="s">
        <v>1565</v>
      </c>
      <c r="C42" s="46">
        <f t="shared" ref="C42:C50" si="14">IF(D42="PrimalItemConsumable_Blood",1)+IF(D42="PrimalItemConsumable_Narcotic",2)+IF(D42="PrimalItemConsumable_Seed",3)+IF(D42="PrimalItemConsumable_Fruit",4)+IF(D42="PrimalItemConsumable_Egg_Unfertilized",5)+IF(D42="PrimalItemConsumable_Kibble",6)+IF(D42="PrimalItemConsumable_Potion",7)+IF(D42="PrimalItemConsumable_XP",8)+IF(D42="PrimalItemConsumable_Food",9)+IF(D42="PrimalItemResource",10)+IF(D42="PrimalItemResource_Hide",11)+IF(D42="PrimalItemResource_MetalIngot",12)+IF(D42="PrimalItemConsumable_Summon",13)+IF(D42="PrimalItemStructure",14)+IF(D42="PrimalItem_Weapon",15)+IF(D42="PrimalItemAmmo",16)+IF(D42="PrimalItemArmor",17)+IF(D42="PrimalItemSaddle",18)+IF(D42="PrimalItemConsumable_UnderwaterEgg",19)+IF(D42="PrimalItemConsumable_Egg",20)</f>
        <v>5</v>
      </c>
      <c r="D42" s="11" t="s">
        <v>1566</v>
      </c>
      <c r="E42" s="11" t="s">
        <v>1567</v>
      </c>
      <c r="F42" s="11" t="s">
        <v>1568</v>
      </c>
      <c r="G42" s="46" t="str">
        <f t="shared" ref="G42:G58" si="15">"cheat gfi "&amp;F42&amp;" 1 0 0"</f>
        <v>cheat gfi PrimalItemConsumable_Egg_Alpha_C 1 0 0</v>
      </c>
      <c r="H42" s="11" t="s">
        <v>1569</v>
      </c>
      <c r="I42" s="46" t="str">
        <f t="shared" ref="I42:I58" si="16">CONCATENATE("EngramEntry",RIGHT(F42,LEN(F42) - (FIND("_",F42) - 1)))</f>
        <v>EngramEntry_Egg_Alpha_C</v>
      </c>
      <c r="J42" s="46" t="str">
        <f t="shared" ref="J42:J58" si="17">"OverrideNamedEngramEntries=("&amp;I42&amp;",EngramHidden=true)"</f>
        <v>OverrideNamedEngramEntries=(EngramEntry_Egg_Alpha_C,EngramHidden=true)</v>
      </c>
      <c r="K42" s="2"/>
    </row>
    <row r="43">
      <c r="A43" s="7"/>
      <c r="B43" s="7"/>
      <c r="C43" s="45">
        <f t="shared" si="14"/>
        <v>5</v>
      </c>
      <c r="D43" s="8" t="s">
        <v>1566</v>
      </c>
      <c r="E43" s="8" t="s">
        <v>1570</v>
      </c>
      <c r="F43" s="8" t="s">
        <v>1571</v>
      </c>
      <c r="G43" s="45" t="str">
        <f t="shared" si="15"/>
        <v>cheat gfi PrimalItemConsumable_Egg_Apex_C 1 0 0</v>
      </c>
      <c r="H43" s="8" t="s">
        <v>1572</v>
      </c>
      <c r="I43" s="45" t="str">
        <f t="shared" si="16"/>
        <v>EngramEntry_Egg_Apex_C</v>
      </c>
      <c r="J43" s="45" t="str">
        <f t="shared" si="17"/>
        <v>OverrideNamedEngramEntries=(EngramEntry_Egg_Apex_C,EngramHidden=true)</v>
      </c>
      <c r="K43" s="2"/>
    </row>
    <row r="44">
      <c r="A44" s="7"/>
      <c r="B44" s="7"/>
      <c r="C44" s="46">
        <f t="shared" si="14"/>
        <v>5</v>
      </c>
      <c r="D44" s="11" t="s">
        <v>1566</v>
      </c>
      <c r="E44" s="11" t="s">
        <v>1573</v>
      </c>
      <c r="F44" s="11" t="s">
        <v>1574</v>
      </c>
      <c r="G44" s="46" t="str">
        <f t="shared" si="15"/>
        <v>cheat gfi PrimalItemConsumable_Egg_Bionic_C 1 0 0</v>
      </c>
      <c r="H44" s="11" t="s">
        <v>1575</v>
      </c>
      <c r="I44" s="46" t="str">
        <f t="shared" si="16"/>
        <v>EngramEntry_Egg_Bionic_C</v>
      </c>
      <c r="J44" s="46" t="str">
        <f t="shared" si="17"/>
        <v>OverrideNamedEngramEntries=(EngramEntry_Egg_Bionic_C,EngramHidden=true)</v>
      </c>
      <c r="K44" s="2"/>
    </row>
    <row r="45">
      <c r="A45" s="7"/>
      <c r="B45" s="7"/>
      <c r="C45" s="45">
        <f t="shared" si="14"/>
        <v>5</v>
      </c>
      <c r="D45" s="8" t="s">
        <v>1566</v>
      </c>
      <c r="E45" s="8" t="s">
        <v>1576</v>
      </c>
      <c r="F45" s="8" t="s">
        <v>1577</v>
      </c>
      <c r="G45" s="45" t="str">
        <f t="shared" si="15"/>
        <v>cheat gfi PrimalItemConsumable_Egg_Celestial_C 1 0 0</v>
      </c>
      <c r="H45" s="8" t="s">
        <v>1578</v>
      </c>
      <c r="I45" s="45" t="str">
        <f t="shared" si="16"/>
        <v>EngramEntry_Egg_Celestial_C</v>
      </c>
      <c r="J45" s="45" t="str">
        <f t="shared" si="17"/>
        <v>OverrideNamedEngramEntries=(EngramEntry_Egg_Celestial_C,EngramHidden=true)</v>
      </c>
      <c r="K45" s="2"/>
    </row>
    <row r="46">
      <c r="A46" s="7"/>
      <c r="B46" s="7"/>
      <c r="C46" s="46">
        <f t="shared" si="14"/>
        <v>5</v>
      </c>
      <c r="D46" s="11" t="s">
        <v>1566</v>
      </c>
      <c r="E46" s="11" t="s">
        <v>1579</v>
      </c>
      <c r="F46" s="11" t="s">
        <v>1580</v>
      </c>
      <c r="G46" s="46" t="str">
        <f t="shared" si="15"/>
        <v>cheat gfi PrimalItemConsumable_Egg_Demonic_C 1 0 0</v>
      </c>
      <c r="H46" s="11" t="s">
        <v>1581</v>
      </c>
      <c r="I46" s="46" t="str">
        <f t="shared" si="16"/>
        <v>EngramEntry_Egg_Demonic_C</v>
      </c>
      <c r="J46" s="46" t="str">
        <f t="shared" si="17"/>
        <v>OverrideNamedEngramEntries=(EngramEntry_Egg_Demonic_C,EngramHidden=true)</v>
      </c>
      <c r="K46" s="2"/>
    </row>
    <row r="47">
      <c r="A47" s="7"/>
      <c r="B47" s="7"/>
      <c r="C47" s="45">
        <f t="shared" si="14"/>
        <v>5</v>
      </c>
      <c r="D47" s="8" t="s">
        <v>1566</v>
      </c>
      <c r="E47" s="8" t="s">
        <v>1582</v>
      </c>
      <c r="F47" s="8" t="s">
        <v>1583</v>
      </c>
      <c r="G47" s="45" t="str">
        <f t="shared" si="15"/>
        <v>cheat gfi PrimalItemConsumable_Egg_Earth_C 1 0 0</v>
      </c>
      <c r="H47" s="8" t="s">
        <v>1584</v>
      </c>
      <c r="I47" s="45" t="str">
        <f t="shared" si="16"/>
        <v>EngramEntry_Egg_Earth_C</v>
      </c>
      <c r="J47" s="45" t="str">
        <f t="shared" si="17"/>
        <v>OverrideNamedEngramEntries=(EngramEntry_Egg_Earth_C,EngramHidden=true)</v>
      </c>
      <c r="K47" s="2"/>
    </row>
    <row r="48">
      <c r="A48" s="7"/>
      <c r="B48" s="7"/>
      <c r="C48" s="46">
        <f t="shared" si="14"/>
        <v>5</v>
      </c>
      <c r="D48" s="11" t="s">
        <v>1566</v>
      </c>
      <c r="E48" s="11" t="s">
        <v>1585</v>
      </c>
      <c r="F48" s="11" t="s">
        <v>1586</v>
      </c>
      <c r="G48" s="46" t="str">
        <f t="shared" si="15"/>
        <v>cheat gfi PrimalItemConsumable_Egg_Electric_C 1 0 0</v>
      </c>
      <c r="H48" s="11" t="s">
        <v>1587</v>
      </c>
      <c r="I48" s="46" t="str">
        <f t="shared" si="16"/>
        <v>EngramEntry_Egg_Electric_C</v>
      </c>
      <c r="J48" s="46" t="str">
        <f t="shared" si="17"/>
        <v>OverrideNamedEngramEntries=(EngramEntry_Egg_Electric_C,EngramHidden=true)</v>
      </c>
      <c r="K48" s="2"/>
    </row>
    <row r="49">
      <c r="A49" s="7"/>
      <c r="B49" s="7"/>
      <c r="C49" s="45">
        <f t="shared" si="14"/>
        <v>5</v>
      </c>
      <c r="D49" s="8" t="s">
        <v>1566</v>
      </c>
      <c r="E49" s="8" t="s">
        <v>1588</v>
      </c>
      <c r="F49" s="8" t="s">
        <v>1589</v>
      </c>
      <c r="G49" s="45" t="str">
        <f t="shared" si="15"/>
        <v>cheat gfi PrimalItemConsumable_Egg_frost_C 1 0 0</v>
      </c>
      <c r="H49" s="8" t="s">
        <v>1590</v>
      </c>
      <c r="I49" s="45" t="str">
        <f t="shared" si="16"/>
        <v>EngramEntry_Egg_frost_C</v>
      </c>
      <c r="J49" s="45" t="str">
        <f t="shared" si="17"/>
        <v>OverrideNamedEngramEntries=(EngramEntry_Egg_frost_C,EngramHidden=true)</v>
      </c>
      <c r="K49" s="2"/>
    </row>
    <row r="50">
      <c r="A50" s="7"/>
      <c r="B50" s="7"/>
      <c r="C50" s="46">
        <f t="shared" si="14"/>
        <v>5</v>
      </c>
      <c r="D50" s="11" t="s">
        <v>1566</v>
      </c>
      <c r="E50" s="11" t="s">
        <v>1591</v>
      </c>
      <c r="F50" s="11" t="s">
        <v>1592</v>
      </c>
      <c r="G50" s="46" t="str">
        <f t="shared" si="15"/>
        <v>cheat gfi PrimalItemConsumable_Egg_Hydro_C 1 0 0</v>
      </c>
      <c r="H50" s="11" t="s">
        <v>1593</v>
      </c>
      <c r="I50" s="46" t="str">
        <f t="shared" si="16"/>
        <v>EngramEntry_Egg_Hydro_C</v>
      </c>
      <c r="J50" s="46" t="str">
        <f t="shared" si="17"/>
        <v>OverrideNamedEngramEntries=(EngramEntry_Egg_Hydro_C,EngramHidden=true)</v>
      </c>
      <c r="K50" s="2"/>
    </row>
    <row r="51">
      <c r="A51" s="7"/>
      <c r="B51" s="7"/>
      <c r="C51" s="45">
        <v>5.0</v>
      </c>
      <c r="D51" s="8" t="s">
        <v>1566</v>
      </c>
      <c r="E51" s="8" t="s">
        <v>1594</v>
      </c>
      <c r="F51" s="8" t="s">
        <v>1595</v>
      </c>
      <c r="G51" s="45" t="str">
        <f t="shared" si="15"/>
        <v>cheat gfi PrimalItemConsumable_Egg_Nature_C 1 0 0</v>
      </c>
      <c r="H51" s="8" t="s">
        <v>1596</v>
      </c>
      <c r="I51" s="45" t="str">
        <f t="shared" si="16"/>
        <v>EngramEntry_Egg_Nature_C</v>
      </c>
      <c r="J51" s="45" t="str">
        <f t="shared" si="17"/>
        <v>OverrideNamedEngramEntries=(EngramEntry_Egg_Nature_C,EngramHidden=true)</v>
      </c>
      <c r="K51" s="2"/>
    </row>
    <row r="52">
      <c r="A52" s="7"/>
      <c r="B52" s="7"/>
      <c r="C52" s="46">
        <v>5.0</v>
      </c>
      <c r="D52" s="11" t="s">
        <v>1566</v>
      </c>
      <c r="E52" s="11" t="s">
        <v>1597</v>
      </c>
      <c r="F52" s="11" t="s">
        <v>1598</v>
      </c>
      <c r="G52" s="46" t="str">
        <f t="shared" si="15"/>
        <v>cheat gfi PrimalItemConsumable_Egg_Volcanic_C 1 0 0</v>
      </c>
      <c r="H52" s="11" t="s">
        <v>1599</v>
      </c>
      <c r="I52" s="46" t="str">
        <f t="shared" si="16"/>
        <v>EngramEntry_Egg_Volcanic_C</v>
      </c>
      <c r="J52" s="46" t="str">
        <f t="shared" si="17"/>
        <v>OverrideNamedEngramEntries=(EngramEntry_Egg_Volcanic_C,EngramHidden=true)</v>
      </c>
      <c r="K52" s="2"/>
    </row>
    <row r="53">
      <c r="A53" s="7"/>
      <c r="B53" s="7"/>
      <c r="C53" s="45">
        <v>5.0</v>
      </c>
      <c r="D53" s="8" t="s">
        <v>1566</v>
      </c>
      <c r="E53" s="8" t="s">
        <v>1600</v>
      </c>
      <c r="F53" s="8" t="s">
        <v>1601</v>
      </c>
      <c r="G53" s="45" t="str">
        <f t="shared" si="15"/>
        <v>cheat gfi PrimalItemConsumable_Egg_Titan_Earth_C 1 0 0</v>
      </c>
      <c r="H53" s="8" t="s">
        <v>1602</v>
      </c>
      <c r="I53" s="45" t="str">
        <f t="shared" si="16"/>
        <v>EngramEntry_Egg_Titan_Earth_C</v>
      </c>
      <c r="J53" s="45" t="str">
        <f t="shared" si="17"/>
        <v>OverrideNamedEngramEntries=(EngramEntry_Egg_Titan_Earth_C,EngramHidden=true)</v>
      </c>
      <c r="K53" s="2"/>
    </row>
    <row r="54">
      <c r="A54" s="7"/>
      <c r="B54" s="7"/>
      <c r="C54" s="46">
        <v>5.0</v>
      </c>
      <c r="D54" s="11" t="s">
        <v>1566</v>
      </c>
      <c r="E54" s="11" t="s">
        <v>1603</v>
      </c>
      <c r="F54" s="11" t="s">
        <v>1604</v>
      </c>
      <c r="G54" s="46" t="str">
        <f t="shared" si="15"/>
        <v>cheat gfi PrimalItemConsumable_Egg_Titan_Frost_C 1 0 0</v>
      </c>
      <c r="H54" s="11" t="s">
        <v>1605</v>
      </c>
      <c r="I54" s="46" t="str">
        <f t="shared" si="16"/>
        <v>EngramEntry_Egg_Titan_Frost_C</v>
      </c>
      <c r="J54" s="46" t="str">
        <f t="shared" si="17"/>
        <v>OverrideNamedEngramEntries=(EngramEntry_Egg_Titan_Frost_C,EngramHidden=true)</v>
      </c>
      <c r="K54" s="2"/>
    </row>
    <row r="55">
      <c r="A55" s="7"/>
      <c r="B55" s="7"/>
      <c r="C55" s="45">
        <v>5.0</v>
      </c>
      <c r="D55" s="8" t="s">
        <v>1566</v>
      </c>
      <c r="E55" s="8" t="s">
        <v>1606</v>
      </c>
      <c r="F55" s="8" t="s">
        <v>1607</v>
      </c>
      <c r="G55" s="45" t="str">
        <f t="shared" si="15"/>
        <v>cheat gfi PrimalItemConsumable_Egg_Titan_Hydro_C 1 0 0</v>
      </c>
      <c r="H55" s="8" t="s">
        <v>1608</v>
      </c>
      <c r="I55" s="45" t="str">
        <f t="shared" si="16"/>
        <v>EngramEntry_Egg_Titan_Hydro_C</v>
      </c>
      <c r="J55" s="45" t="str">
        <f t="shared" si="17"/>
        <v>OverrideNamedEngramEntries=(EngramEntry_Egg_Titan_Hydro_C,EngramHidden=true)</v>
      </c>
      <c r="K55" s="2"/>
    </row>
    <row r="56">
      <c r="A56" s="7"/>
      <c r="B56" s="7"/>
      <c r="C56" s="46">
        <v>5.0</v>
      </c>
      <c r="D56" s="11" t="s">
        <v>1566</v>
      </c>
      <c r="E56" s="11" t="s">
        <v>1609</v>
      </c>
      <c r="F56" s="11" t="s">
        <v>1610</v>
      </c>
      <c r="G56" s="46" t="str">
        <f t="shared" si="15"/>
        <v>cheat gfi PrimalItemConsumable_Egg_Titan_Nature_C 1 0 0</v>
      </c>
      <c r="H56" s="11" t="s">
        <v>1611</v>
      </c>
      <c r="I56" s="46" t="str">
        <f t="shared" si="16"/>
        <v>EngramEntry_Egg_Titan_Nature_C</v>
      </c>
      <c r="J56" s="46" t="str">
        <f t="shared" si="17"/>
        <v>OverrideNamedEngramEntries=(EngramEntry_Egg_Titan_Nature_C,EngramHidden=true)</v>
      </c>
      <c r="K56" s="2"/>
    </row>
    <row r="57">
      <c r="A57" s="7"/>
      <c r="B57" s="7"/>
      <c r="C57" s="45">
        <v>5.0</v>
      </c>
      <c r="D57" s="8" t="s">
        <v>1566</v>
      </c>
      <c r="E57" s="8" t="s">
        <v>1612</v>
      </c>
      <c r="F57" s="8" t="s">
        <v>1613</v>
      </c>
      <c r="G57" s="45" t="str">
        <f t="shared" si="15"/>
        <v>cheat gfi PrimalItemConsumable_Egg_Titan_Storm_C 1 0 0</v>
      </c>
      <c r="H57" s="8" t="s">
        <v>1614</v>
      </c>
      <c r="I57" s="45" t="str">
        <f t="shared" si="16"/>
        <v>EngramEntry_Egg_Titan_Storm_C</v>
      </c>
      <c r="J57" s="45" t="str">
        <f t="shared" si="17"/>
        <v>OverrideNamedEngramEntries=(EngramEntry_Egg_Titan_Storm_C,EngramHidden=true)</v>
      </c>
      <c r="K57" s="2"/>
    </row>
    <row r="58">
      <c r="A58" s="7"/>
      <c r="B58" s="29"/>
      <c r="C58" s="46">
        <v>5.0</v>
      </c>
      <c r="D58" s="11" t="s">
        <v>1566</v>
      </c>
      <c r="E58" s="11" t="s">
        <v>1615</v>
      </c>
      <c r="F58" s="11" t="s">
        <v>1616</v>
      </c>
      <c r="G58" s="46" t="str">
        <f t="shared" si="15"/>
        <v>cheat gfi PrimalItemConsumable_Egg_Titan_Volcanic_C 1 0 0</v>
      </c>
      <c r="H58" s="11" t="s">
        <v>1617</v>
      </c>
      <c r="I58" s="46" t="str">
        <f t="shared" si="16"/>
        <v>EngramEntry_Egg_Titan_Volcanic_C</v>
      </c>
      <c r="J58" s="46" t="str">
        <f t="shared" si="17"/>
        <v>OverrideNamedEngramEntries=(EngramEntry_Egg_Titan_Volcanic_C,EngramHidden=true)</v>
      </c>
      <c r="K58" s="2"/>
    </row>
    <row r="59">
      <c r="A59" s="7"/>
      <c r="B59" s="18"/>
      <c r="C59" s="19"/>
      <c r="D59" s="19"/>
      <c r="E59" s="19"/>
      <c r="F59" s="19"/>
      <c r="G59" s="19"/>
      <c r="H59" s="19"/>
      <c r="I59" s="19"/>
      <c r="J59" s="19"/>
      <c r="K59" s="2"/>
    </row>
    <row r="60">
      <c r="A60" s="7"/>
      <c r="B60" s="49" t="s">
        <v>1618</v>
      </c>
      <c r="C60" s="46">
        <f t="shared" ref="C60:C66" si="18">IF(D60="PrimalItemConsumable_Blood",1)+IF(D60="PrimalItemConsumable_Narcotic",2)+IF(D60="PrimalItemConsumable_Seed",3)+IF(D60="PrimalItemConsumable_Fruit",4)+IF(D60="PrimalItemConsumable_Egg_Unfertilized",5)+IF(D60="PrimalItemConsumable_Kibble",6)+IF(D60="PrimalItemConsumable_Potion",7)+IF(D60="PrimalItemConsumable_XP",8)+IF(D60="PrimalItemConsumable_Food",9)+IF(D60="PrimalItemResource",10)+IF(D60="PrimalItemResource_Hide",11)+IF(D60="PrimalItemResource_MetalIngot",12)+IF(D60="PrimalItemConsumable_Summon",13)+IF(D60="PrimalItemStructure",14)+IF(D60="PrimalItem_Weapon",15)+IF(D60="PrimalItemAmmo",16)+IF(D60="PrimalItemArmor",17)+IF(D60="PrimalItemSaddle",18)+IF(D60="PrimalItemConsumable_UnderwaterEgg",19)+IF(D60="PrimalItemConsumable_Egg",20)</f>
        <v>6</v>
      </c>
      <c r="D60" s="46" t="str">
        <f t="shared" ref="D60:D66" si="19">Left(F60,find("Kibble",F60)+5)</f>
        <v>PrimalItemConsumable_Kibble</v>
      </c>
      <c r="E60" s="11" t="s">
        <v>1619</v>
      </c>
      <c r="F60" s="11" t="s">
        <v>1620</v>
      </c>
      <c r="G60" s="46" t="str">
        <f t="shared" ref="G60:G80" si="20">"cheat gfi "&amp;F60&amp;" 1 0 0"</f>
        <v>cheat gfi PrimalItemConsumable_Kibble_Alpha_C 1 0 0</v>
      </c>
      <c r="H60" s="11" t="s">
        <v>1621</v>
      </c>
      <c r="I60" s="46" t="str">
        <f t="shared" ref="I60:I80" si="21">CONCATENATE("EngramEntry",RIGHT(F60,LEN(F60) - (FIND("_",F60) - 1)))</f>
        <v>EngramEntry_Kibble_Alpha_C</v>
      </c>
      <c r="J60" s="46" t="str">
        <f t="shared" ref="J60:J80" si="22">"OverrideNamedEngramEntries=("&amp;I60&amp;",EngramHidden=true)"</f>
        <v>OverrideNamedEngramEntries=(EngramEntry_Kibble_Alpha_C,EngramHidden=true)</v>
      </c>
      <c r="K60" s="2"/>
    </row>
    <row r="61">
      <c r="A61" s="7"/>
      <c r="B61" s="7"/>
      <c r="C61" s="45">
        <f t="shared" si="18"/>
        <v>6</v>
      </c>
      <c r="D61" s="45" t="str">
        <f t="shared" si="19"/>
        <v>PrimalItemConsumable_Kibble</v>
      </c>
      <c r="E61" s="8" t="s">
        <v>1622</v>
      </c>
      <c r="F61" s="8" t="s">
        <v>1623</v>
      </c>
      <c r="G61" s="45" t="str">
        <f t="shared" si="20"/>
        <v>cheat gfi PrimalItemConsumable_Kibble_Apex_C 1 0 0</v>
      </c>
      <c r="H61" s="8" t="s">
        <v>1624</v>
      </c>
      <c r="I61" s="45" t="str">
        <f t="shared" si="21"/>
        <v>EngramEntry_Kibble_Apex_C</v>
      </c>
      <c r="J61" s="45" t="str">
        <f t="shared" si="22"/>
        <v>OverrideNamedEngramEntries=(EngramEntry_Kibble_Apex_C,EngramHidden=true)</v>
      </c>
      <c r="K61" s="2"/>
    </row>
    <row r="62">
      <c r="A62" s="7"/>
      <c r="B62" s="7"/>
      <c r="C62" s="46">
        <f t="shared" si="18"/>
        <v>6</v>
      </c>
      <c r="D62" s="46" t="str">
        <f t="shared" si="19"/>
        <v>PrimalItemConsumable_Kibble</v>
      </c>
      <c r="E62" s="11" t="s">
        <v>1625</v>
      </c>
      <c r="F62" s="11" t="s">
        <v>1626</v>
      </c>
      <c r="G62" s="46" t="str">
        <f t="shared" si="20"/>
        <v>cheat gfi PrimalItemConsumable_Kibble_Apex_Bosses_C 1 0 0</v>
      </c>
      <c r="H62" s="11" t="s">
        <v>1627</v>
      </c>
      <c r="I62" s="46" t="str">
        <f t="shared" si="21"/>
        <v>EngramEntry_Kibble_Apex_Bosses_C</v>
      </c>
      <c r="J62" s="46" t="str">
        <f t="shared" si="22"/>
        <v>OverrideNamedEngramEntries=(EngramEntry_Kibble_Apex_Bosses_C,EngramHidden=true)</v>
      </c>
      <c r="K62" s="2"/>
    </row>
    <row r="63">
      <c r="A63" s="7"/>
      <c r="B63" s="7"/>
      <c r="C63" s="45">
        <f t="shared" si="18"/>
        <v>6</v>
      </c>
      <c r="D63" s="45" t="str">
        <f t="shared" si="19"/>
        <v>PrimalItemConsumable_Kibble</v>
      </c>
      <c r="E63" s="8" t="s">
        <v>1628</v>
      </c>
      <c r="F63" s="8" t="s">
        <v>1629</v>
      </c>
      <c r="G63" s="45" t="str">
        <f t="shared" si="20"/>
        <v>cheat gfi PrimalItemConsumable_Kibble_Apex_Colossus_C 1 0 0</v>
      </c>
      <c r="H63" s="8" t="s">
        <v>1630</v>
      </c>
      <c r="I63" s="45" t="str">
        <f t="shared" si="21"/>
        <v>EngramEntry_Kibble_Apex_Colossus_C</v>
      </c>
      <c r="J63" s="45" t="str">
        <f t="shared" si="22"/>
        <v>OverrideNamedEngramEntries=(EngramEntry_Kibble_Apex_Colossus_C,EngramHidden=true)</v>
      </c>
      <c r="K63" s="2"/>
    </row>
    <row r="64">
      <c r="A64" s="7"/>
      <c r="B64" s="7"/>
      <c r="C64" s="46">
        <f t="shared" si="18"/>
        <v>6</v>
      </c>
      <c r="D64" s="46" t="str">
        <f t="shared" si="19"/>
        <v>PrimalItemConsumable_Kibble</v>
      </c>
      <c r="E64" s="11" t="s">
        <v>1631</v>
      </c>
      <c r="F64" s="11" t="s">
        <v>1632</v>
      </c>
      <c r="G64" s="46" t="str">
        <f t="shared" si="20"/>
        <v>cheat gfi PrimalItemConsumable_Kibble_Apex_Pygmy_C 1 0 0</v>
      </c>
      <c r="H64" s="11" t="s">
        <v>1633</v>
      </c>
      <c r="I64" s="46" t="str">
        <f t="shared" si="21"/>
        <v>EngramEntry_Kibble_Apex_Pygmy_C</v>
      </c>
      <c r="J64" s="46" t="str">
        <f t="shared" si="22"/>
        <v>OverrideNamedEngramEntries=(EngramEntry_Kibble_Apex_Pygmy_C,EngramHidden=true)</v>
      </c>
      <c r="K64" s="2"/>
    </row>
    <row r="65">
      <c r="A65" s="7"/>
      <c r="B65" s="7"/>
      <c r="C65" s="45">
        <f t="shared" si="18"/>
        <v>6</v>
      </c>
      <c r="D65" s="45" t="str">
        <f t="shared" si="19"/>
        <v>PrimalItemConsumable_Kibble</v>
      </c>
      <c r="E65" s="8" t="s">
        <v>1634</v>
      </c>
      <c r="F65" s="8" t="s">
        <v>1635</v>
      </c>
      <c r="G65" s="45" t="str">
        <f t="shared" si="20"/>
        <v>cheat gfi PrimalItemConsumable_Kibble_Bionic_C 1 0 0</v>
      </c>
      <c r="H65" s="8" t="s">
        <v>1636</v>
      </c>
      <c r="I65" s="45" t="str">
        <f t="shared" si="21"/>
        <v>EngramEntry_Kibble_Bionic_C</v>
      </c>
      <c r="J65" s="45" t="str">
        <f t="shared" si="22"/>
        <v>OverrideNamedEngramEntries=(EngramEntry_Kibble_Bionic_C,EngramHidden=true)</v>
      </c>
      <c r="K65" s="2"/>
    </row>
    <row r="66">
      <c r="A66" s="7"/>
      <c r="B66" s="7"/>
      <c r="C66" s="46">
        <f t="shared" si="18"/>
        <v>6</v>
      </c>
      <c r="D66" s="46" t="str">
        <f t="shared" si="19"/>
        <v>PrimalItemConsumable_Kibble</v>
      </c>
      <c r="E66" s="11" t="s">
        <v>1637</v>
      </c>
      <c r="F66" s="11" t="s">
        <v>1638</v>
      </c>
      <c r="G66" s="46" t="str">
        <f t="shared" si="20"/>
        <v>cheat gfi PrimalItemConsumable_Kibble_Celestial_C 1 0 0</v>
      </c>
      <c r="H66" s="11" t="s">
        <v>1639</v>
      </c>
      <c r="I66" s="46" t="str">
        <f t="shared" si="21"/>
        <v>EngramEntry_Kibble_Celestial_C</v>
      </c>
      <c r="J66" s="46" t="str">
        <f t="shared" si="22"/>
        <v>OverrideNamedEngramEntries=(EngramEntry_Kibble_Celestial_C,EngramHidden=true)</v>
      </c>
      <c r="K66" s="2"/>
    </row>
    <row r="67">
      <c r="A67" s="7"/>
      <c r="B67" s="7"/>
      <c r="C67" s="45"/>
      <c r="D67" s="45"/>
      <c r="E67" s="8" t="s">
        <v>1640</v>
      </c>
      <c r="F67" s="8" t="s">
        <v>1641</v>
      </c>
      <c r="G67" s="45" t="str">
        <f t="shared" si="20"/>
        <v>cheat gfi PrimalItemConsumable_Kibble_Demonic_Bosses_C 1 0 0</v>
      </c>
      <c r="H67" s="8" t="s">
        <v>1642</v>
      </c>
      <c r="I67" s="45" t="str">
        <f t="shared" si="21"/>
        <v>EngramEntry_Kibble_Demonic_Bosses_C</v>
      </c>
      <c r="J67" s="45" t="str">
        <f t="shared" si="22"/>
        <v>OverrideNamedEngramEntries=(EngramEntry_Kibble_Demonic_Bosses_C,EngramHidden=true)</v>
      </c>
      <c r="K67" s="2"/>
    </row>
    <row r="68">
      <c r="A68" s="7"/>
      <c r="B68" s="7"/>
      <c r="C68" s="46">
        <f t="shared" ref="C68:C80" si="23">IF(D68="PrimalItemConsumable_Blood",1)+IF(D68="PrimalItemConsumable_Narcotic",2)+IF(D68="PrimalItemConsumable_Seed",3)+IF(D68="PrimalItemConsumable_Fruit",4)+IF(D68="PrimalItemConsumable_Egg_Unfertilized",5)+IF(D68="PrimalItemConsumable_Kibble",6)+IF(D68="PrimalItemConsumable_Potion",7)+IF(D68="PrimalItemConsumable_XP",8)+IF(D68="PrimalItemConsumable_Food",9)+IF(D68="PrimalItemResource",10)+IF(D68="PrimalItemResource_Hide",11)+IF(D68="PrimalItemResource_MetalIngot",12)+IF(D68="PrimalItemConsumable_Summon",13)+IF(D68="PrimalItemStructure",14)+IF(D68="PrimalItem_Weapon",15)+IF(D68="PrimalItemAmmo",16)+IF(D68="PrimalItemArmor",17)+IF(D68="PrimalItemSaddle",18)+IF(D68="PrimalItemConsumable_UnderwaterEgg",19)+IF(D68="PrimalItemConsumable_Egg",20)</f>
        <v>6</v>
      </c>
      <c r="D68" s="46" t="str">
        <f t="shared" ref="D68:D80" si="24">Left(F68,find("Kibble",F68)+5)</f>
        <v>PrimalItemConsumable_Kibble</v>
      </c>
      <c r="E68" s="11" t="s">
        <v>1643</v>
      </c>
      <c r="F68" s="11" t="s">
        <v>1644</v>
      </c>
      <c r="G68" s="46" t="str">
        <f t="shared" si="20"/>
        <v>cheat gfi PrimalItemConsumable_Kibble_Demonic_C 1 0 0</v>
      </c>
      <c r="H68" s="11" t="s">
        <v>1645</v>
      </c>
      <c r="I68" s="46" t="str">
        <f t="shared" si="21"/>
        <v>EngramEntry_Kibble_Demonic_C</v>
      </c>
      <c r="J68" s="46" t="str">
        <f t="shared" si="22"/>
        <v>OverrideNamedEngramEntries=(EngramEntry_Kibble_Demonic_C,EngramHidden=true)</v>
      </c>
      <c r="K68" s="2"/>
    </row>
    <row r="69">
      <c r="A69" s="7"/>
      <c r="B69" s="7"/>
      <c r="C69" s="45">
        <f t="shared" si="23"/>
        <v>6</v>
      </c>
      <c r="D69" s="45" t="str">
        <f t="shared" si="24"/>
        <v>PrimalItemConsumable_Kibble</v>
      </c>
      <c r="E69" s="8" t="s">
        <v>1646</v>
      </c>
      <c r="F69" s="8" t="s">
        <v>1647</v>
      </c>
      <c r="G69" s="45" t="str">
        <f t="shared" si="20"/>
        <v>cheat gfi PrimalItemConsumable_Kibble_Earth_C 1 0 0</v>
      </c>
      <c r="H69" s="8" t="s">
        <v>1648</v>
      </c>
      <c r="I69" s="45" t="str">
        <f t="shared" si="21"/>
        <v>EngramEntry_Kibble_Earth_C</v>
      </c>
      <c r="J69" s="45" t="str">
        <f t="shared" si="22"/>
        <v>OverrideNamedEngramEntries=(EngramEntry_Kibble_Earth_C,EngramHidden=true)</v>
      </c>
      <c r="K69" s="2"/>
    </row>
    <row r="70">
      <c r="A70" s="7"/>
      <c r="B70" s="7"/>
      <c r="C70" s="46">
        <f t="shared" si="23"/>
        <v>6</v>
      </c>
      <c r="D70" s="46" t="str">
        <f t="shared" si="24"/>
        <v>PrimalItemConsumable_Kibble</v>
      </c>
      <c r="E70" s="11" t="s">
        <v>1649</v>
      </c>
      <c r="F70" s="11" t="s">
        <v>1650</v>
      </c>
      <c r="G70" s="46" t="str">
        <f t="shared" si="20"/>
        <v>cheat gfi PrimalItemConsumable_Kibble_Frost_C 1 0 0</v>
      </c>
      <c r="H70" s="11" t="s">
        <v>1651</v>
      </c>
      <c r="I70" s="46" t="str">
        <f t="shared" si="21"/>
        <v>EngramEntry_Kibble_Frost_C</v>
      </c>
      <c r="J70" s="46" t="str">
        <f t="shared" si="22"/>
        <v>OverrideNamedEngramEntries=(EngramEntry_Kibble_Frost_C,EngramHidden=true)</v>
      </c>
      <c r="K70" s="2"/>
    </row>
    <row r="71">
      <c r="A71" s="7"/>
      <c r="B71" s="7"/>
      <c r="C71" s="45">
        <f t="shared" si="23"/>
        <v>6</v>
      </c>
      <c r="D71" s="45" t="str">
        <f t="shared" si="24"/>
        <v>PrimalItemConsumable_Kibble</v>
      </c>
      <c r="E71" s="8" t="s">
        <v>1652</v>
      </c>
      <c r="F71" s="8" t="s">
        <v>1653</v>
      </c>
      <c r="G71" s="45" t="str">
        <f t="shared" si="20"/>
        <v>cheat gfi PrimalItemConsumable_Kibble_Ghost_C 1 0 0</v>
      </c>
      <c r="H71" s="8" t="s">
        <v>1654</v>
      </c>
      <c r="I71" s="45" t="str">
        <f t="shared" si="21"/>
        <v>EngramEntry_Kibble_Ghost_C</v>
      </c>
      <c r="J71" s="45" t="str">
        <f t="shared" si="22"/>
        <v>OverrideNamedEngramEntries=(EngramEntry_Kibble_Ghost_C,EngramHidden=true)</v>
      </c>
      <c r="K71" s="2"/>
    </row>
    <row r="72">
      <c r="A72" s="7"/>
      <c r="B72" s="7"/>
      <c r="C72" s="46">
        <f t="shared" si="23"/>
        <v>6</v>
      </c>
      <c r="D72" s="46" t="str">
        <f t="shared" si="24"/>
        <v>PrimalItemConsumable_Kibble</v>
      </c>
      <c r="E72" s="11" t="s">
        <v>1655</v>
      </c>
      <c r="F72" s="11" t="s">
        <v>1656</v>
      </c>
      <c r="G72" s="46" t="str">
        <f t="shared" si="20"/>
        <v>cheat gfi PrimalItemConsumable_Kibble_Godly_C 1 0 0</v>
      </c>
      <c r="H72" s="11" t="s">
        <v>1657</v>
      </c>
      <c r="I72" s="46" t="str">
        <f t="shared" si="21"/>
        <v>EngramEntry_Kibble_Godly_C</v>
      </c>
      <c r="J72" s="46" t="str">
        <f t="shared" si="22"/>
        <v>OverrideNamedEngramEntries=(EngramEntry_Kibble_Godly_C,EngramHidden=true)</v>
      </c>
      <c r="K72" s="2"/>
    </row>
    <row r="73">
      <c r="A73" s="7"/>
      <c r="B73" s="7"/>
      <c r="C73" s="45">
        <f t="shared" si="23"/>
        <v>6</v>
      </c>
      <c r="D73" s="45" t="str">
        <f t="shared" si="24"/>
        <v>PrimalItemConsumable_Kibble</v>
      </c>
      <c r="E73" s="8" t="s">
        <v>1658</v>
      </c>
      <c r="F73" s="8" t="s">
        <v>1659</v>
      </c>
      <c r="G73" s="45" t="str">
        <f t="shared" si="20"/>
        <v>cheat gfi PrimalItemConsumable_Kibble_Hydro_C 1 0 0</v>
      </c>
      <c r="H73" s="8" t="s">
        <v>1660</v>
      </c>
      <c r="I73" s="45" t="str">
        <f t="shared" si="21"/>
        <v>EngramEntry_Kibble_Hydro_C</v>
      </c>
      <c r="J73" s="45" t="str">
        <f t="shared" si="22"/>
        <v>OverrideNamedEngramEntries=(EngramEntry_Kibble_Hydro_C,EngramHidden=true)</v>
      </c>
      <c r="K73" s="2"/>
    </row>
    <row r="74">
      <c r="A74" s="7"/>
      <c r="B74" s="7"/>
      <c r="C74" s="46">
        <f t="shared" si="23"/>
        <v>6</v>
      </c>
      <c r="D74" s="46" t="str">
        <f t="shared" si="24"/>
        <v>PrimalItemConsumable_Kibble</v>
      </c>
      <c r="E74" s="11" t="s">
        <v>1661</v>
      </c>
      <c r="F74" s="11" t="s">
        <v>1662</v>
      </c>
      <c r="G74" s="46" t="str">
        <f t="shared" si="20"/>
        <v>cheat gfi PrimalItemConsumable_Kibble_Nature_C 1 0 0</v>
      </c>
      <c r="H74" s="11" t="s">
        <v>1663</v>
      </c>
      <c r="I74" s="46" t="str">
        <f t="shared" si="21"/>
        <v>EngramEntry_Kibble_Nature_C</v>
      </c>
      <c r="J74" s="46" t="str">
        <f t="shared" si="22"/>
        <v>OverrideNamedEngramEntries=(EngramEntry_Kibble_Nature_C,EngramHidden=true)</v>
      </c>
      <c r="K74" s="2"/>
    </row>
    <row r="75">
      <c r="A75" s="7"/>
      <c r="B75" s="7"/>
      <c r="C75" s="45">
        <f t="shared" si="23"/>
        <v>6</v>
      </c>
      <c r="D75" s="45" t="str">
        <f t="shared" si="24"/>
        <v>PrimalItemConsumable_Kibble</v>
      </c>
      <c r="E75" s="8" t="s">
        <v>1664</v>
      </c>
      <c r="F75" s="8" t="s">
        <v>1665</v>
      </c>
      <c r="G75" s="45" t="str">
        <f t="shared" si="20"/>
        <v>cheat gfi PrimalItemConsumable_Kibble_Plague_C 1 0 0</v>
      </c>
      <c r="H75" s="8" t="s">
        <v>1666</v>
      </c>
      <c r="I75" s="45" t="str">
        <f t="shared" si="21"/>
        <v>EngramEntry_Kibble_Plague_C</v>
      </c>
      <c r="J75" s="45" t="str">
        <f t="shared" si="22"/>
        <v>OverrideNamedEngramEntries=(EngramEntry_Kibble_Plague_C,EngramHidden=true)</v>
      </c>
      <c r="K75" s="2"/>
    </row>
    <row r="76">
      <c r="A76" s="7"/>
      <c r="B76" s="7"/>
      <c r="C76" s="46">
        <f t="shared" si="23"/>
        <v>6</v>
      </c>
      <c r="D76" s="46" t="str">
        <f t="shared" si="24"/>
        <v>PrimalItemConsumable_Kibble</v>
      </c>
      <c r="E76" s="11" t="s">
        <v>1667</v>
      </c>
      <c r="F76" s="11" t="s">
        <v>1668</v>
      </c>
      <c r="G76" s="46" t="str">
        <f t="shared" si="20"/>
        <v>cheat gfi PrimalItemConsumable_Kibble_Plasma_C 1 0 0</v>
      </c>
      <c r="H76" s="11" t="s">
        <v>1669</v>
      </c>
      <c r="I76" s="46" t="str">
        <f t="shared" si="21"/>
        <v>EngramEntry_Kibble_Plasma_C</v>
      </c>
      <c r="J76" s="46" t="str">
        <f t="shared" si="22"/>
        <v>OverrideNamedEngramEntries=(EngramEntry_Kibble_Plasma_C,EngramHidden=true)</v>
      </c>
      <c r="K76" s="2"/>
    </row>
    <row r="77">
      <c r="A77" s="7"/>
      <c r="B77" s="7"/>
      <c r="C77" s="45">
        <f t="shared" si="23"/>
        <v>6</v>
      </c>
      <c r="D77" s="45" t="str">
        <f t="shared" si="24"/>
        <v>PrimalItemConsumable_Kibble</v>
      </c>
      <c r="E77" s="8" t="s">
        <v>1670</v>
      </c>
      <c r="F77" s="8" t="s">
        <v>1671</v>
      </c>
      <c r="G77" s="45" t="str">
        <f t="shared" si="20"/>
        <v>cheat gfi PrimalItemConsumable_Kibble_Storm_C 1 0 0</v>
      </c>
      <c r="H77" s="8" t="s">
        <v>1672</v>
      </c>
      <c r="I77" s="45" t="str">
        <f t="shared" si="21"/>
        <v>EngramEntry_Kibble_Storm_C</v>
      </c>
      <c r="J77" s="45" t="str">
        <f t="shared" si="22"/>
        <v>OverrideNamedEngramEntries=(EngramEntry_Kibble_Storm_C,EngramHidden=true)</v>
      </c>
      <c r="K77" s="2"/>
    </row>
    <row r="78">
      <c r="A78" s="7"/>
      <c r="B78" s="7"/>
      <c r="C78" s="46">
        <f t="shared" si="23"/>
        <v>6</v>
      </c>
      <c r="D78" s="46" t="str">
        <f t="shared" si="24"/>
        <v>PrimalItemConsumable_Kibble</v>
      </c>
      <c r="E78" s="11" t="s">
        <v>1673</v>
      </c>
      <c r="F78" s="11" t="s">
        <v>1674</v>
      </c>
      <c r="G78" s="46" t="str">
        <f t="shared" si="20"/>
        <v>cheat gfi PrimalItemConsumable_Kibble_Volcanic_C 1 0 0</v>
      </c>
      <c r="H78" s="11" t="s">
        <v>1675</v>
      </c>
      <c r="I78" s="46" t="str">
        <f t="shared" si="21"/>
        <v>EngramEntry_Kibble_Volcanic_C</v>
      </c>
      <c r="J78" s="46" t="str">
        <f t="shared" si="22"/>
        <v>OverrideNamedEngramEntries=(EngramEntry_Kibble_Volcanic_C,EngramHidden=true)</v>
      </c>
      <c r="K78" s="2"/>
    </row>
    <row r="79">
      <c r="A79" s="7"/>
      <c r="B79" s="7"/>
      <c r="C79" s="45">
        <f t="shared" si="23"/>
        <v>0</v>
      </c>
      <c r="D79" s="45" t="str">
        <f t="shared" si="24"/>
        <v>PrimalItemConsumable_SushiKibble</v>
      </c>
      <c r="E79" s="8" t="s">
        <v>1676</v>
      </c>
      <c r="F79" s="8" t="s">
        <v>1677</v>
      </c>
      <c r="G79" s="45" t="str">
        <f t="shared" si="20"/>
        <v>cheat gfi PrimalItemConsumable_SushiKibble_Atlantic_C 1 0 0</v>
      </c>
      <c r="H79" s="8" t="s">
        <v>1678</v>
      </c>
      <c r="I79" s="45" t="str">
        <f t="shared" si="21"/>
        <v>EngramEntry_SushiKibble_Atlantic_C</v>
      </c>
      <c r="J79" s="45" t="str">
        <f t="shared" si="22"/>
        <v>OverrideNamedEngramEntries=(EngramEntry_SushiKibble_Atlantic_C,EngramHidden=true)</v>
      </c>
      <c r="K79" s="2"/>
    </row>
    <row r="80">
      <c r="A80" s="7"/>
      <c r="B80" s="29"/>
      <c r="C80" s="46">
        <f t="shared" si="23"/>
        <v>0</v>
      </c>
      <c r="D80" s="46" t="str">
        <f t="shared" si="24"/>
        <v>PrimalItemConsumable_SushiKibble</v>
      </c>
      <c r="E80" s="11" t="s">
        <v>1679</v>
      </c>
      <c r="F80" s="11" t="s">
        <v>1680</v>
      </c>
      <c r="G80" s="46" t="str">
        <f t="shared" si="20"/>
        <v>cheat gfi PrimalItemConsumable_SushiKibble_Pacific_C 1 0 0</v>
      </c>
      <c r="H80" s="11" t="s">
        <v>1681</v>
      </c>
      <c r="I80" s="46" t="str">
        <f t="shared" si="21"/>
        <v>EngramEntry_SushiKibble_Pacific_C</v>
      </c>
      <c r="J80" s="46" t="str">
        <f t="shared" si="22"/>
        <v>OverrideNamedEngramEntries=(EngramEntry_SushiKibble_Pacific_C,EngramHidden=true)</v>
      </c>
      <c r="K80" s="2"/>
    </row>
    <row r="81">
      <c r="A81" s="7"/>
      <c r="B81" s="18"/>
      <c r="C81" s="19"/>
      <c r="D81" s="19"/>
      <c r="E81" s="19"/>
      <c r="F81" s="19"/>
      <c r="G81" s="19"/>
      <c r="H81" s="19"/>
      <c r="I81" s="19"/>
      <c r="J81" s="19"/>
      <c r="K81" s="2"/>
    </row>
    <row r="82">
      <c r="A82" s="7"/>
      <c r="B82" s="50"/>
      <c r="C82" s="46">
        <f t="shared" ref="C82:C85" si="25">IF(D82="PrimalItemConsumable_Blood",1)+IF(D82="PrimalItemConsumable_Narcotic",2)+IF(D82="PrimalItemConsumable_Seed",3)+IF(D82="PrimalItemConsumable_Fruit",4)+IF(D82="PrimalItemConsumable_Egg_Unfertilized",5)+IF(D82="PrimalItemConsumable_Kibble",6)+IF(D82="PrimalItemConsumable_Potion",7)+IF(D82="PrimalItemConsumable_XP",8)+IF(D82="PrimalItemConsumable_Food",9)+IF(D82="PrimalItemResource",10)+IF(D82="PrimalItemResource_Hide",11)+IF(D82="PrimalItemResource_MetalIngot",12)+IF(D82="PrimalItemConsumable_Summon",13)+IF(D82="PrimalItemStructure",14)+IF(D82="PrimalItem_Weapon",15)+IF(D82="PrimalItemAmmo",16)+IF(D82="PrimalItemArmor",17)+IF(D82="PrimalItemSaddle",18)+IF(D82="PrimalItemConsumable_UnderwaterEgg",19)+IF(D82="PrimalItemConsumable_Egg",20)</f>
        <v>7</v>
      </c>
      <c r="D82" s="11" t="s">
        <v>1682</v>
      </c>
      <c r="E82" s="11" t="s">
        <v>1683</v>
      </c>
      <c r="F82" s="11" t="s">
        <v>1684</v>
      </c>
      <c r="G82" s="46" t="str">
        <f t="shared" ref="G82:G95" si="26">"cheat gfi "&amp;F82&amp;" 1 0 0"</f>
        <v>cheat gfi PrimalItemConsumable_AlphaHealthPotion_C 1 0 0</v>
      </c>
      <c r="H82" s="11" t="s">
        <v>1685</v>
      </c>
      <c r="I82" s="46" t="str">
        <f t="shared" ref="I82:I95" si="27">CONCATENATE("EngramEntry",RIGHT(F82,LEN(F82) - (FIND("_",F82) - 1)))</f>
        <v>EngramEntry_AlphaHealthPotion_C</v>
      </c>
      <c r="J82" s="46" t="str">
        <f t="shared" ref="J82:J95" si="28">"OverrideNamedEngramEntries=("&amp;I82&amp;",EngramHidden=true)"</f>
        <v>OverrideNamedEngramEntries=(EngramEntry_AlphaHealthPotion_C,EngramHidden=true)</v>
      </c>
      <c r="K82" s="2"/>
    </row>
    <row r="83">
      <c r="A83" s="7"/>
      <c r="B83" s="7"/>
      <c r="C83" s="45">
        <f t="shared" si="25"/>
        <v>7</v>
      </c>
      <c r="D83" s="8" t="s">
        <v>1682</v>
      </c>
      <c r="E83" s="8" t="s">
        <v>1686</v>
      </c>
      <c r="F83" s="8" t="s">
        <v>1687</v>
      </c>
      <c r="G83" s="45" t="str">
        <f t="shared" si="26"/>
        <v>cheat gfi PrimalItemConsumable_CelestialHealthPotion_C 1 0 0</v>
      </c>
      <c r="H83" s="8" t="s">
        <v>1688</v>
      </c>
      <c r="I83" s="45" t="str">
        <f t="shared" si="27"/>
        <v>EngramEntry_CelestialHealthPotion_C</v>
      </c>
      <c r="J83" s="45" t="str">
        <f t="shared" si="28"/>
        <v>OverrideNamedEngramEntries=(EngramEntry_CelestialHealthPotion_C,EngramHidden=true)</v>
      </c>
      <c r="K83" s="2"/>
    </row>
    <row r="84">
      <c r="A84" s="7"/>
      <c r="B84" s="7"/>
      <c r="C84" s="46">
        <f t="shared" si="25"/>
        <v>7</v>
      </c>
      <c r="D84" s="11" t="s">
        <v>1682</v>
      </c>
      <c r="E84" s="11" t="s">
        <v>1689</v>
      </c>
      <c r="F84" s="11" t="s">
        <v>1690</v>
      </c>
      <c r="G84" s="46" t="str">
        <f t="shared" si="26"/>
        <v>cheat gfi PrimalItemConsumable_GodlyHealthPotion_C 1 0 0</v>
      </c>
      <c r="H84" s="11" t="s">
        <v>1691</v>
      </c>
      <c r="I84" s="46" t="str">
        <f t="shared" si="27"/>
        <v>EngramEntry_GodlyHealthPotion_C</v>
      </c>
      <c r="J84" s="46" t="str">
        <f t="shared" si="28"/>
        <v>OverrideNamedEngramEntries=(EngramEntry_GodlyHealthPotion_C,EngramHidden=true)</v>
      </c>
      <c r="K84" s="2"/>
    </row>
    <row r="85">
      <c r="A85" s="7"/>
      <c r="B85" s="7"/>
      <c r="C85" s="45">
        <f t="shared" si="25"/>
        <v>7</v>
      </c>
      <c r="D85" s="8" t="s">
        <v>1682</v>
      </c>
      <c r="E85" s="8" t="s">
        <v>1692</v>
      </c>
      <c r="F85" s="8" t="s">
        <v>1693</v>
      </c>
      <c r="G85" s="45" t="str">
        <f t="shared" si="26"/>
        <v>cheat gfi PrimalItemConsumable_NatureHealthPotion_C 1 0 0</v>
      </c>
      <c r="H85" s="8" t="s">
        <v>1694</v>
      </c>
      <c r="I85" s="45" t="str">
        <f t="shared" si="27"/>
        <v>EngramEntry_NatureHealthPotion_C</v>
      </c>
      <c r="J85" s="45" t="str">
        <f t="shared" si="28"/>
        <v>OverrideNamedEngramEntries=(EngramEntry_NatureHealthPotion_C,EngramHidden=true)</v>
      </c>
      <c r="K85" s="2"/>
    </row>
    <row r="86">
      <c r="A86" s="7"/>
      <c r="B86" s="7"/>
      <c r="C86" s="46"/>
      <c r="D86" s="46"/>
      <c r="E86" s="11" t="s">
        <v>1695</v>
      </c>
      <c r="F86" s="11" t="s">
        <v>1696</v>
      </c>
      <c r="G86" s="46" t="str">
        <f t="shared" si="26"/>
        <v>cheat gfi PrimalItemConsumable_Food_X10_C 1 0 0</v>
      </c>
      <c r="H86" s="11" t="s">
        <v>1697</v>
      </c>
      <c r="I86" s="46" t="str">
        <f t="shared" si="27"/>
        <v>EngramEntry_Food_X10_C</v>
      </c>
      <c r="J86" s="46" t="str">
        <f t="shared" si="28"/>
        <v>OverrideNamedEngramEntries=(EngramEntry_Food_X10_C,EngramHidden=true)</v>
      </c>
      <c r="K86" s="2"/>
    </row>
    <row r="87">
      <c r="A87" s="7"/>
      <c r="B87" s="7"/>
      <c r="C87" s="45"/>
      <c r="D87" s="45"/>
      <c r="E87" s="8" t="s">
        <v>1698</v>
      </c>
      <c r="F87" s="8" t="s">
        <v>1699</v>
      </c>
      <c r="G87" s="45" t="str">
        <f t="shared" si="26"/>
        <v>cheat gfi PrimalItemConsumable_Food_X50_C 1 0 0</v>
      </c>
      <c r="H87" s="8" t="s">
        <v>1700</v>
      </c>
      <c r="I87" s="45" t="str">
        <f t="shared" si="27"/>
        <v>EngramEntry_Food_X50_C</v>
      </c>
      <c r="J87" s="45" t="str">
        <f t="shared" si="28"/>
        <v>OverrideNamedEngramEntries=(EngramEntry_Food_X50_C,EngramHidden=true)</v>
      </c>
      <c r="K87" s="2"/>
    </row>
    <row r="88">
      <c r="A88" s="7"/>
      <c r="B88" s="7"/>
      <c r="C88" s="46"/>
      <c r="D88" s="46"/>
      <c r="E88" s="11" t="s">
        <v>1701</v>
      </c>
      <c r="F88" s="11" t="s">
        <v>1702</v>
      </c>
      <c r="G88" s="46" t="str">
        <f t="shared" si="26"/>
        <v>cheat gfi PrimalItemConsumable_Food_X100_C 1 0 0</v>
      </c>
      <c r="H88" s="11" t="s">
        <v>1703</v>
      </c>
      <c r="I88" s="46" t="str">
        <f t="shared" si="27"/>
        <v>EngramEntry_Food_X100_C</v>
      </c>
      <c r="J88" s="46" t="str">
        <f t="shared" si="28"/>
        <v>OverrideNamedEngramEntries=(EngramEntry_Food_X100_C,EngramHidden=true)</v>
      </c>
      <c r="K88" s="2"/>
    </row>
    <row r="89">
      <c r="A89" s="7"/>
      <c r="B89" s="7"/>
      <c r="C89" s="45">
        <f t="shared" ref="C89:C95" si="29">IF(D89="PrimalItemConsumable_Blood",1)+IF(D89="PrimalItemConsumable_Narcotic",2)+IF(D89="PrimalItemConsumable_Seed",3)+IF(D89="PrimalItemConsumable_Fruit",4)+IF(D89="PrimalItemConsumable_Egg_Unfertilized",5)+IF(D89="PrimalItemConsumable_Kibble",6)+IF(D89="PrimalItemConsumable_Potion",7)+IF(D89="PrimalItemConsumable_XP",8)+IF(D89="PrimalItemConsumable_Food",9)+IF(D89="PrimalItemResource",10)+IF(D89="PrimalItemResource_Hide",11)+IF(D89="PrimalItemResource_MetalIngot",12)+IF(D89="PrimalItemConsumable_Summon",13)+IF(D89="PrimalItemStructure",14)+IF(D89="PrimalItem_Weapon",15)+IF(D89="PrimalItemAmmo",16)+IF(D89="PrimalItemArmor",17)+IF(D89="PrimalItemSaddle",18)+IF(D89="PrimalItemConsumable_UnderwaterEgg",19)+IF(D89="PrimalItemConsumable_Egg",20)</f>
        <v>8</v>
      </c>
      <c r="D89" s="45" t="str">
        <f t="shared" ref="D89:D95" si="30">Left(F89,find("XP",F89)+1)</f>
        <v>PrimalItemConsumable_XP</v>
      </c>
      <c r="E89" s="8" t="s">
        <v>1704</v>
      </c>
      <c r="F89" s="8" t="s">
        <v>1705</v>
      </c>
      <c r="G89" s="45" t="str">
        <f t="shared" si="26"/>
        <v>cheat gfi PrimalItemConsumable_XP_ExtraLarge_C 1 0 0</v>
      </c>
      <c r="H89" s="8" t="s">
        <v>1706</v>
      </c>
      <c r="I89" s="45" t="str">
        <f t="shared" si="27"/>
        <v>EngramEntry_XP_ExtraLarge_C</v>
      </c>
      <c r="J89" s="45" t="str">
        <f t="shared" si="28"/>
        <v>OverrideNamedEngramEntries=(EngramEntry_XP_ExtraLarge_C,EngramHidden=true)</v>
      </c>
      <c r="K89" s="2"/>
    </row>
    <row r="90">
      <c r="A90" s="7"/>
      <c r="B90" s="7"/>
      <c r="C90" s="46">
        <f t="shared" si="29"/>
        <v>8</v>
      </c>
      <c r="D90" s="46" t="str">
        <f t="shared" si="30"/>
        <v>PrimalItemConsumable_XP</v>
      </c>
      <c r="E90" s="11" t="s">
        <v>1707</v>
      </c>
      <c r="F90" s="11" t="s">
        <v>1708</v>
      </c>
      <c r="G90" s="46" t="str">
        <f t="shared" si="26"/>
        <v>cheat gfi PrimalItemConsumable_XP_Huge_C 1 0 0</v>
      </c>
      <c r="H90" s="11" t="s">
        <v>1709</v>
      </c>
      <c r="I90" s="46" t="str">
        <f t="shared" si="27"/>
        <v>EngramEntry_XP_Huge_C</v>
      </c>
      <c r="J90" s="46" t="str">
        <f t="shared" si="28"/>
        <v>OverrideNamedEngramEntries=(EngramEntry_XP_Huge_C,EngramHidden=true)</v>
      </c>
      <c r="K90" s="2"/>
    </row>
    <row r="91">
      <c r="A91" s="7"/>
      <c r="B91" s="7"/>
      <c r="C91" s="45">
        <f t="shared" si="29"/>
        <v>8</v>
      </c>
      <c r="D91" s="45" t="str">
        <f t="shared" si="30"/>
        <v>PrimalItemConsumable_XP</v>
      </c>
      <c r="E91" s="8" t="s">
        <v>1710</v>
      </c>
      <c r="F91" s="8" t="s">
        <v>1711</v>
      </c>
      <c r="G91" s="45" t="str">
        <f t="shared" si="26"/>
        <v>cheat gfi PrimalItemConsumable_XP_Large_C 1 0 0</v>
      </c>
      <c r="H91" s="8" t="s">
        <v>1712</v>
      </c>
      <c r="I91" s="45" t="str">
        <f t="shared" si="27"/>
        <v>EngramEntry_XP_Large_C</v>
      </c>
      <c r="J91" s="45" t="str">
        <f t="shared" si="28"/>
        <v>OverrideNamedEngramEntries=(EngramEntry_XP_Large_C,EngramHidden=true)</v>
      </c>
      <c r="K91" s="2"/>
    </row>
    <row r="92">
      <c r="A92" s="7"/>
      <c r="B92" s="7"/>
      <c r="C92" s="46">
        <f t="shared" si="29"/>
        <v>8</v>
      </c>
      <c r="D92" s="46" t="str">
        <f t="shared" si="30"/>
        <v>PrimalItemConsumable_XP</v>
      </c>
      <c r="E92" s="11" t="s">
        <v>1713</v>
      </c>
      <c r="F92" s="11" t="s">
        <v>1714</v>
      </c>
      <c r="G92" s="46" t="str">
        <f t="shared" si="26"/>
        <v>cheat gfi PrimalItemConsumable_XP_Max_C 1 0 0</v>
      </c>
      <c r="H92" s="11" t="s">
        <v>1715</v>
      </c>
      <c r="I92" s="46" t="str">
        <f t="shared" si="27"/>
        <v>EngramEntry_XP_Max_C</v>
      </c>
      <c r="J92" s="46" t="str">
        <f t="shared" si="28"/>
        <v>OverrideNamedEngramEntries=(EngramEntry_XP_Max_C,EngramHidden=true)</v>
      </c>
      <c r="K92" s="2"/>
    </row>
    <row r="93">
      <c r="A93" s="7"/>
      <c r="B93" s="7"/>
      <c r="C93" s="45">
        <f t="shared" si="29"/>
        <v>8</v>
      </c>
      <c r="D93" s="45" t="str">
        <f t="shared" si="30"/>
        <v>PrimalItemConsumable_XP</v>
      </c>
      <c r="E93" s="8" t="s">
        <v>1716</v>
      </c>
      <c r="F93" s="8" t="s">
        <v>1717</v>
      </c>
      <c r="G93" s="45" t="str">
        <f t="shared" si="26"/>
        <v>cheat gfi PrimalItemConsumable_XP_Medium_C 1 0 0</v>
      </c>
      <c r="H93" s="8" t="s">
        <v>1718</v>
      </c>
      <c r="I93" s="45" t="str">
        <f t="shared" si="27"/>
        <v>EngramEntry_XP_Medium_C</v>
      </c>
      <c r="J93" s="45" t="str">
        <f t="shared" si="28"/>
        <v>OverrideNamedEngramEntries=(EngramEntry_XP_Medium_C,EngramHidden=true)</v>
      </c>
      <c r="K93" s="2"/>
    </row>
    <row r="94">
      <c r="A94" s="7"/>
      <c r="B94" s="7"/>
      <c r="C94" s="46">
        <f t="shared" si="29"/>
        <v>8</v>
      </c>
      <c r="D94" s="46" t="str">
        <f t="shared" si="30"/>
        <v>PrimalItemConsumable_XP</v>
      </c>
      <c r="E94" s="11" t="s">
        <v>1719</v>
      </c>
      <c r="F94" s="11" t="s">
        <v>1720</v>
      </c>
      <c r="G94" s="46" t="str">
        <f t="shared" si="26"/>
        <v>cheat gfi PrimalItemConsumable_XP_Small_C 1 0 0</v>
      </c>
      <c r="H94" s="11" t="s">
        <v>1721</v>
      </c>
      <c r="I94" s="46" t="str">
        <f t="shared" si="27"/>
        <v>EngramEntry_XP_Small_C</v>
      </c>
      <c r="J94" s="46" t="str">
        <f t="shared" si="28"/>
        <v>OverrideNamedEngramEntries=(EngramEntry_XP_Small_C,EngramHidden=true)</v>
      </c>
      <c r="K94" s="2"/>
    </row>
    <row r="95">
      <c r="A95" s="7"/>
      <c r="B95" s="7"/>
      <c r="C95" s="45">
        <f t="shared" si="29"/>
        <v>8</v>
      </c>
      <c r="D95" s="45" t="str">
        <f t="shared" si="30"/>
        <v>PrimalItemConsumable_XP</v>
      </c>
      <c r="E95" s="8" t="s">
        <v>1722</v>
      </c>
      <c r="F95" s="8" t="s">
        <v>1723</v>
      </c>
      <c r="G95" s="45" t="str">
        <f t="shared" si="26"/>
        <v>cheat gfi PrimalItemConsumable_XP_Tiny_C 1 0 0</v>
      </c>
      <c r="H95" s="8" t="s">
        <v>1724</v>
      </c>
      <c r="I95" s="45" t="str">
        <f t="shared" si="27"/>
        <v>EngramEntry_XP_Tiny_C</v>
      </c>
      <c r="J95" s="45" t="str">
        <f t="shared" si="28"/>
        <v>OverrideNamedEngramEntries=(EngramEntry_XP_Tiny_C,EngramHidden=true)</v>
      </c>
      <c r="K95" s="2"/>
    </row>
    <row r="96">
      <c r="A96" s="7"/>
      <c r="B96" s="23"/>
      <c r="C96" s="19"/>
      <c r="D96" s="19"/>
      <c r="E96" s="51"/>
      <c r="F96" s="51"/>
      <c r="G96" s="19"/>
      <c r="H96" s="51"/>
      <c r="I96" s="19"/>
      <c r="J96" s="1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7"/>
      <c r="B97" s="52" t="s">
        <v>1725</v>
      </c>
      <c r="C97" s="45">
        <f t="shared" ref="C97:C139" si="31">IF(D97="PrimalItemConsumable_Blood",1)+IF(D97="PrimalItemConsumable_Narcotic",2)+IF(D97="PrimalItemConsumable_Seed",3)+IF(D97="PrimalItemConsumable_Fruit",4)+IF(D97="PrimalItemConsumable_Egg_Unfertilized",5)+IF(D97="PrimalItemConsumable_Kibble",6)+IF(D97="PrimalItemConsumable_Potion",7)+IF(D97="PrimalItemConsumable_XP",8)+IF(D97="PrimalItemConsumable_Food",9)+IF(D97="PrimalItemResource",10)+IF(D97="PrimalItemResource_Hide",11)+IF(D97="PrimalItemResource_MetalIngot",12)+IF(D97="PrimalItemConsumable_Summon",13)+IF(D97="PrimalItemStructure",14)+IF(D97="PrimalItem_Weapon",15)+IF(D97="PrimalItemAmmo",16)+IF(D97="PrimalItemArmor",17)+IF(D97="PrimalItemSaddle",18)+IF(D97="PrimalItemConsumable_UnderwaterEgg",19)+IF(D97="PrimalItemConsumable_Egg",20)</f>
        <v>10</v>
      </c>
      <c r="D97" s="45" t="str">
        <f t="shared" ref="D97:D99" si="32">Left(F97,find("Resource",F97)+7)</f>
        <v>PrimalItemResource</v>
      </c>
      <c r="E97" s="8" t="s">
        <v>1726</v>
      </c>
      <c r="F97" s="8" t="s">
        <v>1727</v>
      </c>
      <c r="G97" s="45" t="str">
        <f t="shared" ref="G97:G184" si="33">"cheat gfi "&amp;F97&amp;" 1 0 0"</f>
        <v>cheat gfi PrimalItemResource_ApexBossSkull_C 1 0 0</v>
      </c>
      <c r="H97" s="8" t="s">
        <v>1728</v>
      </c>
      <c r="I97" s="45" t="str">
        <f t="shared" ref="I97:I184" si="34">CONCATENATE("EngramEntry",RIGHT(F97,LEN(F97) - (FIND("_",F97) - 1)))</f>
        <v>EngramEntry_ApexBossSkull_C</v>
      </c>
      <c r="J97" s="45" t="str">
        <f t="shared" ref="J97:J184" si="35">"OverrideNamedEngramEntries=("&amp;I97&amp;",EngramHidden=true)"</f>
        <v>OverrideNamedEngramEntries=(EngramEntry_ApexBossSkull_C,EngramHidden=true)</v>
      </c>
      <c r="K97" s="2"/>
    </row>
    <row r="98">
      <c r="A98" s="7"/>
      <c r="B98" s="7"/>
      <c r="C98" s="46">
        <f t="shared" si="31"/>
        <v>10</v>
      </c>
      <c r="D98" s="46" t="str">
        <f t="shared" si="32"/>
        <v>PrimalItemResource</v>
      </c>
      <c r="E98" s="11" t="s">
        <v>1729</v>
      </c>
      <c r="F98" s="11" t="s">
        <v>1730</v>
      </c>
      <c r="G98" s="46" t="str">
        <f t="shared" si="33"/>
        <v>cheat gfi PrimalItemResource_BionicBossSkull_C 1 0 0</v>
      </c>
      <c r="H98" s="11" t="s">
        <v>1731</v>
      </c>
      <c r="I98" s="46" t="str">
        <f t="shared" si="34"/>
        <v>EngramEntry_BionicBossSkull_C</v>
      </c>
      <c r="J98" s="46" t="str">
        <f t="shared" si="35"/>
        <v>OverrideNamedEngramEntries=(EngramEntry_BionicBossSkull_C,EngramHidden=true)</v>
      </c>
      <c r="K98" s="2"/>
    </row>
    <row r="99">
      <c r="A99" s="7"/>
      <c r="B99" s="7"/>
      <c r="C99" s="45">
        <f t="shared" si="31"/>
        <v>10</v>
      </c>
      <c r="D99" s="45" t="str">
        <f t="shared" si="32"/>
        <v>PrimalItemResource</v>
      </c>
      <c r="E99" s="28" t="s">
        <v>1732</v>
      </c>
      <c r="F99" s="8" t="s">
        <v>1733</v>
      </c>
      <c r="G99" s="45" t="str">
        <f t="shared" si="33"/>
        <v>cheat gfi PrimalItemResource_DemonicBossSkull_C 1 0 0</v>
      </c>
      <c r="H99" s="8" t="s">
        <v>1734</v>
      </c>
      <c r="I99" s="45" t="str">
        <f t="shared" si="34"/>
        <v>EngramEntry_DemonicBossSkull_C</v>
      </c>
      <c r="J99" s="45" t="str">
        <f t="shared" si="35"/>
        <v>OverrideNamedEngramEntries=(EngramEntry_DemonicBossSkull_C,EngramHidden=true)</v>
      </c>
      <c r="K99" s="2"/>
    </row>
    <row r="100">
      <c r="A100" s="7"/>
      <c r="B100" s="7"/>
      <c r="C100" s="46">
        <f t="shared" si="31"/>
        <v>0</v>
      </c>
      <c r="D100" s="46" t="str">
        <f t="shared" ref="D100:D139" si="36">Left(F100,find("Resource",F100)+12)</f>
        <v>PrimalItemResource_Boss</v>
      </c>
      <c r="E100" s="11" t="s">
        <v>1735</v>
      </c>
      <c r="F100" s="11" t="s">
        <v>1736</v>
      </c>
      <c r="G100" s="46" t="str">
        <f t="shared" si="33"/>
        <v>cheat gfi PrimalItemResource_BossSkull_Earth_C 1 0 0</v>
      </c>
      <c r="H100" s="11" t="s">
        <v>1737</v>
      </c>
      <c r="I100" s="46" t="str">
        <f t="shared" si="34"/>
        <v>EngramEntry_BossSkull_Earth_C</v>
      </c>
      <c r="J100" s="46" t="str">
        <f t="shared" si="35"/>
        <v>OverrideNamedEngramEntries=(EngramEntry_BossSkull_Earth_C,EngramHidden=true)</v>
      </c>
      <c r="K100" s="2"/>
    </row>
    <row r="101">
      <c r="A101" s="7"/>
      <c r="B101" s="7"/>
      <c r="C101" s="45">
        <f t="shared" si="31"/>
        <v>0</v>
      </c>
      <c r="D101" s="45" t="str">
        <f t="shared" si="36"/>
        <v>PrimalItemResource_Boss</v>
      </c>
      <c r="E101" s="8" t="s">
        <v>1738</v>
      </c>
      <c r="F101" s="8" t="s">
        <v>1739</v>
      </c>
      <c r="G101" s="45" t="str">
        <f t="shared" si="33"/>
        <v>cheat gfi PrimalItemResource_BossSkull_Frost_C 1 0 0</v>
      </c>
      <c r="H101" s="8" t="s">
        <v>1740</v>
      </c>
      <c r="I101" s="45" t="str">
        <f t="shared" si="34"/>
        <v>EngramEntry_BossSkull_Frost_C</v>
      </c>
      <c r="J101" s="45" t="str">
        <f t="shared" si="35"/>
        <v>OverrideNamedEngramEntries=(EngramEntry_BossSkull_Frost_C,EngramHidden=true)</v>
      </c>
      <c r="K101" s="2"/>
    </row>
    <row r="102">
      <c r="A102" s="7"/>
      <c r="B102" s="7"/>
      <c r="C102" s="46">
        <f t="shared" si="31"/>
        <v>0</v>
      </c>
      <c r="D102" s="46" t="str">
        <f t="shared" si="36"/>
        <v>PrimalItemResource_Boss</v>
      </c>
      <c r="E102" s="11" t="s">
        <v>1741</v>
      </c>
      <c r="F102" s="11" t="s">
        <v>1742</v>
      </c>
      <c r="G102" s="46" t="str">
        <f t="shared" si="33"/>
        <v>cheat gfi PrimalItemResource_BossSkull_Godly_C 1 0 0</v>
      </c>
      <c r="H102" s="11" t="s">
        <v>1743</v>
      </c>
      <c r="I102" s="46" t="str">
        <f t="shared" si="34"/>
        <v>EngramEntry_BossSkull_Godly_C</v>
      </c>
      <c r="J102" s="46" t="str">
        <f t="shared" si="35"/>
        <v>OverrideNamedEngramEntries=(EngramEntry_BossSkull_Godly_C,EngramHidden=true)</v>
      </c>
      <c r="K102" s="2"/>
    </row>
    <row r="103">
      <c r="A103" s="7"/>
      <c r="B103" s="7"/>
      <c r="C103" s="45">
        <f t="shared" si="31"/>
        <v>0</v>
      </c>
      <c r="D103" s="45" t="str">
        <f t="shared" si="36"/>
        <v>PrimalItemResource_Boss</v>
      </c>
      <c r="E103" s="8" t="s">
        <v>1744</v>
      </c>
      <c r="F103" s="8" t="s">
        <v>1745</v>
      </c>
      <c r="G103" s="45" t="str">
        <f t="shared" si="33"/>
        <v>cheat gfi PrimalItemResource_BossSkull_Hydro_C 1 0 0</v>
      </c>
      <c r="H103" s="8" t="s">
        <v>1746</v>
      </c>
      <c r="I103" s="45" t="str">
        <f t="shared" si="34"/>
        <v>EngramEntry_BossSkull_Hydro_C</v>
      </c>
      <c r="J103" s="45" t="str">
        <f t="shared" si="35"/>
        <v>OverrideNamedEngramEntries=(EngramEntry_BossSkull_Hydro_C,EngramHidden=true)</v>
      </c>
      <c r="K103" s="2"/>
    </row>
    <row r="104">
      <c r="A104" s="7"/>
      <c r="B104" s="7"/>
      <c r="C104" s="46">
        <f t="shared" si="31"/>
        <v>0</v>
      </c>
      <c r="D104" s="46" t="str">
        <f t="shared" si="36"/>
        <v>PrimalItemResource_Boss</v>
      </c>
      <c r="E104" s="11" t="s">
        <v>1747</v>
      </c>
      <c r="F104" s="11" t="s">
        <v>1748</v>
      </c>
      <c r="G104" s="46" t="str">
        <f t="shared" si="33"/>
        <v>cheat gfi PrimalItemResource_BossSkull_ScionOfDarkness_C 1 0 0</v>
      </c>
      <c r="H104" s="11" t="s">
        <v>1749</v>
      </c>
      <c r="I104" s="46" t="str">
        <f t="shared" si="34"/>
        <v>EngramEntry_BossSkull_ScionOfDarkness_C</v>
      </c>
      <c r="J104" s="46" t="str">
        <f t="shared" si="35"/>
        <v>OverrideNamedEngramEntries=(EngramEntry_BossSkull_ScionOfDarkness_C,EngramHidden=true)</v>
      </c>
      <c r="K104" s="2"/>
    </row>
    <row r="105">
      <c r="A105" s="7"/>
      <c r="B105" s="7"/>
      <c r="C105" s="45">
        <f t="shared" si="31"/>
        <v>0</v>
      </c>
      <c r="D105" s="45" t="str">
        <f t="shared" si="36"/>
        <v>PrimalItemResource_Boss</v>
      </c>
      <c r="E105" s="8" t="s">
        <v>1750</v>
      </c>
      <c r="F105" s="8" t="s">
        <v>1751</v>
      </c>
      <c r="G105" s="45" t="str">
        <f t="shared" si="33"/>
        <v>cheat gfi PrimalItemResource_BossSkull_SwordMaster_C 1 0 0</v>
      </c>
      <c r="H105" s="8" t="s">
        <v>1752</v>
      </c>
      <c r="I105" s="45" t="str">
        <f t="shared" si="34"/>
        <v>EngramEntry_BossSkull_SwordMaster_C</v>
      </c>
      <c r="J105" s="45" t="str">
        <f t="shared" si="35"/>
        <v>OverrideNamedEngramEntries=(EngramEntry_BossSkull_SwordMaster_C,EngramHidden=true)</v>
      </c>
      <c r="K105" s="2"/>
    </row>
    <row r="106">
      <c r="A106" s="7"/>
      <c r="B106" s="7"/>
      <c r="C106" s="46">
        <f t="shared" si="31"/>
        <v>0</v>
      </c>
      <c r="D106" s="46" t="str">
        <f t="shared" si="36"/>
        <v>PrimalItemResource_Bras</v>
      </c>
      <c r="E106" s="11" t="s">
        <v>1753</v>
      </c>
      <c r="F106" s="11" t="s">
        <v>1754</v>
      </c>
      <c r="G106" s="46" t="str">
        <f t="shared" si="33"/>
        <v>cheat gfi PrimalItemResource_BrassMetalIngot_C 1 0 0</v>
      </c>
      <c r="H106" s="11" t="s">
        <v>1755</v>
      </c>
      <c r="I106" s="46" t="str">
        <f t="shared" si="34"/>
        <v>EngramEntry_BrassMetalIngot_C</v>
      </c>
      <c r="J106" s="46" t="str">
        <f t="shared" si="35"/>
        <v>OverrideNamedEngramEntries=(EngramEntry_BrassMetalIngot_C,EngramHidden=true)</v>
      </c>
      <c r="K106" s="2"/>
    </row>
    <row r="107">
      <c r="A107" s="7"/>
      <c r="B107" s="7"/>
      <c r="C107" s="45">
        <f t="shared" si="31"/>
        <v>0</v>
      </c>
      <c r="D107" s="45" t="str">
        <f t="shared" si="36"/>
        <v>PrimalItemResource_Bron</v>
      </c>
      <c r="E107" s="8" t="s">
        <v>1756</v>
      </c>
      <c r="F107" s="8" t="s">
        <v>1757</v>
      </c>
      <c r="G107" s="45" t="str">
        <f t="shared" si="33"/>
        <v>cheat gfi PrimalItemResource_BronzeMetalIngot_C 1 0 0</v>
      </c>
      <c r="H107" s="8" t="s">
        <v>1758</v>
      </c>
      <c r="I107" s="45" t="str">
        <f t="shared" si="34"/>
        <v>EngramEntry_BronzeMetalIngot_C</v>
      </c>
      <c r="J107" s="45" t="str">
        <f t="shared" si="35"/>
        <v>OverrideNamedEngramEntries=(EngramEntry_BronzeMetalIngot_C,EngramHidden=true)</v>
      </c>
      <c r="K107" s="2"/>
    </row>
    <row r="108">
      <c r="A108" s="7"/>
      <c r="B108" s="7"/>
      <c r="C108" s="46">
        <f t="shared" si="31"/>
        <v>0</v>
      </c>
      <c r="D108" s="46" t="str">
        <f t="shared" si="36"/>
        <v>PrimalItemResource_Cele</v>
      </c>
      <c r="E108" s="11" t="s">
        <v>1759</v>
      </c>
      <c r="F108" s="11" t="s">
        <v>1760</v>
      </c>
      <c r="G108" s="46" t="str">
        <f t="shared" si="33"/>
        <v>cheat gfi PrimalItemResource_CelestialBossSkull_C 1 0 0</v>
      </c>
      <c r="H108" s="11" t="s">
        <v>1761</v>
      </c>
      <c r="I108" s="46" t="str">
        <f t="shared" si="34"/>
        <v>EngramEntry_CelestialBossSkull_C</v>
      </c>
      <c r="J108" s="46" t="str">
        <f t="shared" si="35"/>
        <v>OverrideNamedEngramEntries=(EngramEntry_CelestialBossSkull_C,EngramHidden=true)</v>
      </c>
      <c r="K108" s="2"/>
    </row>
    <row r="109">
      <c r="A109" s="7"/>
      <c r="B109" s="7"/>
      <c r="C109" s="45">
        <f t="shared" si="31"/>
        <v>0</v>
      </c>
      <c r="D109" s="45" t="str">
        <f t="shared" si="36"/>
        <v>PrimalItemResource_Chit</v>
      </c>
      <c r="E109" s="8" t="s">
        <v>1762</v>
      </c>
      <c r="F109" s="8" t="s">
        <v>1763</v>
      </c>
      <c r="G109" s="45" t="str">
        <f t="shared" si="33"/>
        <v>cheat gfi PrimalItemResource_ChitinPaste_Child_C 1 0 0</v>
      </c>
      <c r="H109" s="8" t="s">
        <v>1764</v>
      </c>
      <c r="I109" s="45" t="str">
        <f t="shared" si="34"/>
        <v>EngramEntry_ChitinPaste_Child_C</v>
      </c>
      <c r="J109" s="45" t="str">
        <f t="shared" si="35"/>
        <v>OverrideNamedEngramEntries=(EngramEntry_ChitinPaste_Child_C,EngramHidden=true)</v>
      </c>
      <c r="K109" s="2"/>
    </row>
    <row r="110">
      <c r="A110" s="7"/>
      <c r="B110" s="7"/>
      <c r="C110" s="46">
        <f t="shared" si="31"/>
        <v>0</v>
      </c>
      <c r="D110" s="46" t="str">
        <f t="shared" si="36"/>
        <v>PrimalItemResource_Copp</v>
      </c>
      <c r="E110" s="11" t="s">
        <v>1765</v>
      </c>
      <c r="F110" s="11" t="s">
        <v>1766</v>
      </c>
      <c r="G110" s="46" t="str">
        <f t="shared" si="33"/>
        <v>cheat gfi PrimalItemResource_CopperOre_C 1 0 0</v>
      </c>
      <c r="H110" s="11" t="s">
        <v>1767</v>
      </c>
      <c r="I110" s="46" t="str">
        <f t="shared" si="34"/>
        <v>EngramEntry_CopperOre_C</v>
      </c>
      <c r="J110" s="46" t="str">
        <f t="shared" si="35"/>
        <v>OverrideNamedEngramEntries=(EngramEntry_CopperOre_C,EngramHidden=true)</v>
      </c>
      <c r="K110" s="2"/>
    </row>
    <row r="111">
      <c r="A111" s="7"/>
      <c r="B111" s="7"/>
      <c r="C111" s="45">
        <f t="shared" si="31"/>
        <v>0</v>
      </c>
      <c r="D111" s="45" t="str">
        <f t="shared" si="36"/>
        <v>PrimalItemResource_Core</v>
      </c>
      <c r="E111" s="8" t="s">
        <v>1768</v>
      </c>
      <c r="F111" s="8" t="s">
        <v>1769</v>
      </c>
      <c r="G111" s="45" t="str">
        <f t="shared" si="33"/>
        <v>cheat gfi PrimalItemResource_Core_Earth_C 1 0 0</v>
      </c>
      <c r="H111" s="8" t="s">
        <v>1770</v>
      </c>
      <c r="I111" s="45" t="str">
        <f t="shared" si="34"/>
        <v>EngramEntry_Core_Earth_C</v>
      </c>
      <c r="J111" s="45" t="str">
        <f t="shared" si="35"/>
        <v>OverrideNamedEngramEntries=(EngramEntry_Core_Earth_C,EngramHidden=true)</v>
      </c>
      <c r="K111" s="2"/>
    </row>
    <row r="112">
      <c r="A112" s="7"/>
      <c r="B112" s="7"/>
      <c r="C112" s="46">
        <f t="shared" si="31"/>
        <v>0</v>
      </c>
      <c r="D112" s="46" t="str">
        <f t="shared" si="36"/>
        <v>PrimalItemResource_Core</v>
      </c>
      <c r="E112" s="11" t="s">
        <v>1771</v>
      </c>
      <c r="F112" s="11" t="s">
        <v>1772</v>
      </c>
      <c r="G112" s="46" t="str">
        <f t="shared" si="33"/>
        <v>cheat gfi PrimalItemResource_Core_Electric_C 1 0 0</v>
      </c>
      <c r="H112" s="11" t="s">
        <v>1773</v>
      </c>
      <c r="I112" s="46" t="str">
        <f t="shared" si="34"/>
        <v>EngramEntry_Core_Electric_C</v>
      </c>
      <c r="J112" s="46" t="str">
        <f t="shared" si="35"/>
        <v>OverrideNamedEngramEntries=(EngramEntry_Core_Electric_C,EngramHidden=true)</v>
      </c>
      <c r="K112" s="2"/>
    </row>
    <row r="113">
      <c r="A113" s="7"/>
      <c r="B113" s="7"/>
      <c r="C113" s="45">
        <f t="shared" si="31"/>
        <v>0</v>
      </c>
      <c r="D113" s="45" t="str">
        <f t="shared" si="36"/>
        <v>PrimalItemResource_Core</v>
      </c>
      <c r="E113" s="8" t="s">
        <v>1774</v>
      </c>
      <c r="F113" s="8" t="s">
        <v>1775</v>
      </c>
      <c r="G113" s="45" t="str">
        <f t="shared" si="33"/>
        <v>cheat gfi PrimalItemResource_Core_Frost_C 1 0 0</v>
      </c>
      <c r="H113" s="8" t="s">
        <v>1776</v>
      </c>
      <c r="I113" s="45" t="str">
        <f t="shared" si="34"/>
        <v>EngramEntry_Core_Frost_C</v>
      </c>
      <c r="J113" s="45" t="str">
        <f t="shared" si="35"/>
        <v>OverrideNamedEngramEntries=(EngramEntry_Core_Frost_C,EngramHidden=true)</v>
      </c>
      <c r="K113" s="2"/>
    </row>
    <row r="114">
      <c r="A114" s="7"/>
      <c r="B114" s="7"/>
      <c r="C114" s="46">
        <f t="shared" si="31"/>
        <v>0</v>
      </c>
      <c r="D114" s="46" t="str">
        <f t="shared" si="36"/>
        <v>PrimalItemResource_Core</v>
      </c>
      <c r="E114" s="11" t="s">
        <v>1777</v>
      </c>
      <c r="F114" s="11" t="s">
        <v>1778</v>
      </c>
      <c r="G114" s="46" t="str">
        <f t="shared" si="33"/>
        <v>cheat gfi PrimalItemResource_Core_Hydro_C 1 0 0</v>
      </c>
      <c r="H114" s="11" t="s">
        <v>1779</v>
      </c>
      <c r="I114" s="46" t="str">
        <f t="shared" si="34"/>
        <v>EngramEntry_Core_Hydro_C</v>
      </c>
      <c r="J114" s="46" t="str">
        <f t="shared" si="35"/>
        <v>OverrideNamedEngramEntries=(EngramEntry_Core_Hydro_C,EngramHidden=true)</v>
      </c>
      <c r="K114" s="2"/>
    </row>
    <row r="115">
      <c r="A115" s="7"/>
      <c r="B115" s="7"/>
      <c r="C115" s="45">
        <f t="shared" si="31"/>
        <v>0</v>
      </c>
      <c r="D115" s="45" t="str">
        <f t="shared" si="36"/>
        <v>PrimalItemResource_Core</v>
      </c>
      <c r="E115" s="8" t="s">
        <v>1780</v>
      </c>
      <c r="F115" s="8" t="s">
        <v>1781</v>
      </c>
      <c r="G115" s="45" t="str">
        <f t="shared" si="33"/>
        <v>cheat gfi PrimalItemResource_Core_Nature_C 1 0 0</v>
      </c>
      <c r="H115" s="8" t="s">
        <v>1782</v>
      </c>
      <c r="I115" s="45" t="str">
        <f t="shared" si="34"/>
        <v>EngramEntry_Core_Nature_C</v>
      </c>
      <c r="J115" s="45" t="str">
        <f t="shared" si="35"/>
        <v>OverrideNamedEngramEntries=(EngramEntry_Core_Nature_C,EngramHidden=true)</v>
      </c>
      <c r="K115" s="2"/>
    </row>
    <row r="116">
      <c r="A116" s="7"/>
      <c r="B116" s="7"/>
      <c r="C116" s="46">
        <f t="shared" si="31"/>
        <v>0</v>
      </c>
      <c r="D116" s="46" t="str">
        <f t="shared" si="36"/>
        <v>PrimalItemResource_Core</v>
      </c>
      <c r="E116" s="11" t="s">
        <v>1783</v>
      </c>
      <c r="F116" s="11" t="s">
        <v>1784</v>
      </c>
      <c r="G116" s="46" t="str">
        <f t="shared" si="33"/>
        <v>cheat gfi PrimalItemResource_Core_Volcanic_C 1 0 0</v>
      </c>
      <c r="H116" s="11" t="s">
        <v>1785</v>
      </c>
      <c r="I116" s="46" t="str">
        <f t="shared" si="34"/>
        <v>EngramEntry_Core_Volcanic_C</v>
      </c>
      <c r="J116" s="46" t="str">
        <f t="shared" si="35"/>
        <v>OverrideNamedEngramEntries=(EngramEntry_Core_Volcanic_C,EngramHidden=true)</v>
      </c>
      <c r="K116" s="2"/>
    </row>
    <row r="117">
      <c r="A117" s="7"/>
      <c r="B117" s="7"/>
      <c r="C117" s="45" t="str">
        <f t="shared" si="31"/>
        <v>#VALUE!</v>
      </c>
      <c r="D117" s="45" t="str">
        <f t="shared" si="36"/>
        <v>#VALUE!</v>
      </c>
      <c r="E117" s="8" t="s">
        <v>1786</v>
      </c>
      <c r="F117" s="8" t="s">
        <v>1787</v>
      </c>
      <c r="G117" s="45" t="str">
        <f t="shared" si="33"/>
        <v>cheat gfi PrimalItemConsumable_BossEssence_Alpha_C 1 0 0</v>
      </c>
      <c r="H117" s="8" t="s">
        <v>1788</v>
      </c>
      <c r="I117" s="45" t="str">
        <f t="shared" si="34"/>
        <v>EngramEntry_BossEssence_Alpha_C</v>
      </c>
      <c r="J117" s="45" t="str">
        <f t="shared" si="35"/>
        <v>OverrideNamedEngramEntries=(EngramEntry_BossEssence_Alpha_C,EngramHidden=true)</v>
      </c>
      <c r="K117" s="2"/>
    </row>
    <row r="118">
      <c r="A118" s="7"/>
      <c r="B118" s="7"/>
      <c r="C118" s="46" t="str">
        <f t="shared" si="31"/>
        <v>#VALUE!</v>
      </c>
      <c r="D118" s="46" t="str">
        <f t="shared" si="36"/>
        <v>#VALUE!</v>
      </c>
      <c r="E118" s="11" t="s">
        <v>1789</v>
      </c>
      <c r="F118" s="11" t="s">
        <v>1790</v>
      </c>
      <c r="G118" s="46" t="str">
        <f t="shared" si="33"/>
        <v>cheat gfi PrimalItemConsumable_BossEssence_Apex_C 1 0 0</v>
      </c>
      <c r="H118" s="11" t="s">
        <v>1791</v>
      </c>
      <c r="I118" s="46" t="str">
        <f t="shared" si="34"/>
        <v>EngramEntry_BossEssence_Apex_C</v>
      </c>
      <c r="J118" s="46" t="str">
        <f t="shared" si="35"/>
        <v>OverrideNamedEngramEntries=(EngramEntry_BossEssence_Apex_C,EngramHidden=true)</v>
      </c>
      <c r="K118" s="2"/>
    </row>
    <row r="119">
      <c r="A119" s="7"/>
      <c r="B119" s="7"/>
      <c r="C119" s="45" t="str">
        <f t="shared" si="31"/>
        <v>#VALUE!</v>
      </c>
      <c r="D119" s="45" t="str">
        <f t="shared" si="36"/>
        <v>#VALUE!</v>
      </c>
      <c r="E119" s="8" t="s">
        <v>1792</v>
      </c>
      <c r="F119" s="8" t="s">
        <v>1793</v>
      </c>
      <c r="G119" s="45" t="str">
        <f t="shared" si="33"/>
        <v>cheat gfi PrimalItemConsumable_BossEssence_Bionic_C 1 0 0</v>
      </c>
      <c r="H119" s="8" t="s">
        <v>1794</v>
      </c>
      <c r="I119" s="45" t="str">
        <f t="shared" si="34"/>
        <v>EngramEntry_BossEssence_Bionic_C</v>
      </c>
      <c r="J119" s="45" t="str">
        <f t="shared" si="35"/>
        <v>OverrideNamedEngramEntries=(EngramEntry_BossEssence_Bionic_C,EngramHidden=true)</v>
      </c>
      <c r="K119" s="2"/>
    </row>
    <row r="120">
      <c r="A120" s="7"/>
      <c r="B120" s="7"/>
      <c r="C120" s="46" t="str">
        <f t="shared" si="31"/>
        <v>#VALUE!</v>
      </c>
      <c r="D120" s="46" t="str">
        <f t="shared" si="36"/>
        <v>#VALUE!</v>
      </c>
      <c r="E120" s="11" t="s">
        <v>1795</v>
      </c>
      <c r="F120" s="11" t="s">
        <v>1796</v>
      </c>
      <c r="G120" s="46" t="str">
        <f t="shared" si="33"/>
        <v>cheat gfi PrimalItemConsumable_BossEssence_Celestial_C 1 0 0</v>
      </c>
      <c r="H120" s="11" t="s">
        <v>1797</v>
      </c>
      <c r="I120" s="46" t="str">
        <f t="shared" si="34"/>
        <v>EngramEntry_BossEssence_Celestial_C</v>
      </c>
      <c r="J120" s="46" t="str">
        <f t="shared" si="35"/>
        <v>OverrideNamedEngramEntries=(EngramEntry_BossEssence_Celestial_C,EngramHidden=true)</v>
      </c>
      <c r="K120" s="2"/>
    </row>
    <row r="121">
      <c r="A121" s="7"/>
      <c r="B121" s="7"/>
      <c r="C121" s="45" t="str">
        <f t="shared" si="31"/>
        <v>#VALUE!</v>
      </c>
      <c r="D121" s="45" t="str">
        <f t="shared" si="36"/>
        <v>#VALUE!</v>
      </c>
      <c r="E121" s="8" t="s">
        <v>1795</v>
      </c>
      <c r="F121" s="8" t="s">
        <v>1798</v>
      </c>
      <c r="G121" s="45" t="str">
        <f t="shared" si="33"/>
        <v>cheat gfi PrimalItemConsumable_BossEssence_Demonic_C 1 0 0</v>
      </c>
      <c r="H121" s="8" t="s">
        <v>1799</v>
      </c>
      <c r="I121" s="45" t="str">
        <f t="shared" si="34"/>
        <v>EngramEntry_BossEssence_Demonic_C</v>
      </c>
      <c r="J121" s="45" t="str">
        <f t="shared" si="35"/>
        <v>OverrideNamedEngramEntries=(EngramEntry_BossEssence_Demonic_C,EngramHidden=true)</v>
      </c>
      <c r="K121" s="2"/>
    </row>
    <row r="122">
      <c r="A122" s="7"/>
      <c r="B122" s="7"/>
      <c r="C122" s="46" t="str">
        <f t="shared" si="31"/>
        <v>#VALUE!</v>
      </c>
      <c r="D122" s="46" t="str">
        <f t="shared" si="36"/>
        <v>#VALUE!</v>
      </c>
      <c r="E122" s="11" t="s">
        <v>1800</v>
      </c>
      <c r="F122" s="11" t="s">
        <v>1801</v>
      </c>
      <c r="G122" s="46" t="str">
        <f t="shared" si="33"/>
        <v>cheat gfi /PrimalItemConsumable_BossEssence_Earth_C 1 0 0</v>
      </c>
      <c r="H122" s="11" t="s">
        <v>1802</v>
      </c>
      <c r="I122" s="46" t="str">
        <f t="shared" si="34"/>
        <v>EngramEntry_BossEssence_Earth_C</v>
      </c>
      <c r="J122" s="46" t="str">
        <f t="shared" si="35"/>
        <v>OverrideNamedEngramEntries=(EngramEntry_BossEssence_Earth_C,EngramHidden=true)</v>
      </c>
      <c r="K122" s="2"/>
    </row>
    <row r="123">
      <c r="A123" s="7"/>
      <c r="B123" s="7"/>
      <c r="C123" s="45" t="str">
        <f t="shared" si="31"/>
        <v>#VALUE!</v>
      </c>
      <c r="D123" s="45" t="str">
        <f t="shared" si="36"/>
        <v>#VALUE!</v>
      </c>
      <c r="E123" s="8" t="s">
        <v>1803</v>
      </c>
      <c r="F123" s="8" t="s">
        <v>1804</v>
      </c>
      <c r="G123" s="45" t="str">
        <f t="shared" si="33"/>
        <v>cheat gfi PrimalItemConsumable_BossEssence_Frost_C 1 0 0</v>
      </c>
      <c r="H123" s="8" t="s">
        <v>1805</v>
      </c>
      <c r="I123" s="45" t="str">
        <f t="shared" si="34"/>
        <v>EngramEntry_BossEssence_Frost_C</v>
      </c>
      <c r="J123" s="45" t="str">
        <f t="shared" si="35"/>
        <v>OverrideNamedEngramEntries=(EngramEntry_BossEssence_Frost_C,EngramHidden=true)</v>
      </c>
      <c r="K123" s="2"/>
    </row>
    <row r="124">
      <c r="A124" s="7"/>
      <c r="B124" s="7"/>
      <c r="C124" s="46" t="str">
        <f t="shared" si="31"/>
        <v>#VALUE!</v>
      </c>
      <c r="D124" s="46" t="str">
        <f t="shared" si="36"/>
        <v>#VALUE!</v>
      </c>
      <c r="E124" s="11" t="s">
        <v>1806</v>
      </c>
      <c r="F124" s="11" t="s">
        <v>1807</v>
      </c>
      <c r="G124" s="46" t="str">
        <f t="shared" si="33"/>
        <v>cheat gfi PrimalItemConsumable_BossEssence_Hydro_C 1 0 0</v>
      </c>
      <c r="H124" s="11" t="s">
        <v>1808</v>
      </c>
      <c r="I124" s="46" t="str">
        <f t="shared" si="34"/>
        <v>EngramEntry_BossEssence_Hydro_C</v>
      </c>
      <c r="J124" s="46" t="str">
        <f t="shared" si="35"/>
        <v>OverrideNamedEngramEntries=(EngramEntry_BossEssence_Hydro_C,EngramHidden=true)</v>
      </c>
      <c r="K124" s="2"/>
    </row>
    <row r="125">
      <c r="A125" s="7"/>
      <c r="B125" s="7"/>
      <c r="C125" s="45" t="str">
        <f t="shared" si="31"/>
        <v>#VALUE!</v>
      </c>
      <c r="D125" s="45" t="str">
        <f t="shared" si="36"/>
        <v>#VALUE!</v>
      </c>
      <c r="E125" s="8" t="s">
        <v>1809</v>
      </c>
      <c r="F125" s="8" t="s">
        <v>1810</v>
      </c>
      <c r="G125" s="45" t="str">
        <f t="shared" si="33"/>
        <v>cheat gfi PrimalItemConsumable_BossEssence_Nature_C 1 0 0</v>
      </c>
      <c r="H125" s="8" t="s">
        <v>1811</v>
      </c>
      <c r="I125" s="45" t="str">
        <f t="shared" si="34"/>
        <v>EngramEntry_BossEssence_Nature_C</v>
      </c>
      <c r="J125" s="45" t="str">
        <f t="shared" si="35"/>
        <v>OverrideNamedEngramEntries=(EngramEntry_BossEssence_Nature_C,EngramHidden=true)</v>
      </c>
      <c r="K125" s="2"/>
    </row>
    <row r="126">
      <c r="A126" s="7"/>
      <c r="B126" s="7"/>
      <c r="C126" s="46" t="str">
        <f t="shared" si="31"/>
        <v>#VALUE!</v>
      </c>
      <c r="D126" s="46" t="str">
        <f t="shared" si="36"/>
        <v>#VALUE!</v>
      </c>
      <c r="E126" s="11" t="s">
        <v>1812</v>
      </c>
      <c r="F126" s="11" t="s">
        <v>1813</v>
      </c>
      <c r="G126" s="46" t="str">
        <f t="shared" si="33"/>
        <v>cheat gfi PrimalItemConsumable_BossEssence_Storm_C 1 0 0</v>
      </c>
      <c r="H126" s="11" t="s">
        <v>1814</v>
      </c>
      <c r="I126" s="46" t="str">
        <f t="shared" si="34"/>
        <v>EngramEntry_BossEssence_Storm_C</v>
      </c>
      <c r="J126" s="46" t="str">
        <f t="shared" si="35"/>
        <v>OverrideNamedEngramEntries=(EngramEntry_BossEssence_Storm_C,EngramHidden=true)</v>
      </c>
      <c r="K126" s="2"/>
    </row>
    <row r="127">
      <c r="A127" s="7"/>
      <c r="B127" s="7"/>
      <c r="C127" s="45" t="str">
        <f t="shared" si="31"/>
        <v>#VALUE!</v>
      </c>
      <c r="D127" s="45" t="str">
        <f t="shared" si="36"/>
        <v>#VALUE!</v>
      </c>
      <c r="E127" s="8" t="s">
        <v>1815</v>
      </c>
      <c r="F127" s="8" t="s">
        <v>1816</v>
      </c>
      <c r="G127" s="45" t="str">
        <f t="shared" si="33"/>
        <v>cheat gfi PrimalItemConsumable_BossEssence_Volcanic_C 1 0 0</v>
      </c>
      <c r="H127" s="8" t="s">
        <v>1817</v>
      </c>
      <c r="I127" s="45" t="str">
        <f t="shared" si="34"/>
        <v>EngramEntry_BossEssence_Volcanic_C</v>
      </c>
      <c r="J127" s="45" t="str">
        <f t="shared" si="35"/>
        <v>OverrideNamedEngramEntries=(EngramEntry_BossEssence_Volcanic_C,EngramHidden=true)</v>
      </c>
      <c r="K127" s="2"/>
    </row>
    <row r="128">
      <c r="A128" s="7"/>
      <c r="B128" s="7"/>
      <c r="C128" s="46">
        <f t="shared" si="31"/>
        <v>0</v>
      </c>
      <c r="D128" s="46" t="str">
        <f t="shared" si="36"/>
        <v>PrimalItemResource_Esse</v>
      </c>
      <c r="E128" s="11" t="s">
        <v>1818</v>
      </c>
      <c r="F128" s="11" t="s">
        <v>1819</v>
      </c>
      <c r="G128" s="46" t="str">
        <f t="shared" si="33"/>
        <v>cheat gfi PrimalItemResource_Essence_Earth_C 1 0 0</v>
      </c>
      <c r="H128" s="11" t="s">
        <v>1820</v>
      </c>
      <c r="I128" s="46" t="str">
        <f t="shared" si="34"/>
        <v>EngramEntry_Essence_Earth_C</v>
      </c>
      <c r="J128" s="46" t="str">
        <f t="shared" si="35"/>
        <v>OverrideNamedEngramEntries=(EngramEntry_Essence_Earth_C,EngramHidden=true)</v>
      </c>
      <c r="K128" s="2"/>
    </row>
    <row r="129">
      <c r="A129" s="7"/>
      <c r="B129" s="7"/>
      <c r="C129" s="45">
        <f t="shared" si="31"/>
        <v>0</v>
      </c>
      <c r="D129" s="45" t="str">
        <f t="shared" si="36"/>
        <v>PrimalItemResource_Esse</v>
      </c>
      <c r="E129" s="8" t="s">
        <v>1821</v>
      </c>
      <c r="F129" s="8" t="s">
        <v>1822</v>
      </c>
      <c r="G129" s="45" t="str">
        <f t="shared" si="33"/>
        <v>cheat gfi PrimalItemResource_Essence_Electric_C 1 0 0</v>
      </c>
      <c r="H129" s="8" t="s">
        <v>1823</v>
      </c>
      <c r="I129" s="45" t="str">
        <f t="shared" si="34"/>
        <v>EngramEntry_Essence_Electric_C</v>
      </c>
      <c r="J129" s="45" t="str">
        <f t="shared" si="35"/>
        <v>OverrideNamedEngramEntries=(EngramEntry_Essence_Electric_C,EngramHidden=true)</v>
      </c>
      <c r="K129" s="2"/>
    </row>
    <row r="130">
      <c r="A130" s="7"/>
      <c r="B130" s="7"/>
      <c r="C130" s="46">
        <f t="shared" si="31"/>
        <v>0</v>
      </c>
      <c r="D130" s="46" t="str">
        <f t="shared" si="36"/>
        <v>PrimalItemResource_Esse</v>
      </c>
      <c r="E130" s="11" t="s">
        <v>1824</v>
      </c>
      <c r="F130" s="11" t="s">
        <v>1825</v>
      </c>
      <c r="G130" s="46" t="str">
        <f t="shared" si="33"/>
        <v>cheat gfi PrimalItemResource_Essence_Frost_C 1 0 0</v>
      </c>
      <c r="H130" s="11" t="s">
        <v>1826</v>
      </c>
      <c r="I130" s="46" t="str">
        <f t="shared" si="34"/>
        <v>EngramEntry_Essence_Frost_C</v>
      </c>
      <c r="J130" s="46" t="str">
        <f t="shared" si="35"/>
        <v>OverrideNamedEngramEntries=(EngramEntry_Essence_Frost_C,EngramHidden=true)</v>
      </c>
      <c r="K130" s="2"/>
    </row>
    <row r="131">
      <c r="A131" s="7"/>
      <c r="B131" s="7"/>
      <c r="C131" s="45">
        <f t="shared" si="31"/>
        <v>0</v>
      </c>
      <c r="D131" s="45" t="str">
        <f t="shared" si="36"/>
        <v>PrimalItemResource_Esse</v>
      </c>
      <c r="E131" s="8" t="s">
        <v>1827</v>
      </c>
      <c r="F131" s="8" t="s">
        <v>1828</v>
      </c>
      <c r="G131" s="45" t="str">
        <f t="shared" si="33"/>
        <v>cheat gfi PrimalItemResource_Essence_Ghost_C 1 0 0</v>
      </c>
      <c r="H131" s="8" t="s">
        <v>1829</v>
      </c>
      <c r="I131" s="45" t="str">
        <f t="shared" si="34"/>
        <v>EngramEntry_Essence_Ghost_C</v>
      </c>
      <c r="J131" s="45" t="str">
        <f t="shared" si="35"/>
        <v>OverrideNamedEngramEntries=(EngramEntry_Essence_Ghost_C,EngramHidden=true)</v>
      </c>
      <c r="K131" s="2"/>
    </row>
    <row r="132">
      <c r="A132" s="7"/>
      <c r="B132" s="7"/>
      <c r="C132" s="46">
        <f t="shared" si="31"/>
        <v>0</v>
      </c>
      <c r="D132" s="46" t="str">
        <f t="shared" si="36"/>
        <v>PrimalItemResource_Esse</v>
      </c>
      <c r="E132" s="11" t="s">
        <v>1830</v>
      </c>
      <c r="F132" s="11" t="s">
        <v>1831</v>
      </c>
      <c r="G132" s="46" t="str">
        <f t="shared" si="33"/>
        <v>cheat gfi PrimalItemResource_Essence_Hydro_C 1 0 0</v>
      </c>
      <c r="H132" s="11" t="s">
        <v>1832</v>
      </c>
      <c r="I132" s="46" t="str">
        <f t="shared" si="34"/>
        <v>EngramEntry_Essence_Hydro_C</v>
      </c>
      <c r="J132" s="46" t="str">
        <f t="shared" si="35"/>
        <v>OverrideNamedEngramEntries=(EngramEntry_Essence_Hydro_C,EngramHidden=true)</v>
      </c>
      <c r="K132" s="2"/>
    </row>
    <row r="133">
      <c r="A133" s="7"/>
      <c r="B133" s="7"/>
      <c r="C133" s="45">
        <f t="shared" si="31"/>
        <v>0</v>
      </c>
      <c r="D133" s="45" t="str">
        <f t="shared" si="36"/>
        <v>PrimalItemResource_Esse</v>
      </c>
      <c r="E133" s="8" t="s">
        <v>1833</v>
      </c>
      <c r="F133" s="8" t="s">
        <v>1834</v>
      </c>
      <c r="G133" s="45" t="str">
        <f t="shared" si="33"/>
        <v>cheat gfi PrimalItemResource_Essence_Nature_C 1 0 0</v>
      </c>
      <c r="H133" s="8" t="s">
        <v>1835</v>
      </c>
      <c r="I133" s="45" t="str">
        <f t="shared" si="34"/>
        <v>EngramEntry_Essence_Nature_C</v>
      </c>
      <c r="J133" s="45" t="str">
        <f t="shared" si="35"/>
        <v>OverrideNamedEngramEntries=(EngramEntry_Essence_Nature_C,EngramHidden=true)</v>
      </c>
      <c r="K133" s="2"/>
    </row>
    <row r="134">
      <c r="A134" s="7"/>
      <c r="B134" s="7"/>
      <c r="C134" s="46">
        <f t="shared" si="31"/>
        <v>0</v>
      </c>
      <c r="D134" s="46" t="str">
        <f t="shared" si="36"/>
        <v>PrimalItemResource_Esse</v>
      </c>
      <c r="E134" s="11" t="s">
        <v>1836</v>
      </c>
      <c r="F134" s="11" t="s">
        <v>1837</v>
      </c>
      <c r="G134" s="46" t="str">
        <f t="shared" si="33"/>
        <v>cheat gfi PrimalItemResource_Essence_Plague_C 1 0 0</v>
      </c>
      <c r="H134" s="11" t="s">
        <v>1838</v>
      </c>
      <c r="I134" s="46" t="str">
        <f t="shared" si="34"/>
        <v>EngramEntry_Essence_Plague_C</v>
      </c>
      <c r="J134" s="46" t="str">
        <f t="shared" si="35"/>
        <v>OverrideNamedEngramEntries=(EngramEntry_Essence_Plague_C,EngramHidden=true)</v>
      </c>
      <c r="K134" s="2"/>
    </row>
    <row r="135">
      <c r="A135" s="7"/>
      <c r="B135" s="7"/>
      <c r="C135" s="45">
        <f t="shared" si="31"/>
        <v>0</v>
      </c>
      <c r="D135" s="45" t="str">
        <f t="shared" si="36"/>
        <v>PrimalItemResource_Esse</v>
      </c>
      <c r="E135" s="8" t="s">
        <v>1839</v>
      </c>
      <c r="F135" s="8" t="s">
        <v>1840</v>
      </c>
      <c r="G135" s="45" t="str">
        <f t="shared" si="33"/>
        <v>cheat gfi PrimalItemResource_Essence_Plasma_C 1 0 0</v>
      </c>
      <c r="H135" s="8" t="s">
        <v>1841</v>
      </c>
      <c r="I135" s="45" t="str">
        <f t="shared" si="34"/>
        <v>EngramEntry_Essence_Plasma_C</v>
      </c>
      <c r="J135" s="45" t="str">
        <f t="shared" si="35"/>
        <v>OverrideNamedEngramEntries=(EngramEntry_Essence_Plasma_C,EngramHidden=true)</v>
      </c>
      <c r="K135" s="2"/>
    </row>
    <row r="136">
      <c r="A136" s="7"/>
      <c r="B136" s="7"/>
      <c r="C136" s="46">
        <f t="shared" si="31"/>
        <v>0</v>
      </c>
      <c r="D136" s="46" t="str">
        <f t="shared" si="36"/>
        <v>PrimalItemResource_Esse</v>
      </c>
      <c r="E136" s="11" t="s">
        <v>1842</v>
      </c>
      <c r="F136" s="11" t="s">
        <v>1843</v>
      </c>
      <c r="G136" s="46" t="str">
        <f t="shared" si="33"/>
        <v>cheat gfi PrimalItemResource_Essence_Volcanic_C 1 0 0</v>
      </c>
      <c r="H136" s="11" t="s">
        <v>1844</v>
      </c>
      <c r="I136" s="46" t="str">
        <f t="shared" si="34"/>
        <v>EngramEntry_Essence_Volcanic_C</v>
      </c>
      <c r="J136" s="46" t="str">
        <f t="shared" si="35"/>
        <v>OverrideNamedEngramEntries=(EngramEntry_Essence_Volcanic_C,EngramHidden=true)</v>
      </c>
      <c r="K136" s="2"/>
    </row>
    <row r="137">
      <c r="A137" s="7"/>
      <c r="B137" s="7"/>
      <c r="C137" s="45" t="str">
        <f t="shared" si="31"/>
        <v>#VALUE!</v>
      </c>
      <c r="D137" s="45" t="str">
        <f t="shared" si="36"/>
        <v>#VALUE!</v>
      </c>
      <c r="E137" s="8" t="s">
        <v>1845</v>
      </c>
      <c r="F137" s="8" t="s">
        <v>1846</v>
      </c>
      <c r="G137" s="45" t="str">
        <f t="shared" si="33"/>
        <v>cheat gfi PrimalItemConsumable_Feather_Apex_C 1 0 0</v>
      </c>
      <c r="H137" s="8" t="s">
        <v>1847</v>
      </c>
      <c r="I137" s="45" t="str">
        <f t="shared" si="34"/>
        <v>EngramEntry_Feather_Apex_C</v>
      </c>
      <c r="J137" s="45" t="str">
        <f t="shared" si="35"/>
        <v>OverrideNamedEngramEntries=(EngramEntry_Feather_Apex_C,EngramHidden=true)</v>
      </c>
      <c r="K137" s="2"/>
    </row>
    <row r="138">
      <c r="A138" s="7"/>
      <c r="B138" s="7"/>
      <c r="C138" s="46">
        <f t="shared" si="31"/>
        <v>0</v>
      </c>
      <c r="D138" s="46" t="str">
        <f t="shared" si="36"/>
        <v>PrimalItemResource_Gaso</v>
      </c>
      <c r="E138" s="11" t="s">
        <v>1848</v>
      </c>
      <c r="F138" s="11" t="s">
        <v>1849</v>
      </c>
      <c r="G138" s="46" t="str">
        <f t="shared" si="33"/>
        <v>cheat gfi PrimalItemResource_Gasoline_Anky_C 1 0 0</v>
      </c>
      <c r="H138" s="11" t="s">
        <v>1850</v>
      </c>
      <c r="I138" s="46" t="str">
        <f t="shared" si="34"/>
        <v>EngramEntry_Gasoline_Anky_C</v>
      </c>
      <c r="J138" s="46" t="str">
        <f t="shared" si="35"/>
        <v>OverrideNamedEngramEntries=(EngramEntry_Gasoline_Anky_C,EngramHidden=true)</v>
      </c>
      <c r="K138" s="2"/>
    </row>
    <row r="139">
      <c r="A139" s="7"/>
      <c r="B139" s="7"/>
      <c r="C139" s="45">
        <f t="shared" si="31"/>
        <v>0</v>
      </c>
      <c r="D139" s="45" t="str">
        <f t="shared" si="36"/>
        <v>PrimalItemResource_Gear</v>
      </c>
      <c r="E139" s="8" t="s">
        <v>1851</v>
      </c>
      <c r="F139" s="8" t="s">
        <v>1852</v>
      </c>
      <c r="G139" s="45" t="str">
        <f t="shared" si="33"/>
        <v>cheat gfi PrimalItemResource_Gear_C 1 0 0</v>
      </c>
      <c r="H139" s="8" t="s">
        <v>1853</v>
      </c>
      <c r="I139" s="45" t="str">
        <f t="shared" si="34"/>
        <v>EngramEntry_Gear_C</v>
      </c>
      <c r="J139" s="45" t="str">
        <f t="shared" si="35"/>
        <v>OverrideNamedEngramEntries=(EngramEntry_Gear_C,EngramHidden=true)</v>
      </c>
      <c r="K139" s="2"/>
    </row>
    <row r="140">
      <c r="A140" s="7"/>
      <c r="B140" s="7"/>
      <c r="C140" s="46"/>
      <c r="D140" s="46"/>
      <c r="E140" s="11" t="s">
        <v>1854</v>
      </c>
      <c r="F140" s="11" t="s">
        <v>1855</v>
      </c>
      <c r="G140" s="46" t="str">
        <f t="shared" si="33"/>
        <v>cheat gfi PrimalItemResource_Gunpowder_Child_C 1 0 0</v>
      </c>
      <c r="H140" s="11" t="s">
        <v>1856</v>
      </c>
      <c r="I140" s="46" t="str">
        <f t="shared" si="34"/>
        <v>EngramEntry_Gunpowder_Child_C</v>
      </c>
      <c r="J140" s="46" t="str">
        <f t="shared" si="35"/>
        <v>OverrideNamedEngramEntries=(EngramEntry_Gunpowder_Child_C,EngramHidden=true)</v>
      </c>
      <c r="K140" s="2"/>
    </row>
    <row r="141">
      <c r="A141" s="7"/>
      <c r="B141" s="7"/>
      <c r="C141" s="45" t="str">
        <f>IF(D141="PrimalItemConsumable_Blood",1)+IF(D141="PrimalItemConsumable_Narcotic",2)+IF(D141="PrimalItemConsumable_Seed",3)+IF(D141="PrimalItemConsumable_Fruit",4)+IF(D141="PrimalItemConsumable_Egg_Unfertilized",5)+IF(D141="PrimalItemConsumable_Kibble",6)+IF(D141="PrimalItemConsumable_Potion",7)+IF(D141="PrimalItemConsumable_XP",8)+IF(D141="PrimalItemConsumable_Food",9)+IF(D141="PrimalItemResource",10)+IF(D141="PrimalItemResource_Hide",11)+IF(D141="PrimalItemResource_MetalIngot",12)+IF(D141="PrimalItemConsumable_Summon",13)+IF(D141="PrimalItemStructure",14)+IF(D141="PrimalItem_Weapon",15)+IF(D141="PrimalItemAmmo",16)+IF(D141="PrimalItemArmor",17)+IF(D141="PrimalItemSaddle",18)+IF(D141="PrimalItemConsumable_UnderwaterEgg",19)+IF(D141="PrimalItemConsumable_Egg",20)</f>
        <v>#VALUE!</v>
      </c>
      <c r="D141" s="45" t="str">
        <f>Left(F141,find("Resource",F141)+12)</f>
        <v>#VALUE!</v>
      </c>
      <c r="E141" s="8" t="s">
        <v>1857</v>
      </c>
      <c r="F141" s="8" t="s">
        <v>1858</v>
      </c>
      <c r="G141" s="45" t="str">
        <f t="shared" si="33"/>
        <v>cheat gfi PrimalItem_Heart_Celestial_C 1 0 0</v>
      </c>
      <c r="H141" s="8" t="s">
        <v>1859</v>
      </c>
      <c r="I141" s="45" t="str">
        <f t="shared" si="34"/>
        <v>EngramEntry_Heart_Celestial_C</v>
      </c>
      <c r="J141" s="45" t="str">
        <f t="shared" si="35"/>
        <v>OverrideNamedEngramEntries=(EngramEntry_Heart_Celestial_C,EngramHidden=true)</v>
      </c>
      <c r="K141" s="2"/>
    </row>
    <row r="142">
      <c r="A142" s="7"/>
      <c r="B142" s="7"/>
      <c r="C142" s="46"/>
      <c r="D142" s="46"/>
      <c r="E142" s="11" t="s">
        <v>1860</v>
      </c>
      <c r="F142" s="11" t="s">
        <v>1861</v>
      </c>
      <c r="G142" s="46" t="str">
        <f t="shared" si="33"/>
        <v>cheat gfi PrimalItem_Heart_Demonic_C 1 0 0</v>
      </c>
      <c r="H142" s="11" t="s">
        <v>1862</v>
      </c>
      <c r="I142" s="46" t="str">
        <f t="shared" si="34"/>
        <v>EngramEntry_Heart_Demonic_C</v>
      </c>
      <c r="J142" s="46" t="str">
        <f t="shared" si="35"/>
        <v>OverrideNamedEngramEntries=(EngramEntry_Heart_Demonic_C,EngramHidden=true)</v>
      </c>
      <c r="K142" s="2"/>
    </row>
    <row r="143">
      <c r="A143" s="7"/>
      <c r="B143" s="7"/>
      <c r="C143" s="45"/>
      <c r="D143" s="45"/>
      <c r="E143" s="8" t="s">
        <v>1863</v>
      </c>
      <c r="F143" s="8" t="s">
        <v>1864</v>
      </c>
      <c r="G143" s="45" t="str">
        <f t="shared" si="33"/>
        <v>cheat gfi PrimalItem_Heart_Earth_C 1 0 0</v>
      </c>
      <c r="H143" s="8" t="s">
        <v>1865</v>
      </c>
      <c r="I143" s="45" t="str">
        <f t="shared" si="34"/>
        <v>EngramEntry_Heart_Earth_C</v>
      </c>
      <c r="J143" s="45" t="str">
        <f t="shared" si="35"/>
        <v>OverrideNamedEngramEntries=(EngramEntry_Heart_Earth_C,EngramHidden=true)</v>
      </c>
      <c r="K143" s="2"/>
    </row>
    <row r="144">
      <c r="A144" s="7"/>
      <c r="B144" s="7"/>
      <c r="C144" s="46" t="str">
        <f t="shared" ref="C144:C145" si="37">IF(D144="PrimalItemConsumable_Blood",1)+IF(D144="PrimalItemConsumable_Narcotic",2)+IF(D144="PrimalItemConsumable_Seed",3)+IF(D144="PrimalItemConsumable_Fruit",4)+IF(D144="PrimalItemConsumable_Egg_Unfertilized",5)+IF(D144="PrimalItemConsumable_Kibble",6)+IF(D144="PrimalItemConsumable_Potion",7)+IF(D144="PrimalItemConsumable_XP",8)+IF(D144="PrimalItemConsumable_Food",9)+IF(D144="PrimalItemResource",10)+IF(D144="PrimalItemResource_Hide",11)+IF(D144="PrimalItemResource_MetalIngot",12)+IF(D144="PrimalItemConsumable_Summon",13)+IF(D144="PrimalItemStructure",14)+IF(D144="PrimalItem_Weapon",15)+IF(D144="PrimalItemAmmo",16)+IF(D144="PrimalItemArmor",17)+IF(D144="PrimalItemSaddle",18)+IF(D144="PrimalItemConsumable_UnderwaterEgg",19)+IF(D144="PrimalItemConsumable_Egg",20)</f>
        <v>#VALUE!</v>
      </c>
      <c r="D144" s="46" t="str">
        <f t="shared" ref="D144:D145" si="38">Left(F144,find("Resource",F144)+12)</f>
        <v>#VALUE!</v>
      </c>
      <c r="E144" s="11" t="s">
        <v>1866</v>
      </c>
      <c r="F144" s="11" t="s">
        <v>1867</v>
      </c>
      <c r="G144" s="46" t="str">
        <f t="shared" si="33"/>
        <v>cheat gfi PrimalItem_Heart_Frost_C 1 0 0</v>
      </c>
      <c r="H144" s="11" t="s">
        <v>1868</v>
      </c>
      <c r="I144" s="46" t="str">
        <f t="shared" si="34"/>
        <v>EngramEntry_Heart_Frost_C</v>
      </c>
      <c r="J144" s="46" t="str">
        <f t="shared" si="35"/>
        <v>OverrideNamedEngramEntries=(EngramEntry_Heart_Frost_C,EngramHidden=true)</v>
      </c>
      <c r="K144" s="2"/>
    </row>
    <row r="145">
      <c r="A145" s="7"/>
      <c r="B145" s="7"/>
      <c r="C145" s="45" t="str">
        <f t="shared" si="37"/>
        <v>#VALUE!</v>
      </c>
      <c r="D145" s="45" t="str">
        <f t="shared" si="38"/>
        <v>#VALUE!</v>
      </c>
      <c r="E145" s="8" t="s">
        <v>1869</v>
      </c>
      <c r="F145" s="8" t="s">
        <v>1870</v>
      </c>
      <c r="G145" s="45" t="str">
        <f t="shared" si="33"/>
        <v>cheat gfi PrimalItem_Heart_Hydro_C 1 0 0</v>
      </c>
      <c r="H145" s="8" t="s">
        <v>1871</v>
      </c>
      <c r="I145" s="45" t="str">
        <f t="shared" si="34"/>
        <v>EngramEntry_Heart_Hydro_C</v>
      </c>
      <c r="J145" s="45" t="str">
        <f t="shared" si="35"/>
        <v>OverrideNamedEngramEntries=(EngramEntry_Heart_Hydro_C,EngramHidden=true)</v>
      </c>
      <c r="K145" s="2"/>
    </row>
    <row r="146">
      <c r="A146" s="7"/>
      <c r="B146" s="7"/>
      <c r="C146" s="46"/>
      <c r="D146" s="46"/>
      <c r="E146" s="11" t="s">
        <v>1872</v>
      </c>
      <c r="F146" s="11" t="s">
        <v>1873</v>
      </c>
      <c r="G146" s="46" t="str">
        <f t="shared" si="33"/>
        <v>cheat gfi PrimalItem_Heart_Nature_C 1 0 0</v>
      </c>
      <c r="H146" s="11" t="s">
        <v>1874</v>
      </c>
      <c r="I146" s="46" t="str">
        <f t="shared" si="34"/>
        <v>EngramEntry_Heart_Nature_C</v>
      </c>
      <c r="J146" s="46" t="str">
        <f t="shared" si="35"/>
        <v>OverrideNamedEngramEntries=(EngramEntry_Heart_Nature_C,EngramHidden=true)</v>
      </c>
      <c r="K146" s="2"/>
    </row>
    <row r="147">
      <c r="A147" s="7"/>
      <c r="B147" s="7"/>
      <c r="C147" s="45" t="str">
        <f t="shared" ref="C147:C161" si="39">IF(D147="PrimalItemConsumable_Blood",1)+IF(D147="PrimalItemConsumable_Narcotic",2)+IF(D147="PrimalItemConsumable_Seed",3)+IF(D147="PrimalItemConsumable_Fruit",4)+IF(D147="PrimalItemConsumable_Egg_Unfertilized",5)+IF(D147="PrimalItemConsumable_Kibble",6)+IF(D147="PrimalItemConsumable_Potion",7)+IF(D147="PrimalItemConsumable_XP",8)+IF(D147="PrimalItemConsumable_Food",9)+IF(D147="PrimalItemResource",10)+IF(D147="PrimalItemResource_Hide",11)+IF(D147="PrimalItemResource_MetalIngot",12)+IF(D147="PrimalItemConsumable_Summon",13)+IF(D147="PrimalItemStructure",14)+IF(D147="PrimalItem_Weapon",15)+IF(D147="PrimalItemAmmo",16)+IF(D147="PrimalItemArmor",17)+IF(D147="PrimalItemSaddle",18)+IF(D147="PrimalItemConsumable_UnderwaterEgg",19)+IF(D147="PrimalItemConsumable_Egg",20)</f>
        <v>#VALUE!</v>
      </c>
      <c r="D147" s="45" t="str">
        <f t="shared" ref="D147:D161" si="40">Left(F147,find("Resource",F147)+12)</f>
        <v>#VALUE!</v>
      </c>
      <c r="E147" s="8" t="s">
        <v>1875</v>
      </c>
      <c r="F147" s="8" t="s">
        <v>1876</v>
      </c>
      <c r="G147" s="45" t="str">
        <f t="shared" si="33"/>
        <v>cheat gfi PrimalItem_Heart_Storm_C 1 0 0</v>
      </c>
      <c r="H147" s="8" t="s">
        <v>1877</v>
      </c>
      <c r="I147" s="45" t="str">
        <f t="shared" si="34"/>
        <v>EngramEntry_Heart_Storm_C</v>
      </c>
      <c r="J147" s="45" t="str">
        <f t="shared" si="35"/>
        <v>OverrideNamedEngramEntries=(EngramEntry_Heart_Storm_C,EngramHidden=true)</v>
      </c>
      <c r="K147" s="2"/>
    </row>
    <row r="148">
      <c r="A148" s="7"/>
      <c r="B148" s="7"/>
      <c r="C148" s="46" t="str">
        <f t="shared" si="39"/>
        <v>#VALUE!</v>
      </c>
      <c r="D148" s="46" t="str">
        <f t="shared" si="40"/>
        <v>#VALUE!</v>
      </c>
      <c r="E148" s="11" t="s">
        <v>1878</v>
      </c>
      <c r="F148" s="11" t="s">
        <v>1879</v>
      </c>
      <c r="G148" s="46" t="str">
        <f t="shared" si="33"/>
        <v>cheat gfi PrimalItem_Heart_Volcanic_C 1 0 0</v>
      </c>
      <c r="H148" s="11" t="s">
        <v>1880</v>
      </c>
      <c r="I148" s="46" t="str">
        <f t="shared" si="34"/>
        <v>EngramEntry_Heart_Volcanic_C</v>
      </c>
      <c r="J148" s="46" t="str">
        <f t="shared" si="35"/>
        <v>OverrideNamedEngramEntries=(EngramEntry_Heart_Volcanic_C,EngramHidden=true)</v>
      </c>
      <c r="K148" s="2"/>
    </row>
    <row r="149">
      <c r="A149" s="7"/>
      <c r="B149" s="7"/>
      <c r="C149" s="45">
        <f t="shared" si="39"/>
        <v>11</v>
      </c>
      <c r="D149" s="45" t="str">
        <f t="shared" si="40"/>
        <v>PrimalItemResource_Hide</v>
      </c>
      <c r="E149" s="8" t="s">
        <v>1881</v>
      </c>
      <c r="F149" s="8" t="s">
        <v>1882</v>
      </c>
      <c r="G149" s="45" t="str">
        <f t="shared" si="33"/>
        <v>cheat gfi PrimalItemResource_Hide_Alpha_C 1 0 0</v>
      </c>
      <c r="H149" s="8" t="s">
        <v>1883</v>
      </c>
      <c r="I149" s="45" t="str">
        <f t="shared" si="34"/>
        <v>EngramEntry_Hide_Alpha_C</v>
      </c>
      <c r="J149" s="45" t="str">
        <f t="shared" si="35"/>
        <v>OverrideNamedEngramEntries=(EngramEntry_Hide_Alpha_C,EngramHidden=true)</v>
      </c>
      <c r="K149" s="2"/>
    </row>
    <row r="150">
      <c r="A150" s="7"/>
      <c r="B150" s="7"/>
      <c r="C150" s="46">
        <f t="shared" si="39"/>
        <v>11</v>
      </c>
      <c r="D150" s="46" t="str">
        <f t="shared" si="40"/>
        <v>PrimalItemResource_Hide</v>
      </c>
      <c r="E150" s="11" t="s">
        <v>1884</v>
      </c>
      <c r="F150" s="11" t="s">
        <v>1885</v>
      </c>
      <c r="G150" s="46" t="str">
        <f t="shared" si="33"/>
        <v>cheat gfi PrimalItemResource_Hide_Apex_C 1 0 0</v>
      </c>
      <c r="H150" s="11" t="s">
        <v>1886</v>
      </c>
      <c r="I150" s="46" t="str">
        <f t="shared" si="34"/>
        <v>EngramEntry_Hide_Apex_C</v>
      </c>
      <c r="J150" s="46" t="str">
        <f t="shared" si="35"/>
        <v>OverrideNamedEngramEntries=(EngramEntry_Hide_Apex_C,EngramHidden=true)</v>
      </c>
      <c r="K150" s="2"/>
    </row>
    <row r="151">
      <c r="A151" s="7"/>
      <c r="B151" s="7"/>
      <c r="C151" s="45">
        <f t="shared" si="39"/>
        <v>11</v>
      </c>
      <c r="D151" s="45" t="str">
        <f t="shared" si="40"/>
        <v>PrimalItemResource_Hide</v>
      </c>
      <c r="E151" s="8" t="s">
        <v>1887</v>
      </c>
      <c r="F151" s="8" t="s">
        <v>1888</v>
      </c>
      <c r="G151" s="45" t="str">
        <f t="shared" si="33"/>
        <v>cheat gfi PrimalItemResource_Hide_Celestial_C 1 0 0</v>
      </c>
      <c r="H151" s="8" t="s">
        <v>1889</v>
      </c>
      <c r="I151" s="45" t="str">
        <f t="shared" si="34"/>
        <v>EngramEntry_Hide_Celestial_C</v>
      </c>
      <c r="J151" s="45" t="str">
        <f t="shared" si="35"/>
        <v>OverrideNamedEngramEntries=(EngramEntry_Hide_Celestial_C,EngramHidden=true)</v>
      </c>
      <c r="K151" s="2"/>
    </row>
    <row r="152">
      <c r="A152" s="7"/>
      <c r="B152" s="7"/>
      <c r="C152" s="46">
        <f t="shared" si="39"/>
        <v>11</v>
      </c>
      <c r="D152" s="46" t="str">
        <f t="shared" si="40"/>
        <v>PrimalItemResource_Hide</v>
      </c>
      <c r="E152" s="11" t="s">
        <v>1890</v>
      </c>
      <c r="F152" s="11" t="s">
        <v>1891</v>
      </c>
      <c r="G152" s="46" t="str">
        <f t="shared" si="33"/>
        <v>cheat gfi PrimalItemResource_Hide_Demonic_C 1 0 0</v>
      </c>
      <c r="H152" s="11" t="s">
        <v>1892</v>
      </c>
      <c r="I152" s="46" t="str">
        <f t="shared" si="34"/>
        <v>EngramEntry_Hide_Demonic_C</v>
      </c>
      <c r="J152" s="46" t="str">
        <f t="shared" si="35"/>
        <v>OverrideNamedEngramEntries=(EngramEntry_Hide_Demonic_C,EngramHidden=true)</v>
      </c>
      <c r="K152" s="2"/>
    </row>
    <row r="153">
      <c r="A153" s="7"/>
      <c r="B153" s="7"/>
      <c r="C153" s="45">
        <f t="shared" si="39"/>
        <v>11</v>
      </c>
      <c r="D153" s="45" t="str">
        <f t="shared" si="40"/>
        <v>PrimalItemResource_Hide</v>
      </c>
      <c r="E153" s="8" t="s">
        <v>1893</v>
      </c>
      <c r="F153" s="8" t="s">
        <v>1894</v>
      </c>
      <c r="G153" s="45" t="str">
        <f t="shared" si="33"/>
        <v>cheat gfi PrimalItemResource_Hide_Earth_C 1 0 0</v>
      </c>
      <c r="H153" s="8" t="s">
        <v>1895</v>
      </c>
      <c r="I153" s="45" t="str">
        <f t="shared" si="34"/>
        <v>EngramEntry_Hide_Earth_C</v>
      </c>
      <c r="J153" s="45" t="str">
        <f t="shared" si="35"/>
        <v>OverrideNamedEngramEntries=(EngramEntry_Hide_Earth_C,EngramHidden=true)</v>
      </c>
      <c r="K153" s="2"/>
    </row>
    <row r="154">
      <c r="A154" s="7"/>
      <c r="B154" s="7"/>
      <c r="C154" s="46">
        <f t="shared" si="39"/>
        <v>11</v>
      </c>
      <c r="D154" s="46" t="str">
        <f t="shared" si="40"/>
        <v>PrimalItemResource_Hide</v>
      </c>
      <c r="E154" s="11" t="s">
        <v>1896</v>
      </c>
      <c r="F154" s="11" t="s">
        <v>1897</v>
      </c>
      <c r="G154" s="46" t="str">
        <f t="shared" si="33"/>
        <v>cheat gfi PrimalItemResource_Hide_Electric_C 1 0 0</v>
      </c>
      <c r="H154" s="11" t="s">
        <v>1898</v>
      </c>
      <c r="I154" s="46" t="str">
        <f t="shared" si="34"/>
        <v>EngramEntry_Hide_Electric_C</v>
      </c>
      <c r="J154" s="46" t="str">
        <f t="shared" si="35"/>
        <v>OverrideNamedEngramEntries=(EngramEntry_Hide_Electric_C,EngramHidden=true)</v>
      </c>
      <c r="K154" s="2"/>
    </row>
    <row r="155">
      <c r="A155" s="7"/>
      <c r="B155" s="7"/>
      <c r="C155" s="45">
        <f t="shared" si="39"/>
        <v>11</v>
      </c>
      <c r="D155" s="45" t="str">
        <f t="shared" si="40"/>
        <v>PrimalItemResource_Hide</v>
      </c>
      <c r="E155" s="8" t="s">
        <v>1899</v>
      </c>
      <c r="F155" s="8" t="s">
        <v>1900</v>
      </c>
      <c r="G155" s="45" t="str">
        <f t="shared" si="33"/>
        <v>cheat gfi PrimalItemResource_Hide_Frost_C 1 0 0</v>
      </c>
      <c r="H155" s="8" t="s">
        <v>1901</v>
      </c>
      <c r="I155" s="45" t="str">
        <f t="shared" si="34"/>
        <v>EngramEntry_Hide_Frost_C</v>
      </c>
      <c r="J155" s="45" t="str">
        <f t="shared" si="35"/>
        <v>OverrideNamedEngramEntries=(EngramEntry_Hide_Frost_C,EngramHidden=true)</v>
      </c>
      <c r="K155" s="2"/>
    </row>
    <row r="156">
      <c r="A156" s="7"/>
      <c r="B156" s="7"/>
      <c r="C156" s="46">
        <f t="shared" si="39"/>
        <v>11</v>
      </c>
      <c r="D156" s="46" t="str">
        <f t="shared" si="40"/>
        <v>PrimalItemResource_Hide</v>
      </c>
      <c r="E156" s="11" t="s">
        <v>1902</v>
      </c>
      <c r="F156" s="11" t="s">
        <v>1903</v>
      </c>
      <c r="G156" s="46" t="str">
        <f t="shared" si="33"/>
        <v>cheat gfi PrimalItemResource_Hide_Godly_C 1 0 0</v>
      </c>
      <c r="H156" s="11" t="s">
        <v>1904</v>
      </c>
      <c r="I156" s="46" t="str">
        <f t="shared" si="34"/>
        <v>EngramEntry_Hide_Godly_C</v>
      </c>
      <c r="J156" s="46" t="str">
        <f t="shared" si="35"/>
        <v>OverrideNamedEngramEntries=(EngramEntry_Hide_Godly_C,EngramHidden=true)</v>
      </c>
      <c r="K156" s="2"/>
    </row>
    <row r="157">
      <c r="A157" s="7"/>
      <c r="B157" s="7"/>
      <c r="C157" s="45">
        <f t="shared" si="39"/>
        <v>11</v>
      </c>
      <c r="D157" s="45" t="str">
        <f t="shared" si="40"/>
        <v>PrimalItemResource_Hide</v>
      </c>
      <c r="E157" s="8" t="s">
        <v>1905</v>
      </c>
      <c r="F157" s="8" t="s">
        <v>1906</v>
      </c>
      <c r="G157" s="45" t="str">
        <f t="shared" si="33"/>
        <v>cheat gfi PrimalItemResource_Hide_Hydro_C 1 0 0</v>
      </c>
      <c r="H157" s="8" t="s">
        <v>1907</v>
      </c>
      <c r="I157" s="45" t="str">
        <f t="shared" si="34"/>
        <v>EngramEntry_Hide_Hydro_C</v>
      </c>
      <c r="J157" s="45" t="str">
        <f t="shared" si="35"/>
        <v>OverrideNamedEngramEntries=(EngramEntry_Hide_Hydro_C,EngramHidden=true)</v>
      </c>
      <c r="K157" s="2"/>
    </row>
    <row r="158">
      <c r="A158" s="7"/>
      <c r="B158" s="7"/>
      <c r="C158" s="46">
        <f t="shared" si="39"/>
        <v>11</v>
      </c>
      <c r="D158" s="46" t="str">
        <f t="shared" si="40"/>
        <v>PrimalItemResource_Hide</v>
      </c>
      <c r="E158" s="11" t="s">
        <v>1908</v>
      </c>
      <c r="F158" s="11" t="s">
        <v>1909</v>
      </c>
      <c r="G158" s="46" t="str">
        <f t="shared" si="33"/>
        <v>cheat gfi PrimalItemResource_Hide_Nature_C 1 0 0</v>
      </c>
      <c r="H158" s="11" t="s">
        <v>1910</v>
      </c>
      <c r="I158" s="46" t="str">
        <f t="shared" si="34"/>
        <v>EngramEntry_Hide_Nature_C</v>
      </c>
      <c r="J158" s="46" t="str">
        <f t="shared" si="35"/>
        <v>OverrideNamedEngramEntries=(EngramEntry_Hide_Nature_C,EngramHidden=true)</v>
      </c>
      <c r="K158" s="2"/>
    </row>
    <row r="159">
      <c r="A159" s="7"/>
      <c r="B159" s="7"/>
      <c r="C159" s="45">
        <f t="shared" si="39"/>
        <v>11</v>
      </c>
      <c r="D159" s="45" t="str">
        <f t="shared" si="40"/>
        <v>PrimalItemResource_Hide</v>
      </c>
      <c r="E159" s="8" t="s">
        <v>1911</v>
      </c>
      <c r="F159" s="8" t="s">
        <v>1912</v>
      </c>
      <c r="G159" s="45" t="str">
        <f t="shared" si="33"/>
        <v>cheat gfi PrimalItemResource_Hide_Nuclear_C 1 0 0</v>
      </c>
      <c r="H159" s="8" t="s">
        <v>1913</v>
      </c>
      <c r="I159" s="45" t="str">
        <f t="shared" si="34"/>
        <v>EngramEntry_Hide_Nuclear_C</v>
      </c>
      <c r="J159" s="45" t="str">
        <f t="shared" si="35"/>
        <v>OverrideNamedEngramEntries=(EngramEntry_Hide_Nuclear_C,EngramHidden=true)</v>
      </c>
      <c r="K159" s="2"/>
    </row>
    <row r="160">
      <c r="A160" s="7"/>
      <c r="B160" s="7"/>
      <c r="C160" s="46">
        <f t="shared" si="39"/>
        <v>11</v>
      </c>
      <c r="D160" s="46" t="str">
        <f t="shared" si="40"/>
        <v>PrimalItemResource_Hide</v>
      </c>
      <c r="E160" s="11" t="s">
        <v>1914</v>
      </c>
      <c r="F160" s="11" t="s">
        <v>1915</v>
      </c>
      <c r="G160" s="46" t="str">
        <f t="shared" si="33"/>
        <v>cheat gfi PrimalItemResource_Hide_Volcanic_C 1 0 0</v>
      </c>
      <c r="H160" s="11" t="s">
        <v>1916</v>
      </c>
      <c r="I160" s="46" t="str">
        <f t="shared" si="34"/>
        <v>EngramEntry_Hide_Volcanic_C</v>
      </c>
      <c r="J160" s="46" t="str">
        <f t="shared" si="35"/>
        <v>OverrideNamedEngramEntries=(EngramEntry_Hide_Volcanic_C,EngramHidden=true)</v>
      </c>
      <c r="K160" s="2"/>
    </row>
    <row r="161">
      <c r="A161" s="7"/>
      <c r="B161" s="7"/>
      <c r="C161" s="45">
        <f t="shared" si="39"/>
        <v>11</v>
      </c>
      <c r="D161" s="45" t="str">
        <f t="shared" si="40"/>
        <v>PrimalItemResource_Hide</v>
      </c>
      <c r="E161" s="8" t="s">
        <v>1917</v>
      </c>
      <c r="F161" s="8" t="s">
        <v>1918</v>
      </c>
      <c r="G161" s="45" t="str">
        <f t="shared" si="33"/>
        <v>cheat gfi PrimalItemResource_Hide_Zombie_C 1 0 0</v>
      </c>
      <c r="H161" s="8" t="s">
        <v>1919</v>
      </c>
      <c r="I161" s="45" t="str">
        <f t="shared" si="34"/>
        <v>EngramEntry_Hide_Zombie_C</v>
      </c>
      <c r="J161" s="45" t="str">
        <f t="shared" si="35"/>
        <v>OverrideNamedEngramEntries=(EngramEntry_Hide_Zombie_C,EngramHidden=true)</v>
      </c>
      <c r="K161" s="2"/>
    </row>
    <row r="162">
      <c r="A162" s="7"/>
      <c r="B162" s="7"/>
      <c r="C162" s="46"/>
      <c r="D162" s="46"/>
      <c r="E162" s="11" t="s">
        <v>1920</v>
      </c>
      <c r="F162" s="11" t="s">
        <v>1921</v>
      </c>
      <c r="G162" s="46" t="str">
        <f t="shared" si="33"/>
        <v>cheat gfi PrimalItemConsumable_Honey_Celestial_C 1 0 0</v>
      </c>
      <c r="H162" s="11" t="s">
        <v>1922</v>
      </c>
      <c r="I162" s="46" t="str">
        <f t="shared" si="34"/>
        <v>EngramEntry_Honey_Celestial_C</v>
      </c>
      <c r="J162" s="46" t="str">
        <f t="shared" si="35"/>
        <v>OverrideNamedEngramEntries=(EngramEntry_Honey_Celestial_C,EngramHidden=true)</v>
      </c>
      <c r="K162" s="2"/>
    </row>
    <row r="163">
      <c r="A163" s="7"/>
      <c r="B163" s="7"/>
      <c r="C163" s="45" t="str">
        <f t="shared" ref="C163:C184" si="41">IF(D163="PrimalItemConsumable_Blood",1)+IF(D163="PrimalItemConsumable_Narcotic",2)+IF(D163="PrimalItemConsumable_Seed",3)+IF(D163="PrimalItemConsumable_Fruit",4)+IF(D163="PrimalItemConsumable_Egg_Unfertilized",5)+IF(D163="PrimalItemConsumable_Kibble",6)+IF(D163="PrimalItemConsumable_Potion",7)+IF(D163="PrimalItemConsumable_XP",8)+IF(D163="PrimalItemConsumable_Food",9)+IF(D163="PrimalItemResource",10)+IF(D163="PrimalItemResource_Hide",11)+IF(D163="PrimalItemResource_MetalIngot",12)+IF(D163="PrimalItemConsumable_Summon",13)+IF(D163="PrimalItemStructure",14)+IF(D163="PrimalItem_Weapon",15)+IF(D163="PrimalItemAmmo",16)+IF(D163="PrimalItemArmor",17)+IF(D163="PrimalItemSaddle",18)+IF(D163="PrimalItemConsumable_UnderwaterEgg",19)+IF(D163="PrimalItemConsumable_Egg",20)</f>
        <v>#VALUE!</v>
      </c>
      <c r="D163" s="45" t="str">
        <f t="shared" ref="D163:D184" si="42">Left(F163,find("Resource",F163)+12)</f>
        <v>#VALUE!</v>
      </c>
      <c r="E163" s="8" t="s">
        <v>1923</v>
      </c>
      <c r="F163" s="8" t="s">
        <v>1924</v>
      </c>
      <c r="G163" s="45" t="str">
        <f t="shared" si="33"/>
        <v>cheat gfi PrimalItemConsumable_Honey_Demonic_C 1 0 0</v>
      </c>
      <c r="H163" s="8" t="s">
        <v>1925</v>
      </c>
      <c r="I163" s="45" t="str">
        <f t="shared" si="34"/>
        <v>EngramEntry_Honey_Demonic_C</v>
      </c>
      <c r="J163" s="45" t="str">
        <f t="shared" si="35"/>
        <v>OverrideNamedEngramEntries=(EngramEntry_Honey_Demonic_C,EngramHidden=true)</v>
      </c>
      <c r="K163" s="2"/>
    </row>
    <row r="164">
      <c r="A164" s="7"/>
      <c r="B164" s="7"/>
      <c r="C164" s="46">
        <f t="shared" si="41"/>
        <v>0</v>
      </c>
      <c r="D164" s="46" t="str">
        <f t="shared" si="42"/>
        <v>PrimalItemResource_Mech</v>
      </c>
      <c r="E164" s="11" t="s">
        <v>1926</v>
      </c>
      <c r="F164" s="11" t="s">
        <v>1927</v>
      </c>
      <c r="G164" s="46" t="str">
        <f t="shared" si="33"/>
        <v>cheat gfi PrimalItemResource_MechanicalPart_C 1 0 0</v>
      </c>
      <c r="H164" s="11" t="s">
        <v>1928</v>
      </c>
      <c r="I164" s="46" t="str">
        <f t="shared" si="34"/>
        <v>EngramEntry_MechanicalPart_C</v>
      </c>
      <c r="J164" s="46" t="str">
        <f t="shared" si="35"/>
        <v>OverrideNamedEngramEntries=(EngramEntry_MechanicalPart_C,EngramHidden=true)</v>
      </c>
      <c r="K164" s="2"/>
    </row>
    <row r="165">
      <c r="A165" s="7"/>
      <c r="B165" s="7"/>
      <c r="C165" s="45">
        <f t="shared" si="41"/>
        <v>0</v>
      </c>
      <c r="D165" s="45" t="str">
        <f t="shared" si="42"/>
        <v>PrimalItemResource_Meta</v>
      </c>
      <c r="E165" s="8" t="s">
        <v>1929</v>
      </c>
      <c r="F165" s="8" t="s">
        <v>1930</v>
      </c>
      <c r="G165" s="45" t="str">
        <f t="shared" si="33"/>
        <v>cheat gfi PrimalItemResource_MetalIngot_Anky_C 1 0 0</v>
      </c>
      <c r="H165" s="8" t="s">
        <v>1931</v>
      </c>
      <c r="I165" s="45" t="str">
        <f t="shared" si="34"/>
        <v>EngramEntry_MetalIngot_Anky_C</v>
      </c>
      <c r="J165" s="45" t="str">
        <f t="shared" si="35"/>
        <v>OverrideNamedEngramEntries=(EngramEntry_MetalIngot_Anky_C,EngramHidden=true)</v>
      </c>
      <c r="K165" s="2"/>
    </row>
    <row r="166">
      <c r="A166" s="7"/>
      <c r="B166" s="7"/>
      <c r="C166" s="46">
        <f t="shared" si="41"/>
        <v>0</v>
      </c>
      <c r="D166" s="46" t="str">
        <f t="shared" si="42"/>
        <v>PrimalItemResource_Natu</v>
      </c>
      <c r="E166" s="11" t="s">
        <v>1932</v>
      </c>
      <c r="F166" s="11" t="s">
        <v>1933</v>
      </c>
      <c r="G166" s="46" t="str">
        <f t="shared" si="33"/>
        <v>cheat gfi PrimalItemResource_NatureBossSkull_C 1 0 0</v>
      </c>
      <c r="H166" s="11" t="s">
        <v>1934</v>
      </c>
      <c r="I166" s="46" t="str">
        <f t="shared" si="34"/>
        <v>EngramEntry_NatureBossSkull_C</v>
      </c>
      <c r="J166" s="46" t="str">
        <f t="shared" si="35"/>
        <v>OverrideNamedEngramEntries=(EngramEntry_NatureBossSkull_C,EngramHidden=true)</v>
      </c>
      <c r="K166" s="2"/>
    </row>
    <row r="167">
      <c r="A167" s="7"/>
      <c r="B167" s="7"/>
      <c r="C167" s="45">
        <f t="shared" si="41"/>
        <v>0</v>
      </c>
      <c r="D167" s="45" t="str">
        <f t="shared" si="42"/>
        <v>PrimalItemResource_Nick</v>
      </c>
      <c r="E167" s="8" t="s">
        <v>1935</v>
      </c>
      <c r="F167" s="8" t="s">
        <v>1936</v>
      </c>
      <c r="G167" s="45" t="str">
        <f t="shared" si="33"/>
        <v>cheat gfi PrimalItemResource_NickelOre_C 1 0 0</v>
      </c>
      <c r="H167" s="8" t="s">
        <v>1937</v>
      </c>
      <c r="I167" s="45" t="str">
        <f t="shared" si="34"/>
        <v>EngramEntry_NickelOre_C</v>
      </c>
      <c r="J167" s="45" t="str">
        <f t="shared" si="35"/>
        <v>OverrideNamedEngramEntries=(EngramEntry_NickelOre_C,EngramHidden=true)</v>
      </c>
      <c r="K167" s="2"/>
    </row>
    <row r="168">
      <c r="A168" s="7"/>
      <c r="B168" s="7"/>
      <c r="C168" s="46">
        <f t="shared" si="41"/>
        <v>0</v>
      </c>
      <c r="D168" s="46" t="str">
        <f t="shared" si="42"/>
        <v>PrimalItemResource_Prop</v>
      </c>
      <c r="E168" s="11" t="s">
        <v>1938</v>
      </c>
      <c r="F168" s="11" t="s">
        <v>1939</v>
      </c>
      <c r="G168" s="46" t="str">
        <f t="shared" si="33"/>
        <v>cheat gfi PrimalItemResource_Propellant_Child_C 1 0 0</v>
      </c>
      <c r="H168" s="11" t="s">
        <v>1940</v>
      </c>
      <c r="I168" s="46" t="str">
        <f t="shared" si="34"/>
        <v>EngramEntry_Propellant_Child_C</v>
      </c>
      <c r="J168" s="46" t="str">
        <f t="shared" si="35"/>
        <v>OverrideNamedEngramEntries=(EngramEntry_Propellant_Child_C,EngramHidden=true)</v>
      </c>
      <c r="K168" s="2"/>
    </row>
    <row r="169">
      <c r="A169" s="7"/>
      <c r="B169" s="7"/>
      <c r="C169" s="45" t="str">
        <f t="shared" si="41"/>
        <v>#VALUE!</v>
      </c>
      <c r="D169" s="45" t="str">
        <f t="shared" si="42"/>
        <v>#VALUE!</v>
      </c>
      <c r="E169" s="8" t="s">
        <v>1941</v>
      </c>
      <c r="F169" s="8" t="s">
        <v>1942</v>
      </c>
      <c r="G169" s="45" t="str">
        <f t="shared" si="33"/>
        <v>cheat gfi PrimalItemConsumable_Quest_Allo_C 1 0 0</v>
      </c>
      <c r="H169" s="8" t="s">
        <v>1943</v>
      </c>
      <c r="I169" s="45" t="str">
        <f t="shared" si="34"/>
        <v>EngramEntry_Quest_Allo_C</v>
      </c>
      <c r="J169" s="45" t="str">
        <f t="shared" si="35"/>
        <v>OverrideNamedEngramEntries=(EngramEntry_Quest_Allo_C,EngramHidden=true)</v>
      </c>
      <c r="K169" s="2"/>
    </row>
    <row r="170">
      <c r="A170" s="7"/>
      <c r="B170" s="7"/>
      <c r="C170" s="46" t="str">
        <f t="shared" si="41"/>
        <v>#VALUE!</v>
      </c>
      <c r="D170" s="46" t="str">
        <f t="shared" si="42"/>
        <v>#VALUE!</v>
      </c>
      <c r="E170" s="11" t="s">
        <v>1944</v>
      </c>
      <c r="F170" s="11" t="s">
        <v>1945</v>
      </c>
      <c r="G170" s="46" t="str">
        <f t="shared" si="33"/>
        <v>cheat gfi PrimalItemConsumable_Quest_Common_Saddle_C 1 0 0</v>
      </c>
      <c r="H170" s="11" t="s">
        <v>1946</v>
      </c>
      <c r="I170" s="46" t="str">
        <f t="shared" si="34"/>
        <v>EngramEntry_Quest_Common_Saddle_C</v>
      </c>
      <c r="J170" s="46" t="str">
        <f t="shared" si="35"/>
        <v>OverrideNamedEngramEntries=(EngramEntry_Quest_Common_Saddle_C,EngramHidden=true)</v>
      </c>
      <c r="K170" s="2"/>
    </row>
    <row r="171">
      <c r="A171" s="7"/>
      <c r="B171" s="7"/>
      <c r="C171" s="45" t="str">
        <f t="shared" si="41"/>
        <v>#VALUE!</v>
      </c>
      <c r="D171" s="45" t="str">
        <f t="shared" si="42"/>
        <v>#VALUE!</v>
      </c>
      <c r="E171" s="8" t="s">
        <v>1947</v>
      </c>
      <c r="F171" s="8" t="s">
        <v>1948</v>
      </c>
      <c r="G171" s="45" t="str">
        <f t="shared" si="33"/>
        <v>cheat gfi PrimalItemConsumable_Quest_Wood_C 1 0 0</v>
      </c>
      <c r="H171" s="8" t="s">
        <v>1949</v>
      </c>
      <c r="I171" s="45" t="str">
        <f t="shared" si="34"/>
        <v>EngramEntry_Quest_Wood_C</v>
      </c>
      <c r="J171" s="45" t="str">
        <f t="shared" si="35"/>
        <v>OverrideNamedEngramEntries=(EngramEntry_Quest_Wood_C,EngramHidden=true)</v>
      </c>
      <c r="K171" s="2"/>
    </row>
    <row r="172">
      <c r="A172" s="7"/>
      <c r="B172" s="7"/>
      <c r="C172" s="46">
        <f t="shared" si="41"/>
        <v>0</v>
      </c>
      <c r="D172" s="46" t="str">
        <f t="shared" si="42"/>
        <v>PrimalItemResource_Rare</v>
      </c>
      <c r="E172" s="11" t="s">
        <v>1950</v>
      </c>
      <c r="F172" s="11" t="s">
        <v>1951</v>
      </c>
      <c r="G172" s="46" t="str">
        <f t="shared" si="33"/>
        <v>cheat gfi PrimalItemResource_Rareflower_Celestial_C 1 0 0</v>
      </c>
      <c r="H172" s="11" t="s">
        <v>1952</v>
      </c>
      <c r="I172" s="46" t="str">
        <f t="shared" si="34"/>
        <v>EngramEntry_Rareflower_Celestial_C</v>
      </c>
      <c r="J172" s="46" t="str">
        <f t="shared" si="35"/>
        <v>OverrideNamedEngramEntries=(EngramEntry_Rareflower_Celestial_C,EngramHidden=true)</v>
      </c>
      <c r="K172" s="2"/>
    </row>
    <row r="173">
      <c r="A173" s="7"/>
      <c r="B173" s="7"/>
      <c r="C173" s="45">
        <f t="shared" si="41"/>
        <v>0</v>
      </c>
      <c r="D173" s="45" t="str">
        <f t="shared" si="42"/>
        <v>PrimalItemResource_Rare</v>
      </c>
      <c r="E173" s="8" t="s">
        <v>1953</v>
      </c>
      <c r="F173" s="8" t="s">
        <v>1954</v>
      </c>
      <c r="G173" s="45" t="str">
        <f t="shared" si="33"/>
        <v>cheat gfi PrimalItemResource_Rareflower_Demonic_C 1 0 0</v>
      </c>
      <c r="H173" s="8" t="s">
        <v>1955</v>
      </c>
      <c r="I173" s="45" t="str">
        <f t="shared" si="34"/>
        <v>EngramEntry_Rareflower_Demonic_C</v>
      </c>
      <c r="J173" s="45" t="str">
        <f t="shared" si="35"/>
        <v>OverrideNamedEngramEntries=(EngramEntry_Rareflower_Demonic_C,EngramHidden=true)</v>
      </c>
      <c r="K173" s="2"/>
    </row>
    <row r="174">
      <c r="A174" s="7"/>
      <c r="B174" s="7"/>
      <c r="C174" s="46" t="str">
        <f t="shared" si="41"/>
        <v>#VALUE!</v>
      </c>
      <c r="D174" s="46" t="str">
        <f t="shared" si="42"/>
        <v>#VALUE!</v>
      </c>
      <c r="E174" s="11" t="s">
        <v>1956</v>
      </c>
      <c r="F174" s="11" t="s">
        <v>1957</v>
      </c>
      <c r="G174" s="46" t="str">
        <f t="shared" si="33"/>
        <v>cheat gfi PrimalItemConsumable_RawPrimeMeat_Atlantic_C 1 0 0</v>
      </c>
      <c r="H174" s="11" t="s">
        <v>1958</v>
      </c>
      <c r="I174" s="46" t="str">
        <f t="shared" si="34"/>
        <v>EngramEntry_RawPrimeMeat_Atlantic_C</v>
      </c>
      <c r="J174" s="46" t="str">
        <f t="shared" si="35"/>
        <v>OverrideNamedEngramEntries=(EngramEntry_RawPrimeMeat_Atlantic_C,EngramHidden=true)</v>
      </c>
      <c r="K174" s="2"/>
    </row>
    <row r="175">
      <c r="A175" s="7"/>
      <c r="B175" s="7"/>
      <c r="C175" s="45" t="str">
        <f t="shared" si="41"/>
        <v>#VALUE!</v>
      </c>
      <c r="D175" s="45" t="str">
        <f t="shared" si="42"/>
        <v>#VALUE!</v>
      </c>
      <c r="E175" s="8" t="s">
        <v>1959</v>
      </c>
      <c r="F175" s="8" t="s">
        <v>1960</v>
      </c>
      <c r="G175" s="45" t="str">
        <f t="shared" si="33"/>
        <v>cheat gfi PrimalItemConsumable_RawPrimeMeat_Pacific_C 1 0 0</v>
      </c>
      <c r="H175" s="8" t="s">
        <v>1961</v>
      </c>
      <c r="I175" s="45" t="str">
        <f t="shared" si="34"/>
        <v>EngramEntry_RawPrimeMeat_Pacific_C</v>
      </c>
      <c r="J175" s="45" t="str">
        <f t="shared" si="35"/>
        <v>OverrideNamedEngramEntries=(EngramEntry_RawPrimeMeat_Pacific_C,EngramHidden=true)</v>
      </c>
      <c r="K175" s="2"/>
    </row>
    <row r="176">
      <c r="A176" s="7"/>
      <c r="B176" s="7"/>
      <c r="C176" s="46">
        <f t="shared" si="41"/>
        <v>0</v>
      </c>
      <c r="D176" s="46" t="str">
        <f t="shared" si="42"/>
        <v>PrimalItemResource_Spar</v>
      </c>
      <c r="E176" s="11" t="s">
        <v>1962</v>
      </c>
      <c r="F176" s="11" t="s">
        <v>1963</v>
      </c>
      <c r="G176" s="46" t="str">
        <f t="shared" si="33"/>
        <v>cheat gfi PrimalItemResource_Sparkpowder_Child_C 1 0 0</v>
      </c>
      <c r="H176" s="11" t="s">
        <v>1964</v>
      </c>
      <c r="I176" s="46" t="str">
        <f t="shared" si="34"/>
        <v>EngramEntry_Sparkpowder_Child_C</v>
      </c>
      <c r="J176" s="46" t="str">
        <f t="shared" si="35"/>
        <v>OverrideNamedEngramEntries=(EngramEntry_Sparkpowder_Child_C,EngramHidden=true)</v>
      </c>
      <c r="K176" s="2"/>
    </row>
    <row r="177">
      <c r="A177" s="7"/>
      <c r="B177" s="7"/>
      <c r="C177" s="45" t="str">
        <f t="shared" si="41"/>
        <v>#VALUE!</v>
      </c>
      <c r="D177" s="45" t="str">
        <f t="shared" si="42"/>
        <v>#VALUE!</v>
      </c>
      <c r="E177" s="8" t="s">
        <v>1965</v>
      </c>
      <c r="F177" s="8" t="s">
        <v>1966</v>
      </c>
      <c r="G177" s="45" t="str">
        <f t="shared" si="33"/>
        <v>cheat gfi PrimalItemConsumable_StaminaPaste_C 1 0 0</v>
      </c>
      <c r="H177" s="8" t="s">
        <v>1967</v>
      </c>
      <c r="I177" s="45" t="str">
        <f t="shared" si="34"/>
        <v>EngramEntry_StaminaPaste_C</v>
      </c>
      <c r="J177" s="45" t="str">
        <f t="shared" si="35"/>
        <v>OverrideNamedEngramEntries=(EngramEntry_StaminaPaste_C,EngramHidden=true)</v>
      </c>
      <c r="K177" s="2"/>
    </row>
    <row r="178">
      <c r="A178" s="7"/>
      <c r="B178" s="7"/>
      <c r="C178" s="46">
        <f t="shared" si="41"/>
        <v>0</v>
      </c>
      <c r="D178" s="46" t="str">
        <f t="shared" si="42"/>
        <v>PrimalItemResource_Stee</v>
      </c>
      <c r="E178" s="11" t="s">
        <v>1968</v>
      </c>
      <c r="F178" s="11" t="s">
        <v>1969</v>
      </c>
      <c r="G178" s="46" t="str">
        <f t="shared" si="33"/>
        <v>cheat gfi PrimalItemResource_SteelMetalIngot_C 1 0 0</v>
      </c>
      <c r="H178" s="11" t="s">
        <v>1970</v>
      </c>
      <c r="I178" s="46" t="str">
        <f t="shared" si="34"/>
        <v>EngramEntry_SteelMetalIngot_C</v>
      </c>
      <c r="J178" s="46" t="str">
        <f t="shared" si="35"/>
        <v>OverrideNamedEngramEntries=(EngramEntry_SteelMetalIngot_C,EngramHidden=true)</v>
      </c>
      <c r="K178" s="2"/>
    </row>
    <row r="179">
      <c r="A179" s="7"/>
      <c r="B179" s="7"/>
      <c r="C179" s="45" t="str">
        <f t="shared" si="41"/>
        <v>#VALUE!</v>
      </c>
      <c r="D179" s="45" t="str">
        <f t="shared" si="42"/>
        <v>#VALUE!</v>
      </c>
      <c r="E179" s="8" t="s">
        <v>1971</v>
      </c>
      <c r="F179" s="8" t="s">
        <v>1972</v>
      </c>
      <c r="G179" s="45" t="str">
        <f t="shared" si="33"/>
        <v>cheat gfi PrimalItemConsumable_Stimulant_Child_C 1 0 0</v>
      </c>
      <c r="H179" s="8" t="s">
        <v>1973</v>
      </c>
      <c r="I179" s="45" t="str">
        <f t="shared" si="34"/>
        <v>EngramEntry_Stimulant_Child_C</v>
      </c>
      <c r="J179" s="45" t="str">
        <f t="shared" si="35"/>
        <v>OverrideNamedEngramEntries=(EngramEntry_Stimulant_Child_C,EngramHidden=true)</v>
      </c>
      <c r="K179" s="2"/>
    </row>
    <row r="180">
      <c r="A180" s="7"/>
      <c r="B180" s="7"/>
      <c r="C180" s="46">
        <f t="shared" si="41"/>
        <v>0</v>
      </c>
      <c r="D180" s="46" t="str">
        <f t="shared" si="42"/>
        <v>PrimalItemResource_Stor</v>
      </c>
      <c r="E180" s="11" t="s">
        <v>1974</v>
      </c>
      <c r="F180" s="11" t="s">
        <v>1975</v>
      </c>
      <c r="G180" s="46" t="str">
        <f t="shared" si="33"/>
        <v>cheat gfi PrimalItemResource_StormBossSkull_C 1 0 0</v>
      </c>
      <c r="H180" s="11" t="s">
        <v>1976</v>
      </c>
      <c r="I180" s="46" t="str">
        <f t="shared" si="34"/>
        <v>EngramEntry_StormBossSkull_C</v>
      </c>
      <c r="J180" s="46" t="str">
        <f t="shared" si="35"/>
        <v>OverrideNamedEngramEntries=(EngramEntry_StormBossSkull_C,EngramHidden=true)</v>
      </c>
      <c r="K180" s="2"/>
    </row>
    <row r="181">
      <c r="A181" s="7"/>
      <c r="B181" s="7"/>
      <c r="C181" s="45">
        <f t="shared" si="41"/>
        <v>0</v>
      </c>
      <c r="D181" s="45" t="str">
        <f t="shared" si="42"/>
        <v>PrimalItemResource_Sulf</v>
      </c>
      <c r="E181" s="8" t="s">
        <v>1977</v>
      </c>
      <c r="F181" s="8" t="s">
        <v>1978</v>
      </c>
      <c r="G181" s="45" t="str">
        <f t="shared" si="33"/>
        <v>cheat gfi PrimalItemResource_Sulfur_C 1 0 0</v>
      </c>
      <c r="H181" s="8" t="s">
        <v>1979</v>
      </c>
      <c r="I181" s="45" t="str">
        <f t="shared" si="34"/>
        <v>EngramEntry_Sulfur_C</v>
      </c>
      <c r="J181" s="45" t="str">
        <f t="shared" si="35"/>
        <v>OverrideNamedEngramEntries=(EngramEntry_Sulfur_C,EngramHidden=true)</v>
      </c>
      <c r="K181" s="2"/>
    </row>
    <row r="182">
      <c r="A182" s="7"/>
      <c r="B182" s="7"/>
      <c r="C182" s="46">
        <f t="shared" si="41"/>
        <v>0</v>
      </c>
      <c r="D182" s="46" t="str">
        <f t="shared" si="42"/>
        <v>PrimalItemResource_TinO</v>
      </c>
      <c r="E182" s="11" t="s">
        <v>1980</v>
      </c>
      <c r="F182" s="11" t="s">
        <v>1981</v>
      </c>
      <c r="G182" s="46" t="str">
        <f t="shared" si="33"/>
        <v>cheat gfi PrimalItemResource_TinOre_C 1 0 0</v>
      </c>
      <c r="H182" s="11" t="s">
        <v>1982</v>
      </c>
      <c r="I182" s="46" t="str">
        <f t="shared" si="34"/>
        <v>EngramEntry_TinOre_C</v>
      </c>
      <c r="J182" s="46" t="str">
        <f t="shared" si="35"/>
        <v>OverrideNamedEngramEntries=(EngramEntry_TinOre_C,EngramHidden=true)</v>
      </c>
      <c r="K182" s="2"/>
    </row>
    <row r="183">
      <c r="A183" s="7"/>
      <c r="B183" s="7"/>
      <c r="C183" s="45">
        <f t="shared" si="41"/>
        <v>0</v>
      </c>
      <c r="D183" s="45" t="str">
        <f t="shared" si="42"/>
        <v>PrimalItemResource_Volc</v>
      </c>
      <c r="E183" s="8" t="s">
        <v>1983</v>
      </c>
      <c r="F183" s="8" t="s">
        <v>1984</v>
      </c>
      <c r="G183" s="45" t="str">
        <f t="shared" si="33"/>
        <v>cheat gfi PrimalItemResource_VolcanicBossSkull_C 1 0 0</v>
      </c>
      <c r="H183" s="8" t="s">
        <v>1985</v>
      </c>
      <c r="I183" s="45" t="str">
        <f t="shared" si="34"/>
        <v>EngramEntry_VolcanicBossSkull_C</v>
      </c>
      <c r="J183" s="45" t="str">
        <f t="shared" si="35"/>
        <v>OverrideNamedEngramEntries=(EngramEntry_VolcanicBossSkull_C,EngramHidden=true)</v>
      </c>
      <c r="K183" s="2"/>
    </row>
    <row r="184">
      <c r="A184" s="7"/>
      <c r="B184" s="7"/>
      <c r="C184" s="46">
        <f t="shared" si="41"/>
        <v>0</v>
      </c>
      <c r="D184" s="46" t="str">
        <f t="shared" si="42"/>
        <v>PrimalItemResource_Zinc</v>
      </c>
      <c r="E184" s="11" t="s">
        <v>1986</v>
      </c>
      <c r="F184" s="11" t="s">
        <v>1987</v>
      </c>
      <c r="G184" s="46" t="str">
        <f t="shared" si="33"/>
        <v>cheat gfi PrimalItemResource_ZincOre_C 1 0 0</v>
      </c>
      <c r="H184" s="11" t="s">
        <v>1988</v>
      </c>
      <c r="I184" s="46" t="str">
        <f t="shared" si="34"/>
        <v>EngramEntry_ZincOre_C</v>
      </c>
      <c r="J184" s="46" t="str">
        <f t="shared" si="35"/>
        <v>OverrideNamedEngramEntries=(EngramEntry_ZincOre_C,EngramHidden=true)</v>
      </c>
      <c r="K184" s="2"/>
    </row>
    <row r="185">
      <c r="A185" s="7"/>
      <c r="B185" s="23"/>
      <c r="C185" s="19"/>
      <c r="D185" s="19"/>
      <c r="E185" s="51"/>
      <c r="F185" s="51"/>
      <c r="G185" s="19"/>
      <c r="H185" s="51"/>
      <c r="I185" s="19"/>
      <c r="J185" s="19"/>
      <c r="K185" s="2"/>
    </row>
    <row r="186">
      <c r="A186" s="7"/>
      <c r="B186" s="53" t="s">
        <v>1989</v>
      </c>
      <c r="C186" s="46"/>
      <c r="D186" s="46"/>
      <c r="E186" s="11" t="s">
        <v>1990</v>
      </c>
      <c r="F186" s="11" t="s">
        <v>1991</v>
      </c>
      <c r="G186" s="46" t="str">
        <f t="shared" ref="G186:G205" si="43">"cheat gfi "&amp;F186&amp;" 1 0 0"</f>
        <v>cheat gfi PrimalItemResource_Key_Common_C 1 0 0</v>
      </c>
      <c r="H186" s="11" t="s">
        <v>1992</v>
      </c>
      <c r="I186" s="46" t="str">
        <f t="shared" ref="I186:I205" si="44">CONCATENATE("EngramEntry",RIGHT(F186,LEN(F186) - (FIND("_",F186) - 1)))</f>
        <v>EngramEntry_Key_Common_C</v>
      </c>
      <c r="J186" s="46" t="str">
        <f t="shared" ref="J186:J205" si="45">"OverrideNamedEngramEntries=("&amp;I186&amp;",EngramHidden=true)"</f>
        <v>OverrideNamedEngramEntries=(EngramEntry_Key_Common_C,EngramHidden=true)</v>
      </c>
      <c r="K186" s="2"/>
    </row>
    <row r="187">
      <c r="A187" s="7"/>
      <c r="B187" s="7"/>
      <c r="C187" s="45"/>
      <c r="D187" s="45"/>
      <c r="E187" s="8" t="s">
        <v>1993</v>
      </c>
      <c r="F187" s="8" t="s">
        <v>1994</v>
      </c>
      <c r="G187" s="45" t="str">
        <f t="shared" si="43"/>
        <v>cheat gfi PrimalItemResource_Key_Epic_C 1 0 0</v>
      </c>
      <c r="H187" s="8" t="s">
        <v>1995</v>
      </c>
      <c r="I187" s="45" t="str">
        <f t="shared" si="44"/>
        <v>EngramEntry_Key_Epic_C</v>
      </c>
      <c r="J187" s="45" t="str">
        <f t="shared" si="45"/>
        <v>OverrideNamedEngramEntries=(EngramEntry_Key_Epic_C,EngramHidden=true)</v>
      </c>
      <c r="K187" s="2"/>
    </row>
    <row r="188">
      <c r="A188" s="7"/>
      <c r="B188" s="7"/>
      <c r="C188" s="46"/>
      <c r="D188" s="46"/>
      <c r="E188" s="11" t="s">
        <v>1996</v>
      </c>
      <c r="F188" s="11" t="s">
        <v>1997</v>
      </c>
      <c r="G188" s="46" t="str">
        <f t="shared" si="43"/>
        <v>cheat gfi PrimalItemResource_Key_Godly_C 1 0 0</v>
      </c>
      <c r="H188" s="11" t="s">
        <v>1998</v>
      </c>
      <c r="I188" s="46" t="str">
        <f t="shared" si="44"/>
        <v>EngramEntry_Key_Godly_C</v>
      </c>
      <c r="J188" s="46" t="str">
        <f t="shared" si="45"/>
        <v>OverrideNamedEngramEntries=(EngramEntry_Key_Godly_C,EngramHidden=true)</v>
      </c>
      <c r="K188" s="2"/>
    </row>
    <row r="189">
      <c r="A189" s="7"/>
      <c r="B189" s="7"/>
      <c r="C189" s="45"/>
      <c r="D189" s="45"/>
      <c r="E189" s="8" t="s">
        <v>1999</v>
      </c>
      <c r="F189" s="8" t="s">
        <v>2000</v>
      </c>
      <c r="G189" s="45" t="str">
        <f t="shared" si="43"/>
        <v>cheat gfi PrimalItemResource_Key_Legendary_C 1 0 0</v>
      </c>
      <c r="H189" s="8" t="s">
        <v>2001</v>
      </c>
      <c r="I189" s="45" t="str">
        <f t="shared" si="44"/>
        <v>EngramEntry_Key_Legendary_C</v>
      </c>
      <c r="J189" s="45" t="str">
        <f t="shared" si="45"/>
        <v>OverrideNamedEngramEntries=(EngramEntry_Key_Legendary_C,EngramHidden=true)</v>
      </c>
      <c r="K189" s="2"/>
    </row>
    <row r="190">
      <c r="A190" s="7"/>
      <c r="B190" s="7"/>
      <c r="C190" s="46"/>
      <c r="D190" s="46"/>
      <c r="E190" s="11" t="s">
        <v>2002</v>
      </c>
      <c r="F190" s="11" t="s">
        <v>2003</v>
      </c>
      <c r="G190" s="46" t="str">
        <f t="shared" si="43"/>
        <v>cheat gfi PrimalItemResource_Key_Rare_C 1 0 0</v>
      </c>
      <c r="H190" s="11" t="s">
        <v>2004</v>
      </c>
      <c r="I190" s="46" t="str">
        <f t="shared" si="44"/>
        <v>EngramEntry_Key_Rare_C</v>
      </c>
      <c r="J190" s="46" t="str">
        <f t="shared" si="45"/>
        <v>OverrideNamedEngramEntries=(EngramEntry_Key_Rare_C,EngramHidden=true)</v>
      </c>
      <c r="K190" s="2"/>
    </row>
    <row r="191">
      <c r="A191" s="7"/>
      <c r="B191" s="7"/>
      <c r="C191" s="45"/>
      <c r="D191" s="45"/>
      <c r="E191" s="8" t="s">
        <v>2005</v>
      </c>
      <c r="F191" s="8" t="s">
        <v>2006</v>
      </c>
      <c r="G191" s="45" t="str">
        <f t="shared" si="43"/>
        <v>cheat gfi PrimalItemResource_Key_Uncommon_C 1 0 0</v>
      </c>
      <c r="H191" s="8" t="s">
        <v>2007</v>
      </c>
      <c r="I191" s="45" t="str">
        <f t="shared" si="44"/>
        <v>EngramEntry_Key_Uncommon_C</v>
      </c>
      <c r="J191" s="45" t="str">
        <f t="shared" si="45"/>
        <v>OverrideNamedEngramEntries=(EngramEntry_Key_Uncommon_C,EngramHidden=true)</v>
      </c>
      <c r="K191" s="2"/>
    </row>
    <row r="192">
      <c r="A192" s="7"/>
      <c r="B192" s="7"/>
      <c r="C192" s="46"/>
      <c r="D192" s="46"/>
      <c r="E192" s="11" t="s">
        <v>2008</v>
      </c>
      <c r="F192" s="11" t="s">
        <v>2009</v>
      </c>
      <c r="G192" s="46" t="str">
        <f t="shared" si="43"/>
        <v>cheat gfi PrimalItem_RewardChest_Epic_C 1 0 0</v>
      </c>
      <c r="H192" s="11" t="s">
        <v>2010</v>
      </c>
      <c r="I192" s="46" t="str">
        <f t="shared" si="44"/>
        <v>EngramEntry_RewardChest_Epic_C</v>
      </c>
      <c r="J192" s="46" t="str">
        <f t="shared" si="45"/>
        <v>OverrideNamedEngramEntries=(EngramEntry_RewardChest_Epic_C,EngramHidden=true)</v>
      </c>
      <c r="K192" s="2"/>
    </row>
    <row r="193">
      <c r="A193" s="7"/>
      <c r="B193" s="7"/>
      <c r="C193" s="45"/>
      <c r="D193" s="45"/>
      <c r="E193" s="8" t="s">
        <v>2011</v>
      </c>
      <c r="F193" s="8" t="s">
        <v>2012</v>
      </c>
      <c r="G193" s="45" t="str">
        <f t="shared" si="43"/>
        <v>cheat gfi PrimalItem_RewardChest_Godly_C 1 0 0</v>
      </c>
      <c r="H193" s="8" t="s">
        <v>2013</v>
      </c>
      <c r="I193" s="45" t="str">
        <f t="shared" si="44"/>
        <v>EngramEntry_RewardChest_Godly_C</v>
      </c>
      <c r="J193" s="45" t="str">
        <f t="shared" si="45"/>
        <v>OverrideNamedEngramEntries=(EngramEntry_RewardChest_Godly_C,EngramHidden=true)</v>
      </c>
      <c r="K193" s="2"/>
    </row>
    <row r="194">
      <c r="A194" s="7"/>
      <c r="B194" s="7"/>
      <c r="C194" s="46"/>
      <c r="D194" s="46"/>
      <c r="E194" s="11" t="s">
        <v>2014</v>
      </c>
      <c r="F194" s="11" t="s">
        <v>2015</v>
      </c>
      <c r="G194" s="46" t="str">
        <f t="shared" si="43"/>
        <v>cheat gfi PrimalItem_RewardChest_Legendary_C 1 0 0</v>
      </c>
      <c r="H194" s="11" t="s">
        <v>2016</v>
      </c>
      <c r="I194" s="46" t="str">
        <f t="shared" si="44"/>
        <v>EngramEntry_RewardChest_Legendary_C</v>
      </c>
      <c r="J194" s="46" t="str">
        <f t="shared" si="45"/>
        <v>OverrideNamedEngramEntries=(EngramEntry_RewardChest_Legendary_C,EngramHidden=true)</v>
      </c>
      <c r="K194" s="2"/>
    </row>
    <row r="195">
      <c r="A195" s="7"/>
      <c r="B195" s="7"/>
      <c r="C195" s="45"/>
      <c r="D195" s="45"/>
      <c r="E195" s="8" t="s">
        <v>2017</v>
      </c>
      <c r="F195" s="8" t="s">
        <v>2018</v>
      </c>
      <c r="G195" s="45" t="str">
        <f t="shared" si="43"/>
        <v>cheat gfi PrimalItem_RewardChest_Lesser_Materials_C 1 0 0</v>
      </c>
      <c r="H195" s="8" t="s">
        <v>2019</v>
      </c>
      <c r="I195" s="45" t="str">
        <f t="shared" si="44"/>
        <v>EngramEntry_RewardChest_Lesser_Materials_C</v>
      </c>
      <c r="J195" s="45" t="str">
        <f t="shared" si="45"/>
        <v>OverrideNamedEngramEntries=(EngramEntry_RewardChest_Lesser_Materials_C,EngramHidden=true)</v>
      </c>
      <c r="K195" s="2"/>
    </row>
    <row r="196">
      <c r="A196" s="7"/>
      <c r="B196" s="7"/>
      <c r="C196" s="46"/>
      <c r="D196" s="46"/>
      <c r="E196" s="11" t="s">
        <v>2020</v>
      </c>
      <c r="F196" s="11" t="s">
        <v>2021</v>
      </c>
      <c r="G196" s="46" t="str">
        <f t="shared" si="43"/>
        <v>cheat gfi PrimalItem_RewardChest_Lesser_Wood_C 1 0 0</v>
      </c>
      <c r="H196" s="11" t="s">
        <v>2022</v>
      </c>
      <c r="I196" s="46" t="str">
        <f t="shared" si="44"/>
        <v>EngramEntry_RewardChest_Lesser_Wood_C</v>
      </c>
      <c r="J196" s="46" t="str">
        <f t="shared" si="45"/>
        <v>OverrideNamedEngramEntries=(EngramEntry_RewardChest_Lesser_Wood_C,EngramHidden=true)</v>
      </c>
      <c r="K196" s="2"/>
    </row>
    <row r="197">
      <c r="A197" s="7"/>
      <c r="B197" s="7"/>
      <c r="C197" s="45"/>
      <c r="D197" s="45"/>
      <c r="E197" s="8" t="s">
        <v>2023</v>
      </c>
      <c r="F197" s="8" t="s">
        <v>2024</v>
      </c>
      <c r="G197" s="45" t="str">
        <f t="shared" si="43"/>
        <v>cheat gfi PrimalItem_RewardChest_Rare_C 1 0 0</v>
      </c>
      <c r="H197" s="8" t="s">
        <v>2025</v>
      </c>
      <c r="I197" s="45" t="str">
        <f t="shared" si="44"/>
        <v>EngramEntry_RewardChest_Rare_C</v>
      </c>
      <c r="J197" s="45" t="str">
        <f t="shared" si="45"/>
        <v>OverrideNamedEngramEntries=(EngramEntry_RewardChest_Rare_C,EngramHidden=true)</v>
      </c>
      <c r="K197" s="2"/>
    </row>
    <row r="198">
      <c r="A198" s="7"/>
      <c r="B198" s="7"/>
      <c r="C198" s="46"/>
      <c r="D198" s="46"/>
      <c r="E198" s="11" t="s">
        <v>2026</v>
      </c>
      <c r="F198" s="11" t="s">
        <v>2027</v>
      </c>
      <c r="G198" s="46" t="str">
        <f t="shared" si="43"/>
        <v>cheat gfi PrimalItem_RewardChest_Regular_C 1 0 0</v>
      </c>
      <c r="H198" s="11" t="s">
        <v>2028</v>
      </c>
      <c r="I198" s="46" t="str">
        <f t="shared" si="44"/>
        <v>EngramEntry_RewardChest_Regular_C</v>
      </c>
      <c r="J198" s="46" t="str">
        <f t="shared" si="45"/>
        <v>OverrideNamedEngramEntries=(EngramEntry_RewardChest_Regular_C,EngramHidden=true)</v>
      </c>
      <c r="K198" s="2"/>
    </row>
    <row r="199">
      <c r="A199" s="7"/>
      <c r="B199" s="7"/>
      <c r="C199" s="45"/>
      <c r="D199" s="45"/>
      <c r="E199" s="8" t="s">
        <v>2029</v>
      </c>
      <c r="F199" s="8" t="s">
        <v>2030</v>
      </c>
      <c r="G199" s="45" t="str">
        <f t="shared" si="43"/>
        <v>cheat gfi PrimalItem_RewardChest_Uncommon_C 1 0 0</v>
      </c>
      <c r="H199" s="8" t="s">
        <v>2031</v>
      </c>
      <c r="I199" s="45" t="str">
        <f t="shared" si="44"/>
        <v>EngramEntry_RewardChest_Uncommon_C</v>
      </c>
      <c r="J199" s="45" t="str">
        <f t="shared" si="45"/>
        <v>OverrideNamedEngramEntries=(EngramEntry_RewardChest_Uncommon_C,EngramHidden=true)</v>
      </c>
      <c r="K199" s="2"/>
    </row>
    <row r="200">
      <c r="A200" s="7"/>
      <c r="B200" s="7"/>
      <c r="C200" s="46"/>
      <c r="D200" s="46"/>
      <c r="E200" s="11" t="s">
        <v>2032</v>
      </c>
      <c r="F200" s="11" t="s">
        <v>2033</v>
      </c>
      <c r="G200" s="46" t="str">
        <f t="shared" si="43"/>
        <v>cheat gfi PrimalItem_ArmourChest_Common_C 1 0 0</v>
      </c>
      <c r="H200" s="11" t="s">
        <v>2034</v>
      </c>
      <c r="I200" s="46" t="str">
        <f t="shared" si="44"/>
        <v>EngramEntry_ArmourChest_Common_C</v>
      </c>
      <c r="J200" s="46" t="str">
        <f t="shared" si="45"/>
        <v>OverrideNamedEngramEntries=(EngramEntry_ArmourChest_Common_C,EngramHidden=true)</v>
      </c>
      <c r="K200" s="2"/>
    </row>
    <row r="201">
      <c r="A201" s="7"/>
      <c r="B201" s="7"/>
      <c r="C201" s="45"/>
      <c r="D201" s="45"/>
      <c r="E201" s="8" t="s">
        <v>2035</v>
      </c>
      <c r="F201" s="8" t="s">
        <v>2036</v>
      </c>
      <c r="G201" s="45" t="str">
        <f t="shared" si="43"/>
        <v>cheat gfi PrimalItem_ArmourChest_UnCommon_C 1 0 0</v>
      </c>
      <c r="H201" s="8" t="s">
        <v>2037</v>
      </c>
      <c r="I201" s="45" t="str">
        <f t="shared" si="44"/>
        <v>EngramEntry_ArmourChest_UnCommon_C</v>
      </c>
      <c r="J201" s="45" t="str">
        <f t="shared" si="45"/>
        <v>OverrideNamedEngramEntries=(EngramEntry_ArmourChest_UnCommon_C,EngramHidden=true)</v>
      </c>
      <c r="K201" s="2"/>
    </row>
    <row r="202">
      <c r="A202" s="7"/>
      <c r="B202" s="7"/>
      <c r="C202" s="46"/>
      <c r="D202" s="46"/>
      <c r="E202" s="11" t="s">
        <v>2038</v>
      </c>
      <c r="F202" s="11" t="s">
        <v>2039</v>
      </c>
      <c r="G202" s="46" t="str">
        <f t="shared" si="43"/>
        <v>cheat gfi PrimalItem_CharmChest_Common_C 1 0 0</v>
      </c>
      <c r="H202" s="11" t="s">
        <v>2040</v>
      </c>
      <c r="I202" s="46" t="str">
        <f t="shared" si="44"/>
        <v>EngramEntry_CharmChest_Common_C</v>
      </c>
      <c r="J202" s="46" t="str">
        <f t="shared" si="45"/>
        <v>OverrideNamedEngramEntries=(EngramEntry_CharmChest_Common_C,EngramHidden=true)</v>
      </c>
      <c r="K202" s="2"/>
    </row>
    <row r="203">
      <c r="A203" s="7"/>
      <c r="B203" s="7"/>
      <c r="C203" s="45"/>
      <c r="D203" s="45"/>
      <c r="E203" s="8" t="s">
        <v>2041</v>
      </c>
      <c r="F203" s="8" t="s">
        <v>2042</v>
      </c>
      <c r="G203" s="45" t="str">
        <f t="shared" si="43"/>
        <v>cheat gfi PrimalItem_ToolsChest_Common_C 1 0 0</v>
      </c>
      <c r="H203" s="8" t="s">
        <v>2043</v>
      </c>
      <c r="I203" s="45" t="str">
        <f t="shared" si="44"/>
        <v>EngramEntry_ToolsChest_Common_C</v>
      </c>
      <c r="J203" s="45" t="str">
        <f t="shared" si="45"/>
        <v>OverrideNamedEngramEntries=(EngramEntry_ToolsChest_Common_C,EngramHidden=true)</v>
      </c>
      <c r="K203" s="2"/>
    </row>
    <row r="204">
      <c r="A204" s="7"/>
      <c r="B204" s="7"/>
      <c r="C204" s="46"/>
      <c r="D204" s="46"/>
      <c r="E204" s="11" t="s">
        <v>2044</v>
      </c>
      <c r="F204" s="11" t="s">
        <v>2045</v>
      </c>
      <c r="G204" s="46" t="str">
        <f t="shared" si="43"/>
        <v>cheat gfi PrimalItem_UtilityChest_Common_C 1 0 0</v>
      </c>
      <c r="H204" s="11" t="s">
        <v>2046</v>
      </c>
      <c r="I204" s="46" t="str">
        <f t="shared" si="44"/>
        <v>EngramEntry_UtilityChest_Common_C</v>
      </c>
      <c r="J204" s="46" t="str">
        <f t="shared" si="45"/>
        <v>OverrideNamedEngramEntries=(EngramEntry_UtilityChest_Common_C,EngramHidden=true)</v>
      </c>
      <c r="K204" s="2"/>
    </row>
    <row r="205">
      <c r="A205" s="7"/>
      <c r="B205" s="29"/>
      <c r="C205" s="45"/>
      <c r="D205" s="45"/>
      <c r="E205" s="8" t="s">
        <v>2047</v>
      </c>
      <c r="F205" s="8" t="s">
        <v>2048</v>
      </c>
      <c r="G205" s="45" t="str">
        <f t="shared" si="43"/>
        <v>cheat gfi PrimalItem_WeaponChest_Common_C 1 0 0</v>
      </c>
      <c r="H205" s="8" t="s">
        <v>2049</v>
      </c>
      <c r="I205" s="45" t="str">
        <f t="shared" si="44"/>
        <v>EngramEntry_WeaponChest_Common_C</v>
      </c>
      <c r="J205" s="45" t="str">
        <f t="shared" si="45"/>
        <v>OverrideNamedEngramEntries=(EngramEntry_WeaponChest_Common_C,EngramHidden=true)</v>
      </c>
      <c r="K205" s="2"/>
    </row>
    <row r="206">
      <c r="A206" s="7"/>
      <c r="B206" s="18"/>
      <c r="C206" s="19"/>
      <c r="D206" s="19"/>
      <c r="E206" s="19"/>
      <c r="F206" s="19"/>
      <c r="G206" s="19"/>
      <c r="H206" s="19"/>
      <c r="I206" s="19"/>
      <c r="J206" s="19"/>
      <c r="K206" s="2"/>
    </row>
    <row r="207">
      <c r="A207" s="7"/>
      <c r="B207" s="54" t="s">
        <v>2050</v>
      </c>
      <c r="C207" s="8"/>
      <c r="D207" s="8"/>
      <c r="E207" s="8" t="s">
        <v>2051</v>
      </c>
      <c r="F207" s="8" t="s">
        <v>2052</v>
      </c>
      <c r="G207" s="45" t="str">
        <f t="shared" ref="G207:G221" si="46">"cheat gfi "&amp;F207&amp;" 1 0 0"</f>
        <v>cheat gfi PrimalItemConsumable_Summon_AlphaBoss_C 1 0 0</v>
      </c>
      <c r="H207" s="8" t="s">
        <v>2053</v>
      </c>
      <c r="I207" s="45" t="str">
        <f t="shared" ref="I207:I221" si="47">CONCATENATE("EngramEntry",RIGHT(F207,LEN(F207) - (FIND("_",F207) - 1)))</f>
        <v>EngramEntry_Summon_AlphaBoss_C</v>
      </c>
      <c r="J207" s="45" t="str">
        <f t="shared" ref="J207:J221" si="48">"OverrideNamedEngramEntries=("&amp;I207&amp;",EngramHidden=true)"</f>
        <v>OverrideNamedEngramEntries=(EngramEntry_Summon_AlphaBoss_C,EngramHidden=true)</v>
      </c>
      <c r="K207" s="2"/>
    </row>
    <row r="208">
      <c r="A208" s="7"/>
      <c r="B208" s="7"/>
      <c r="C208" s="11">
        <v>13.0</v>
      </c>
      <c r="D208" s="11" t="s">
        <v>2054</v>
      </c>
      <c r="E208" s="11" t="s">
        <v>2055</v>
      </c>
      <c r="F208" s="11" t="s">
        <v>2056</v>
      </c>
      <c r="G208" s="46" t="str">
        <f t="shared" si="46"/>
        <v>cheat gfi PrimalItemConsumable_Summon_ApexBoss_C 1 0 0</v>
      </c>
      <c r="H208" s="11" t="s">
        <v>2057</v>
      </c>
      <c r="I208" s="46" t="str">
        <f t="shared" si="47"/>
        <v>EngramEntry_Summon_ApexBoss_C</v>
      </c>
      <c r="J208" s="46" t="str">
        <f t="shared" si="48"/>
        <v>OverrideNamedEngramEntries=(EngramEntry_Summon_ApexBoss_C,EngramHidden=true)</v>
      </c>
      <c r="K208" s="2"/>
    </row>
    <row r="209">
      <c r="A209" s="7"/>
      <c r="B209" s="7"/>
      <c r="C209" s="8">
        <v>13.0</v>
      </c>
      <c r="D209" s="8" t="s">
        <v>2054</v>
      </c>
      <c r="E209" s="8" t="s">
        <v>2058</v>
      </c>
      <c r="F209" s="8" t="s">
        <v>2059</v>
      </c>
      <c r="G209" s="45" t="str">
        <f t="shared" si="46"/>
        <v>cheat gfi PrimalItemConsumable_Summon_bionic_C 1 0 0</v>
      </c>
      <c r="H209" s="8" t="s">
        <v>2060</v>
      </c>
      <c r="I209" s="45" t="str">
        <f t="shared" si="47"/>
        <v>EngramEntry_Summon_bionic_C</v>
      </c>
      <c r="J209" s="45" t="str">
        <f t="shared" si="48"/>
        <v>OverrideNamedEngramEntries=(EngramEntry_Summon_bionic_C,EngramHidden=true)</v>
      </c>
      <c r="K209" s="2"/>
    </row>
    <row r="210">
      <c r="A210" s="7"/>
      <c r="B210" s="7"/>
      <c r="C210" s="46">
        <f t="shared" ref="C210:C213" si="49">IF(D210="PrimalItemConsumable_Blood",1)+IF(D210="PrimalItemConsumable_Narcotic",2)+IF(D210="PrimalItemConsumable_Seed",3)+IF(D210="PrimalItemConsumable_Fruit",4)+IF(D210="PrimalItemConsumable_Egg_Unfertilized",5)+IF(D210="PrimalItemConsumable_Kibble",6)+IF(D210="PrimalItemConsumable_Potion",7)+IF(D210="PrimalItemConsumable_XP",8)+IF(D210="PrimalItemConsumable_Food",9)+IF(D210="PrimalItemResource",10)+IF(D210="PrimalItemResource_Hide",11)+IF(D210="PrimalItemResource_MetalIngot",12)+IF(D210="PrimalItemConsumable_Summon",13)+IF(D210="PrimalItemStructure",14)+IF(D210="PrimalItem_Weapon",15)+IF(D210="PrimalItemAmmo",16)+IF(D210="PrimalItemArmor",17)+IF(D210="PrimalItemSaddle",18)+IF(D210="PrimalItemConsumable_UnderwaterEgg",19)+IF(D210="PrimalItemConsumable_Egg",20)</f>
        <v>13</v>
      </c>
      <c r="D210" s="11" t="s">
        <v>2054</v>
      </c>
      <c r="E210" s="11" t="s">
        <v>2061</v>
      </c>
      <c r="F210" s="11" t="s">
        <v>2062</v>
      </c>
      <c r="G210" s="46" t="str">
        <f t="shared" si="46"/>
        <v>cheat gfi PrimalItemConsumable_Summon_Celestial_C 1 0 0</v>
      </c>
      <c r="H210" s="11" t="s">
        <v>2063</v>
      </c>
      <c r="I210" s="46" t="str">
        <f t="shared" si="47"/>
        <v>EngramEntry_Summon_Celestial_C</v>
      </c>
      <c r="J210" s="46" t="str">
        <f t="shared" si="48"/>
        <v>OverrideNamedEngramEntries=(EngramEntry_Summon_Celestial_C,EngramHidden=true)</v>
      </c>
      <c r="K210" s="2"/>
    </row>
    <row r="211">
      <c r="A211" s="7"/>
      <c r="B211" s="7"/>
      <c r="C211" s="45">
        <f t="shared" si="49"/>
        <v>13</v>
      </c>
      <c r="D211" s="8" t="s">
        <v>2054</v>
      </c>
      <c r="E211" s="8" t="s">
        <v>2064</v>
      </c>
      <c r="F211" s="8" t="s">
        <v>2065</v>
      </c>
      <c r="G211" s="45" t="str">
        <f t="shared" si="46"/>
        <v>cheat gfi PrimalItemConsumable_Summon_Demonic_C 1 0 0</v>
      </c>
      <c r="H211" s="8" t="s">
        <v>2066</v>
      </c>
      <c r="I211" s="45" t="str">
        <f t="shared" si="47"/>
        <v>EngramEntry_Summon_Demonic_C</v>
      </c>
      <c r="J211" s="45" t="str">
        <f t="shared" si="48"/>
        <v>OverrideNamedEngramEntries=(EngramEntry_Summon_Demonic_C,EngramHidden=true)</v>
      </c>
      <c r="K211" s="2"/>
    </row>
    <row r="212">
      <c r="A212" s="7"/>
      <c r="B212" s="7"/>
      <c r="C212" s="46">
        <f t="shared" si="49"/>
        <v>13</v>
      </c>
      <c r="D212" s="46" t="str">
        <f t="shared" ref="D212:D213" si="50">Left(F212,find("Summon",F212)+5)</f>
        <v>PrimalItemConsumable_Summon</v>
      </c>
      <c r="E212" s="11" t="s">
        <v>2067</v>
      </c>
      <c r="F212" s="11" t="s">
        <v>2068</v>
      </c>
      <c r="G212" s="46" t="str">
        <f t="shared" si="46"/>
        <v>cheat gfi PrimalItemConsumable_Summon_Earth_C 1 0 0</v>
      </c>
      <c r="H212" s="11" t="s">
        <v>2069</v>
      </c>
      <c r="I212" s="46" t="str">
        <f t="shared" si="47"/>
        <v>EngramEntry_Summon_Earth_C</v>
      </c>
      <c r="J212" s="46" t="str">
        <f t="shared" si="48"/>
        <v>OverrideNamedEngramEntries=(EngramEntry_Summon_Earth_C,EngramHidden=true)</v>
      </c>
      <c r="K212" s="2"/>
    </row>
    <row r="213">
      <c r="A213" s="7"/>
      <c r="B213" s="7"/>
      <c r="C213" s="45">
        <f t="shared" si="49"/>
        <v>13</v>
      </c>
      <c r="D213" s="45" t="str">
        <f t="shared" si="50"/>
        <v>PrimalItemConsumable_Summon</v>
      </c>
      <c r="E213" s="8" t="s">
        <v>2070</v>
      </c>
      <c r="F213" s="8" t="s">
        <v>2071</v>
      </c>
      <c r="G213" s="45" t="str">
        <f t="shared" si="46"/>
        <v>cheat gfi PrimalItemConsumable_Summon_Frost_C 1 0 0</v>
      </c>
      <c r="H213" s="8" t="s">
        <v>2072</v>
      </c>
      <c r="I213" s="45" t="str">
        <f t="shared" si="47"/>
        <v>EngramEntry_Summon_Frost_C</v>
      </c>
      <c r="J213" s="45" t="str">
        <f t="shared" si="48"/>
        <v>OverrideNamedEngramEntries=(EngramEntry_Summon_Frost_C,EngramHidden=true)</v>
      </c>
      <c r="K213" s="2"/>
    </row>
    <row r="214">
      <c r="A214" s="7"/>
      <c r="B214" s="7"/>
      <c r="C214" s="46"/>
      <c r="D214" s="46"/>
      <c r="E214" s="11" t="s">
        <v>2073</v>
      </c>
      <c r="F214" s="11" t="s">
        <v>2074</v>
      </c>
      <c r="G214" s="46" t="str">
        <f t="shared" si="46"/>
        <v>cheat gfi PrimalItemConsumable_Summon_GhostBoss_C 1 0 0</v>
      </c>
      <c r="H214" s="11" t="s">
        <v>2075</v>
      </c>
      <c r="I214" s="46" t="str">
        <f t="shared" si="47"/>
        <v>EngramEntry_Summon_GhostBoss_C</v>
      </c>
      <c r="J214" s="46" t="str">
        <f t="shared" si="48"/>
        <v>OverrideNamedEngramEntries=(EngramEntry_Summon_GhostBoss_C,EngramHidden=true)</v>
      </c>
      <c r="K214" s="2"/>
    </row>
    <row r="215">
      <c r="A215" s="7"/>
      <c r="B215" s="7"/>
      <c r="C215" s="45">
        <f t="shared" ref="C215:C217" si="51">IF(D215="PrimalItemConsumable_Blood",1)+IF(D215="PrimalItemConsumable_Narcotic",2)+IF(D215="PrimalItemConsumable_Seed",3)+IF(D215="PrimalItemConsumable_Fruit",4)+IF(D215="PrimalItemConsumable_Egg_Unfertilized",5)+IF(D215="PrimalItemConsumable_Kibble",6)+IF(D215="PrimalItemConsumable_Potion",7)+IF(D215="PrimalItemConsumable_XP",8)+IF(D215="PrimalItemConsumable_Food",9)+IF(D215="PrimalItemResource",10)+IF(D215="PrimalItemResource_Hide",11)+IF(D215="PrimalItemResource_MetalIngot",12)+IF(D215="PrimalItemConsumable_Summon",13)+IF(D215="PrimalItemStructure",14)+IF(D215="PrimalItem_Weapon",15)+IF(D215="PrimalItemAmmo",16)+IF(D215="PrimalItemArmor",17)+IF(D215="PrimalItemSaddle",18)+IF(D215="PrimalItemConsumable_UnderwaterEgg",19)+IF(D215="PrimalItemConsumable_Egg",20)</f>
        <v>13</v>
      </c>
      <c r="D215" s="45" t="str">
        <f t="shared" ref="D215:D217" si="52">Left(F215,find("Summon",F215)+5)</f>
        <v>PrimalItemConsumable_Summon</v>
      </c>
      <c r="E215" s="8" t="s">
        <v>2076</v>
      </c>
      <c r="F215" s="8" t="s">
        <v>2077</v>
      </c>
      <c r="G215" s="45" t="str">
        <f t="shared" si="46"/>
        <v>cheat gfi PrimalItemConsumable_Summon_Godly_C 1 0 0</v>
      </c>
      <c r="H215" s="8" t="s">
        <v>2078</v>
      </c>
      <c r="I215" s="45" t="str">
        <f t="shared" si="47"/>
        <v>EngramEntry_Summon_Godly_C</v>
      </c>
      <c r="J215" s="45" t="str">
        <f t="shared" si="48"/>
        <v>OverrideNamedEngramEntries=(EngramEntry_Summon_Godly_C,EngramHidden=true)</v>
      </c>
      <c r="K215" s="2"/>
    </row>
    <row r="216">
      <c r="A216" s="7"/>
      <c r="B216" s="7"/>
      <c r="C216" s="46">
        <f t="shared" si="51"/>
        <v>13</v>
      </c>
      <c r="D216" s="46" t="str">
        <f t="shared" si="52"/>
        <v>PrimalItemConsumable_Summon</v>
      </c>
      <c r="E216" s="11" t="s">
        <v>2079</v>
      </c>
      <c r="F216" s="11" t="s">
        <v>2080</v>
      </c>
      <c r="G216" s="46" t="str">
        <f t="shared" si="46"/>
        <v>cheat gfi PrimalItemConsumable_Summon_Hydro_C 1 0 0</v>
      </c>
      <c r="H216" s="11" t="s">
        <v>2081</v>
      </c>
      <c r="I216" s="46" t="str">
        <f t="shared" si="47"/>
        <v>EngramEntry_Summon_Hydro_C</v>
      </c>
      <c r="J216" s="46" t="str">
        <f t="shared" si="48"/>
        <v>OverrideNamedEngramEntries=(EngramEntry_Summon_Hydro_C,EngramHidden=true)</v>
      </c>
      <c r="K216" s="2"/>
    </row>
    <row r="217">
      <c r="A217" s="7"/>
      <c r="B217" s="7"/>
      <c r="C217" s="45">
        <f t="shared" si="51"/>
        <v>13</v>
      </c>
      <c r="D217" s="45" t="str">
        <f t="shared" si="52"/>
        <v>PrimalItemConsumable_Summon</v>
      </c>
      <c r="E217" s="8" t="s">
        <v>2082</v>
      </c>
      <c r="F217" s="8" t="s">
        <v>2083</v>
      </c>
      <c r="G217" s="45" t="str">
        <f t="shared" si="46"/>
        <v>cheat gfi PrimalItemConsumable_Summon_Nature_C 1 0 0</v>
      </c>
      <c r="H217" s="8" t="s">
        <v>2084</v>
      </c>
      <c r="I217" s="45" t="str">
        <f t="shared" si="47"/>
        <v>EngramEntry_Summon_Nature_C</v>
      </c>
      <c r="J217" s="45" t="str">
        <f t="shared" si="48"/>
        <v>OverrideNamedEngramEntries=(EngramEntry_Summon_Nature_C,EngramHidden=true)</v>
      </c>
      <c r="K217" s="2"/>
    </row>
    <row r="218">
      <c r="A218" s="7"/>
      <c r="B218" s="7"/>
      <c r="C218" s="46"/>
      <c r="D218" s="46"/>
      <c r="E218" s="11" t="s">
        <v>2085</v>
      </c>
      <c r="F218" s="11" t="s">
        <v>2086</v>
      </c>
      <c r="G218" s="46" t="str">
        <f t="shared" si="46"/>
        <v>cheat gfi PrimalItemConsumable_Summon_PlagueBoss_C 1 0 0</v>
      </c>
      <c r="H218" s="11" t="s">
        <v>2084</v>
      </c>
      <c r="I218" s="46" t="str">
        <f t="shared" si="47"/>
        <v>EngramEntry_Summon_PlagueBoss_C</v>
      </c>
      <c r="J218" s="46" t="str">
        <f t="shared" si="48"/>
        <v>OverrideNamedEngramEntries=(EngramEntry_Summon_PlagueBoss_C,EngramHidden=true)</v>
      </c>
      <c r="K218" s="2"/>
    </row>
    <row r="219">
      <c r="A219" s="7"/>
      <c r="B219" s="7"/>
      <c r="C219" s="45"/>
      <c r="D219" s="45"/>
      <c r="E219" s="8" t="s">
        <v>2087</v>
      </c>
      <c r="F219" s="8" t="s">
        <v>2088</v>
      </c>
      <c r="G219" s="45" t="str">
        <f t="shared" si="46"/>
        <v>cheat gfi PrimalItemConsumable_Summon_PlasmaBoss_C 1 0 0</v>
      </c>
      <c r="H219" s="8" t="s">
        <v>2089</v>
      </c>
      <c r="I219" s="45" t="str">
        <f t="shared" si="47"/>
        <v>EngramEntry_Summon_PlasmaBoss_C</v>
      </c>
      <c r="J219" s="45" t="str">
        <f t="shared" si="48"/>
        <v>OverrideNamedEngramEntries=(EngramEntry_Summon_PlasmaBoss_C,EngramHidden=true)</v>
      </c>
      <c r="K219" s="2"/>
    </row>
    <row r="220">
      <c r="A220" s="7"/>
      <c r="B220" s="7"/>
      <c r="C220" s="46">
        <f t="shared" ref="C220:C221" si="53">IF(D220="PrimalItemConsumable_Blood",1)+IF(D220="PrimalItemConsumable_Narcotic",2)+IF(D220="PrimalItemConsumable_Seed",3)+IF(D220="PrimalItemConsumable_Fruit",4)+IF(D220="PrimalItemConsumable_Egg_Unfertilized",5)+IF(D220="PrimalItemConsumable_Kibble",6)+IF(D220="PrimalItemConsumable_Potion",7)+IF(D220="PrimalItemConsumable_XP",8)+IF(D220="PrimalItemConsumable_Food",9)+IF(D220="PrimalItemResource",10)+IF(D220="PrimalItemResource_Hide",11)+IF(D220="PrimalItemResource_MetalIngot",12)+IF(D220="PrimalItemConsumable_Summon",13)+IF(D220="PrimalItemStructure",14)+IF(D220="PrimalItem_Weapon",15)+IF(D220="PrimalItemAmmo",16)+IF(D220="PrimalItemArmor",17)+IF(D220="PrimalItemSaddle",18)+IF(D220="PrimalItemConsumable_UnderwaterEgg",19)+IF(D220="PrimalItemConsumable_Egg",20)</f>
        <v>13</v>
      </c>
      <c r="D220" s="46" t="str">
        <f t="shared" ref="D220:D221" si="54">Left(F220,find("Summon",F220)+5)</f>
        <v>PrimalItemConsumable_Summon</v>
      </c>
      <c r="E220" s="11" t="s">
        <v>2090</v>
      </c>
      <c r="F220" s="11" t="s">
        <v>2091</v>
      </c>
      <c r="G220" s="46" t="str">
        <f t="shared" si="46"/>
        <v>cheat gfi PrimalItemConsumable_Summon_Storm_C 1 0 0</v>
      </c>
      <c r="H220" s="11" t="s">
        <v>2092</v>
      </c>
      <c r="I220" s="46" t="str">
        <f t="shared" si="47"/>
        <v>EngramEntry_Summon_Storm_C</v>
      </c>
      <c r="J220" s="46" t="str">
        <f t="shared" si="48"/>
        <v>OverrideNamedEngramEntries=(EngramEntry_Summon_Storm_C,EngramHidden=true)</v>
      </c>
      <c r="K220" s="2"/>
    </row>
    <row r="221">
      <c r="A221" s="7"/>
      <c r="B221" s="29"/>
      <c r="C221" s="45">
        <f t="shared" si="53"/>
        <v>13</v>
      </c>
      <c r="D221" s="45" t="str">
        <f t="shared" si="54"/>
        <v>PrimalItemConsumable_Summon</v>
      </c>
      <c r="E221" s="8" t="s">
        <v>2093</v>
      </c>
      <c r="F221" s="8" t="s">
        <v>2094</v>
      </c>
      <c r="G221" s="45" t="str">
        <f t="shared" si="46"/>
        <v>cheat gfi PrimalItemConsumable_Summon_Volcanic_C 1 0 0</v>
      </c>
      <c r="H221" s="8" t="s">
        <v>2095</v>
      </c>
      <c r="I221" s="45" t="str">
        <f t="shared" si="47"/>
        <v>EngramEntry_Summon_Volcanic_C</v>
      </c>
      <c r="J221" s="45" t="str">
        <f t="shared" si="48"/>
        <v>OverrideNamedEngramEntries=(EngramEntry_Summon_Volcanic_C,EngramHidden=true)</v>
      </c>
      <c r="K221" s="2"/>
    </row>
    <row r="222">
      <c r="A222" s="7"/>
      <c r="B222" s="18"/>
      <c r="C222" s="19"/>
      <c r="D222" s="19"/>
      <c r="E222" s="19"/>
      <c r="F222" s="19"/>
      <c r="G222" s="19"/>
      <c r="H222" s="19"/>
      <c r="I222" s="19"/>
      <c r="J222" s="19"/>
      <c r="K222" s="2"/>
    </row>
    <row r="223">
      <c r="A223" s="7"/>
      <c r="B223" s="55" t="s">
        <v>2096</v>
      </c>
      <c r="C223" s="45" t="str">
        <f t="shared" ref="C223:C240" si="55">IF(D223="PrimalItemConsumable_Blood",1)+IF(D223="PrimalItemConsumable_Narcotic",2)+IF(D223="PrimalItemConsumable_Seed",3)+IF(D223="PrimalItemConsumable_Fruit",4)+IF(D223="PrimalItemConsumable_Egg_Unfertilized",5)+IF(D223="PrimalItemConsumable_Kibble",6)+IF(D223="PrimalItemConsumable_Potion",7)+IF(D223="PrimalItemConsumable_XP",8)+IF(D223="PrimalItemConsumable_Food",9)+IF(D223="PrimalItemResource",10)+IF(D223="PrimalItemResource_Hide",11)+IF(D223="PrimalItemResource_MetalIngot",12)+IF(D223="PrimalItemConsumable_Summon",13)+IF(D223="PrimalItemStructure",14)+IF(D223="PrimalItem_Weapon",15)+IF(D223="PrimalItemAmmo",16)+IF(D223="PrimalItemArmor",17)+IF(D223="PrimalItemSaddle",18)+IF(D223="PrimalItemConsumable_UnderwaterEgg",19)+IF(D223="PrimalItemConsumable_Egg",20)</f>
        <v>#VALUE!</v>
      </c>
      <c r="D223" s="45" t="str">
        <f t="shared" ref="D223:D240" si="56">Left(F223,find("Structure",F223)+8)</f>
        <v>#VALUE!</v>
      </c>
      <c r="E223" s="8" t="s">
        <v>2097</v>
      </c>
      <c r="F223" s="8" t="s">
        <v>2098</v>
      </c>
      <c r="G223" s="45" t="str">
        <f t="shared" ref="G223:G240" si="57">"cheat gfi "&amp;F223&amp;" 1 0 0"</f>
        <v>cheat gfi PrimalItemRaft_Behemoth_C 1 0 0</v>
      </c>
      <c r="H223" s="8" t="s">
        <v>2099</v>
      </c>
      <c r="I223" s="45" t="str">
        <f t="shared" ref="I223:I229" si="58">CONCATENATE("EngramEntry",RIGHT(F223,LEN(F223) - (FIND("_",F223) - 1)))</f>
        <v>EngramEntry_Behemoth_C</v>
      </c>
      <c r="J223" s="45" t="str">
        <f t="shared" ref="J223:J229" si="59">"OverrideNamedEngramEntries=("&amp;I223&amp;",EngramHidden=true)"</f>
        <v>OverrideNamedEngramEntries=(EngramEntry_Behemoth_C,EngramHidden=true)</v>
      </c>
      <c r="K223" s="2"/>
    </row>
    <row r="224">
      <c r="A224" s="7"/>
      <c r="B224" s="7"/>
      <c r="C224" s="46" t="str">
        <f t="shared" si="55"/>
        <v>#VALUE!</v>
      </c>
      <c r="D224" s="46" t="str">
        <f t="shared" si="56"/>
        <v>#VALUE!</v>
      </c>
      <c r="E224" s="11" t="s">
        <v>2100</v>
      </c>
      <c r="F224" s="11" t="s">
        <v>2101</v>
      </c>
      <c r="G224" s="46" t="str">
        <f t="shared" si="57"/>
        <v>cheat gfi PrimalItemRaft_Normal_C 1 0 0</v>
      </c>
      <c r="H224" s="11" t="s">
        <v>2102</v>
      </c>
      <c r="I224" s="46" t="str">
        <f t="shared" si="58"/>
        <v>EngramEntry_Normal_C</v>
      </c>
      <c r="J224" s="46" t="str">
        <f t="shared" si="59"/>
        <v>OverrideNamedEngramEntries=(EngramEntry_Normal_C,EngramHidden=true)</v>
      </c>
      <c r="K224" s="2"/>
    </row>
    <row r="225">
      <c r="A225" s="7"/>
      <c r="B225" s="7"/>
      <c r="C225" s="45" t="str">
        <f t="shared" si="55"/>
        <v>#VALUE!</v>
      </c>
      <c r="D225" s="45" t="str">
        <f t="shared" si="56"/>
        <v>#VALUE!</v>
      </c>
      <c r="E225" s="8" t="s">
        <v>2103</v>
      </c>
      <c r="F225" s="8" t="s">
        <v>2104</v>
      </c>
      <c r="G225" s="45" t="str">
        <f t="shared" si="57"/>
        <v>cheat gfi PrimalItemRaft_XL_C 1 0 0</v>
      </c>
      <c r="H225" s="8" t="s">
        <v>2105</v>
      </c>
      <c r="I225" s="45" t="str">
        <f t="shared" si="58"/>
        <v>EngramEntry_XL_C</v>
      </c>
      <c r="J225" s="45" t="str">
        <f t="shared" si="59"/>
        <v>OverrideNamedEngramEntries=(EngramEntry_XL_C,EngramHidden=true)</v>
      </c>
      <c r="K225" s="2"/>
    </row>
    <row r="226">
      <c r="A226" s="7"/>
      <c r="B226" s="7"/>
      <c r="C226" s="46" t="str">
        <f t="shared" si="55"/>
        <v>#VALUE!</v>
      </c>
      <c r="D226" s="46" t="str">
        <f t="shared" si="56"/>
        <v>#VALUE!</v>
      </c>
      <c r="E226" s="11" t="s">
        <v>2106</v>
      </c>
      <c r="F226" s="11" t="s">
        <v>2107</v>
      </c>
      <c r="G226" s="46" t="str">
        <f t="shared" si="57"/>
        <v>cheat gfi PrimalItemRaft_XXL_C 1 0 0</v>
      </c>
      <c r="H226" s="11" t="s">
        <v>2108</v>
      </c>
      <c r="I226" s="46" t="str">
        <f t="shared" si="58"/>
        <v>EngramEntry_XXL_C</v>
      </c>
      <c r="J226" s="46" t="str">
        <f t="shared" si="59"/>
        <v>OverrideNamedEngramEntries=(EngramEntry_XXL_C,EngramHidden=true)</v>
      </c>
      <c r="K226" s="2"/>
    </row>
    <row r="227">
      <c r="A227" s="7"/>
      <c r="B227" s="7"/>
      <c r="C227" s="45">
        <f t="shared" si="55"/>
        <v>14</v>
      </c>
      <c r="D227" s="45" t="str">
        <f t="shared" si="56"/>
        <v>PrimalItemStructure</v>
      </c>
      <c r="E227" s="8" t="s">
        <v>2109</v>
      </c>
      <c r="F227" s="8" t="s">
        <v>2110</v>
      </c>
      <c r="G227" s="45" t="str">
        <f t="shared" si="57"/>
        <v>cheat gfi PrimalItemStructure_BeeHive_Celestial_C 1 0 0</v>
      </c>
      <c r="H227" s="8" t="s">
        <v>2111</v>
      </c>
      <c r="I227" s="45" t="str">
        <f t="shared" si="58"/>
        <v>EngramEntry_BeeHive_Celestial_C</v>
      </c>
      <c r="J227" s="45" t="str">
        <f t="shared" si="59"/>
        <v>OverrideNamedEngramEntries=(EngramEntry_BeeHive_Celestial_C,EngramHidden=true)</v>
      </c>
      <c r="K227" s="2"/>
    </row>
    <row r="228">
      <c r="A228" s="7"/>
      <c r="B228" s="7"/>
      <c r="C228" s="46">
        <f t="shared" si="55"/>
        <v>14</v>
      </c>
      <c r="D228" s="46" t="str">
        <f t="shared" si="56"/>
        <v>PrimalItemStructure</v>
      </c>
      <c r="E228" s="11" t="s">
        <v>2112</v>
      </c>
      <c r="F228" s="11" t="s">
        <v>2113</v>
      </c>
      <c r="G228" s="46" t="str">
        <f t="shared" si="57"/>
        <v>cheat gfi PrimalItemStructure_BeeHive_Demonic_C 1 0 0</v>
      </c>
      <c r="H228" s="11" t="s">
        <v>2114</v>
      </c>
      <c r="I228" s="46" t="str">
        <f t="shared" si="58"/>
        <v>EngramEntry_BeeHive_Demonic_C</v>
      </c>
      <c r="J228" s="46" t="str">
        <f t="shared" si="59"/>
        <v>OverrideNamedEngramEntries=(EngramEntry_BeeHive_Demonic_C,EngramHidden=true)</v>
      </c>
      <c r="K228" s="2"/>
    </row>
    <row r="229">
      <c r="A229" s="7"/>
      <c r="B229" s="7"/>
      <c r="C229" s="45">
        <f t="shared" si="55"/>
        <v>14</v>
      </c>
      <c r="D229" s="45" t="str">
        <f t="shared" si="56"/>
        <v>PrimalItemStructure</v>
      </c>
      <c r="E229" s="8" t="s">
        <v>2115</v>
      </c>
      <c r="F229" s="8" t="s">
        <v>2116</v>
      </c>
      <c r="G229" s="45" t="str">
        <f t="shared" si="57"/>
        <v>cheat gfi PrimalItemStructure_CropPlot_Large_Aquatic_C 1 0 0</v>
      </c>
      <c r="H229" s="8" t="s">
        <v>2117</v>
      </c>
      <c r="I229" s="45" t="str">
        <f t="shared" si="58"/>
        <v>EngramEntry_CropPlot_Large_Aquatic_C</v>
      </c>
      <c r="J229" s="45" t="str">
        <f t="shared" si="59"/>
        <v>OverrideNamedEngramEntries=(EngramEntry_CropPlot_Large_Aquatic_C,EngramHidden=true)</v>
      </c>
      <c r="K229" s="2"/>
    </row>
    <row r="230">
      <c r="A230" s="7"/>
      <c r="B230" s="7"/>
      <c r="C230" s="46">
        <f t="shared" si="55"/>
        <v>14</v>
      </c>
      <c r="D230" s="46" t="str">
        <f t="shared" si="56"/>
        <v>PrimalItemStructure</v>
      </c>
      <c r="E230" s="11" t="s">
        <v>2118</v>
      </c>
      <c r="F230" s="11" t="s">
        <v>2119</v>
      </c>
      <c r="G230" s="46" t="str">
        <f t="shared" si="57"/>
        <v>cheat gfi PrimalItemStructure_CropPlot_Behemoth_C 1 0 0</v>
      </c>
      <c r="H230" s="11"/>
      <c r="I230" s="46"/>
      <c r="J230" s="46"/>
      <c r="K230" s="2"/>
    </row>
    <row r="231">
      <c r="A231" s="7"/>
      <c r="B231" s="7"/>
      <c r="C231" s="45">
        <f t="shared" si="55"/>
        <v>14</v>
      </c>
      <c r="D231" s="45" t="str">
        <f t="shared" si="56"/>
        <v>PrimalItemStructure</v>
      </c>
      <c r="E231" s="8" t="s">
        <v>2120</v>
      </c>
      <c r="F231" s="8" t="s">
        <v>2121</v>
      </c>
      <c r="G231" s="45" t="str">
        <f t="shared" si="57"/>
        <v>cheat gfi PrimalItemStructure_CropPlot_Large_Child_C 1 0 0</v>
      </c>
      <c r="H231" s="8" t="s">
        <v>2122</v>
      </c>
      <c r="I231" s="45" t="str">
        <f t="shared" ref="I231:I240" si="60">CONCATENATE("EngramEntry",RIGHT(F231,LEN(F231) - (FIND("_",F231) - 1)))</f>
        <v>EngramEntry_CropPlot_Large_Child_C</v>
      </c>
      <c r="J231" s="45" t="str">
        <f t="shared" ref="J231:J240" si="61">"OverrideNamedEngramEntries=("&amp;I231&amp;",EngramHidden=true)"</f>
        <v>OverrideNamedEngramEntries=(EngramEntry_CropPlot_Large_Child_C,EngramHidden=true)</v>
      </c>
      <c r="K231" s="2"/>
    </row>
    <row r="232">
      <c r="A232" s="7"/>
      <c r="B232" s="7"/>
      <c r="C232" s="46">
        <f t="shared" si="55"/>
        <v>14</v>
      </c>
      <c r="D232" s="46" t="str">
        <f t="shared" si="56"/>
        <v>PrimalItemStructure</v>
      </c>
      <c r="E232" s="11" t="s">
        <v>2123</v>
      </c>
      <c r="F232" s="11" t="s">
        <v>2124</v>
      </c>
      <c r="G232" s="46" t="str">
        <f t="shared" si="57"/>
        <v>cheat gfi PrimalItemStructure_MetalSpikeWall_Brass_C 1 0 0</v>
      </c>
      <c r="H232" s="11" t="s">
        <v>2125</v>
      </c>
      <c r="I232" s="46" t="str">
        <f t="shared" si="60"/>
        <v>EngramEntry_MetalSpikeWall_Brass_C</v>
      </c>
      <c r="J232" s="46" t="str">
        <f t="shared" si="61"/>
        <v>OverrideNamedEngramEntries=(EngramEntry_MetalSpikeWall_Brass_C,EngramHidden=true)</v>
      </c>
      <c r="K232" s="2"/>
    </row>
    <row r="233">
      <c r="A233" s="7"/>
      <c r="B233" s="7"/>
      <c r="C233" s="45">
        <f t="shared" si="55"/>
        <v>14</v>
      </c>
      <c r="D233" s="45" t="str">
        <f t="shared" si="56"/>
        <v>PrimalItemStructure</v>
      </c>
      <c r="E233" s="8" t="s">
        <v>2126</v>
      </c>
      <c r="F233" s="8" t="s">
        <v>2127</v>
      </c>
      <c r="G233" s="45" t="str">
        <f t="shared" si="57"/>
        <v>cheat gfi PrimalItemStructure_MetalSpikeWall_Bronze_C 1 0 0</v>
      </c>
      <c r="H233" s="8" t="s">
        <v>2128</v>
      </c>
      <c r="I233" s="45" t="str">
        <f t="shared" si="60"/>
        <v>EngramEntry_MetalSpikeWall_Bronze_C</v>
      </c>
      <c r="J233" s="45" t="str">
        <f t="shared" si="61"/>
        <v>OverrideNamedEngramEntries=(EngramEntry_MetalSpikeWall_Bronze_C,EngramHidden=true)</v>
      </c>
      <c r="K233" s="2"/>
    </row>
    <row r="234">
      <c r="A234" s="7"/>
      <c r="B234" s="7"/>
      <c r="C234" s="46">
        <f t="shared" si="55"/>
        <v>14</v>
      </c>
      <c r="D234" s="46" t="str">
        <f t="shared" si="56"/>
        <v>PrimalItemStructure</v>
      </c>
      <c r="E234" s="11" t="s">
        <v>2129</v>
      </c>
      <c r="F234" s="11" t="s">
        <v>2130</v>
      </c>
      <c r="G234" s="46" t="str">
        <f t="shared" si="57"/>
        <v>cheat gfi PrimalItemStructure_PrimalBed_PN_C 1 0 0</v>
      </c>
      <c r="H234" s="11" t="s">
        <v>2131</v>
      </c>
      <c r="I234" s="46" t="str">
        <f t="shared" si="60"/>
        <v>EngramEntry_PrimalBed_PN_C</v>
      </c>
      <c r="J234" s="46" t="str">
        <f t="shared" si="61"/>
        <v>OverrideNamedEngramEntries=(EngramEntry_PrimalBed_PN_C,EngramHidden=true)</v>
      </c>
      <c r="K234" s="2"/>
    </row>
    <row r="235">
      <c r="A235" s="7"/>
      <c r="B235" s="7"/>
      <c r="C235" s="45">
        <f t="shared" si="55"/>
        <v>14</v>
      </c>
      <c r="D235" s="45" t="str">
        <f t="shared" si="56"/>
        <v>PrimalItemStructure</v>
      </c>
      <c r="E235" s="8" t="s">
        <v>2132</v>
      </c>
      <c r="F235" s="8" t="s">
        <v>2133</v>
      </c>
      <c r="G235" s="45" t="str">
        <f t="shared" si="57"/>
        <v>cheat gfi PrimalItemStructure_PrimalBench_C 1 0 0</v>
      </c>
      <c r="H235" s="8" t="s">
        <v>2134</v>
      </c>
      <c r="I235" s="45" t="str">
        <f t="shared" si="60"/>
        <v>EngramEntry_PrimalBench_C</v>
      </c>
      <c r="J235" s="45" t="str">
        <f t="shared" si="61"/>
        <v>OverrideNamedEngramEntries=(EngramEntry_PrimalBench_C,EngramHidden=true)</v>
      </c>
      <c r="K235" s="2"/>
    </row>
    <row r="236">
      <c r="A236" s="7"/>
      <c r="B236" s="7"/>
      <c r="C236" s="46">
        <f t="shared" si="55"/>
        <v>14</v>
      </c>
      <c r="D236" s="46" t="str">
        <f t="shared" si="56"/>
        <v>PrimalItemStructure</v>
      </c>
      <c r="E236" s="11" t="s">
        <v>2135</v>
      </c>
      <c r="F236" s="11" t="s">
        <v>2136</v>
      </c>
      <c r="G236" s="46" t="str">
        <f t="shared" si="57"/>
        <v>cheat gfi PrimalItemStructure_PrimalBossAltar_C 1 0 0</v>
      </c>
      <c r="H236" s="11" t="s">
        <v>2137</v>
      </c>
      <c r="I236" s="46" t="str">
        <f t="shared" si="60"/>
        <v>EngramEntry_PrimalBossAltar_C</v>
      </c>
      <c r="J236" s="46" t="str">
        <f t="shared" si="61"/>
        <v>OverrideNamedEngramEntries=(EngramEntry_PrimalBossAltar_C,EngramHidden=true)</v>
      </c>
      <c r="K236" s="2"/>
    </row>
    <row r="237">
      <c r="A237" s="7"/>
      <c r="B237" s="7"/>
      <c r="C237" s="45">
        <f t="shared" si="55"/>
        <v>14</v>
      </c>
      <c r="D237" s="45" t="str">
        <f t="shared" si="56"/>
        <v>PrimalItemStructure</v>
      </c>
      <c r="E237" s="8" t="s">
        <v>2138</v>
      </c>
      <c r="F237" s="8" t="s">
        <v>2139</v>
      </c>
      <c r="G237" s="45" t="str">
        <f t="shared" si="57"/>
        <v>cheat gfi PrimalItemStructure_PrimalCauldron_C 1 0 0</v>
      </c>
      <c r="H237" s="8" t="s">
        <v>2140</v>
      </c>
      <c r="I237" s="45" t="str">
        <f t="shared" si="60"/>
        <v>EngramEntry_PrimalCauldron_C</v>
      </c>
      <c r="J237" s="45" t="str">
        <f t="shared" si="61"/>
        <v>OverrideNamedEngramEntries=(EngramEntry_PrimalCauldron_C,EngramHidden=true)</v>
      </c>
      <c r="K237" s="2"/>
    </row>
    <row r="238">
      <c r="A238" s="7"/>
      <c r="B238" s="7"/>
      <c r="C238" s="46">
        <f t="shared" si="55"/>
        <v>14</v>
      </c>
      <c r="D238" s="46" t="str">
        <f t="shared" si="56"/>
        <v>PrimalItemStructure</v>
      </c>
      <c r="E238" s="11" t="s">
        <v>2141</v>
      </c>
      <c r="F238" s="11" t="s">
        <v>2142</v>
      </c>
      <c r="G238" s="46" t="str">
        <f t="shared" si="57"/>
        <v>cheat gfi PrimalItemStructure_PrimalBionicForge 1 0 0</v>
      </c>
      <c r="H238" s="11" t="s">
        <v>2143</v>
      </c>
      <c r="I238" s="46" t="str">
        <f t="shared" si="60"/>
        <v>EngramEntry_PrimalBionicForge</v>
      </c>
      <c r="J238" s="46" t="str">
        <f t="shared" si="61"/>
        <v>OverrideNamedEngramEntries=(EngramEntry_PrimalBionicForge,EngramHidden=true)</v>
      </c>
      <c r="K238" s="2"/>
    </row>
    <row r="239">
      <c r="A239" s="7"/>
      <c r="B239" s="7"/>
      <c r="C239" s="45">
        <f t="shared" si="55"/>
        <v>14</v>
      </c>
      <c r="D239" s="45" t="str">
        <f t="shared" si="56"/>
        <v>PrimalItemStructure</v>
      </c>
      <c r="E239" s="8" t="s">
        <v>2144</v>
      </c>
      <c r="F239" s="8" t="s">
        <v>2145</v>
      </c>
      <c r="G239" s="45" t="str">
        <f t="shared" si="57"/>
        <v>cheat gfi PrimalItemStructure_PrimalForge_C 1 0 0</v>
      </c>
      <c r="H239" s="8" t="s">
        <v>2146</v>
      </c>
      <c r="I239" s="45" t="str">
        <f t="shared" si="60"/>
        <v>EngramEntry_PrimalForge_C</v>
      </c>
      <c r="J239" s="45" t="str">
        <f t="shared" si="61"/>
        <v>OverrideNamedEngramEntries=(EngramEntry_PrimalForge_C,EngramHidden=true)</v>
      </c>
      <c r="K239" s="2"/>
    </row>
    <row r="240">
      <c r="A240" s="7"/>
      <c r="B240" s="29"/>
      <c r="C240" s="46">
        <f t="shared" si="55"/>
        <v>14</v>
      </c>
      <c r="D240" s="46" t="str">
        <f t="shared" si="56"/>
        <v>PrimalItemStructure</v>
      </c>
      <c r="E240" s="11" t="s">
        <v>2147</v>
      </c>
      <c r="F240" s="11" t="s">
        <v>2148</v>
      </c>
      <c r="G240" s="46" t="str">
        <f t="shared" si="57"/>
        <v>cheat gfi PrimalItemStructure_PrimalIncubator_C 1 0 0</v>
      </c>
      <c r="H240" s="11" t="s">
        <v>2149</v>
      </c>
      <c r="I240" s="46" t="str">
        <f t="shared" si="60"/>
        <v>EngramEntry_PrimalIncubator_C</v>
      </c>
      <c r="J240" s="46" t="str">
        <f t="shared" si="61"/>
        <v>OverrideNamedEngramEntries=(EngramEntry_PrimalIncubator_C,EngramHidden=true)</v>
      </c>
      <c r="K240" s="2"/>
    </row>
    <row r="241">
      <c r="A241" s="7"/>
      <c r="B241" s="18"/>
      <c r="C241" s="19"/>
      <c r="D241" s="19"/>
      <c r="E241" s="19"/>
      <c r="F241" s="19"/>
      <c r="G241" s="19"/>
      <c r="H241" s="19"/>
      <c r="I241" s="19"/>
      <c r="J241" s="19"/>
      <c r="K241" s="2"/>
    </row>
    <row r="242">
      <c r="A242" s="7"/>
      <c r="B242" s="56" t="s">
        <v>2150</v>
      </c>
      <c r="C242" s="46" t="str">
        <f t="shared" ref="C242:C274" si="62">IF(D242="PrimalItemConsumable_Blood",1)+IF(D242="PrimalItemConsumable_Narcotic",2)+IF(D242="PrimalItemConsumable_Seed",3)+IF(D242="PrimalItemConsumable_Fruit",4)+IF(D242="PrimalItemConsumable_Egg_Unfertilized",5)+IF(D242="PrimalItemConsumable_Kibble",6)+IF(D242="PrimalItemConsumable_Potion",7)+IF(D242="PrimalItemConsumable_XP",8)+IF(D242="PrimalItemConsumable_Food",9)+IF(D242="PrimalItemResource",10)+IF(D242="PrimalItemResource_Hide",11)+IF(D242="PrimalItemResource_MetalIngot",12)+IF(D242="PrimalItemConsumable_Summon",13)+IF(D242="PrimalItemStructure",14)+IF(D242="PrimalItem_Weapon",15)+IF(D242="PrimalItemAmmo",16)+IF(D242="PrimalItemArmor",17)+IF(D242="PrimalItemSaddle",18)+IF(D242="PrimalItemConsumable_UnderwaterEgg",19)+IF(D242="PrimalItemConsumable_Egg",20)</f>
        <v>#VALUE!</v>
      </c>
      <c r="D242" s="46" t="str">
        <f t="shared" ref="D242:D243" si="63">Left(F242,find("Weapon",F242)+5)</f>
        <v>#VALUE!</v>
      </c>
      <c r="E242" s="11" t="s">
        <v>2151</v>
      </c>
      <c r="F242" s="11" t="s">
        <v>2152</v>
      </c>
      <c r="G242" s="46" t="str">
        <f t="shared" ref="G242:G248" si="64">"cheat gfi "&amp;F242&amp;" 1 0 0"</f>
        <v>cheat gfi PrimalItem_GrapplingBow_C 1 0 0</v>
      </c>
      <c r="H242" s="11" t="s">
        <v>2153</v>
      </c>
      <c r="I242" s="46" t="str">
        <f t="shared" ref="I242:I282" si="65">CONCATENATE("EngramEntry",RIGHT(F242,LEN(F242) - (FIND("_",F242) - 1)))</f>
        <v>EngramEntry_GrapplingBow_C</v>
      </c>
      <c r="J242" s="46" t="str">
        <f t="shared" ref="J242:J282" si="66">"OverrideNamedEngramEntries=("&amp;I242&amp;",EngramHidden=true)"</f>
        <v>OverrideNamedEngramEntries=(EngramEntry_GrapplingBow_C,EngramHidden=true)</v>
      </c>
      <c r="K242" s="2"/>
    </row>
    <row r="243">
      <c r="A243" s="7"/>
      <c r="B243" s="7"/>
      <c r="C243" s="45">
        <f t="shared" si="62"/>
        <v>15</v>
      </c>
      <c r="D243" s="45" t="str">
        <f t="shared" si="63"/>
        <v>PrimalItem_Weapon</v>
      </c>
      <c r="E243" s="8" t="s">
        <v>2154</v>
      </c>
      <c r="F243" s="8" t="s">
        <v>2155</v>
      </c>
      <c r="G243" s="45" t="str">
        <f t="shared" si="64"/>
        <v>cheat gfi PrimalItem_WeaponBola_Primal_C 1 0 0</v>
      </c>
      <c r="H243" s="8" t="s">
        <v>2156</v>
      </c>
      <c r="I243" s="45" t="str">
        <f t="shared" si="65"/>
        <v>EngramEntry_WeaponBola_Primal_C</v>
      </c>
      <c r="J243" s="45" t="str">
        <f t="shared" si="66"/>
        <v>OverrideNamedEngramEntries=(EngramEntry_WeaponBola_Primal_C,EngramHidden=true)</v>
      </c>
      <c r="K243" s="2"/>
    </row>
    <row r="244">
      <c r="A244" s="7"/>
      <c r="B244" s="7"/>
      <c r="C244" s="46">
        <f t="shared" si="62"/>
        <v>0</v>
      </c>
      <c r="D244" s="46"/>
      <c r="E244" s="11" t="s">
        <v>2157</v>
      </c>
      <c r="F244" s="11" t="s">
        <v>2158</v>
      </c>
      <c r="G244" s="46" t="str">
        <f t="shared" si="64"/>
        <v>cheat gfi PrimalItem_WeaponMiningDrill_Child_C 1 0 0</v>
      </c>
      <c r="H244" s="11" t="s">
        <v>2159</v>
      </c>
      <c r="I244" s="46" t="str">
        <f t="shared" si="65"/>
        <v>EngramEntry_WeaponMiningDrill_Child_C</v>
      </c>
      <c r="J244" s="46" t="str">
        <f t="shared" si="66"/>
        <v>OverrideNamedEngramEntries=(EngramEntry_WeaponMiningDrill_Child_C,EngramHidden=true)</v>
      </c>
      <c r="K244" s="2"/>
    </row>
    <row r="245">
      <c r="A245" s="7"/>
      <c r="B245" s="7"/>
      <c r="C245" s="45">
        <f t="shared" si="62"/>
        <v>0</v>
      </c>
      <c r="D245" s="45"/>
      <c r="E245" s="8" t="s">
        <v>2160</v>
      </c>
      <c r="F245" s="8" t="s">
        <v>2161</v>
      </c>
      <c r="G245" s="45" t="str">
        <f t="shared" si="64"/>
        <v>cheat gfi PrimalItem_WeaponNetGun_Plasma_C 1 0 0</v>
      </c>
      <c r="H245" s="8" t="s">
        <v>2162</v>
      </c>
      <c r="I245" s="45" t="str">
        <f t="shared" si="65"/>
        <v>EngramEntry_WeaponNetGun_Plasma_C</v>
      </c>
      <c r="J245" s="45" t="str">
        <f t="shared" si="66"/>
        <v>OverrideNamedEngramEntries=(EngramEntry_WeaponNetGun_Plasma_C,EngramHidden=true)</v>
      </c>
      <c r="K245" s="2"/>
    </row>
    <row r="246">
      <c r="A246" s="7"/>
      <c r="B246" s="7"/>
      <c r="C246" s="46" t="str">
        <f t="shared" si="62"/>
        <v>#VALUE!</v>
      </c>
      <c r="D246" s="46" t="str">
        <f t="shared" ref="D246:D260" si="67">Left(F246,find("Weapon",F246)+5)</f>
        <v>#VALUE!</v>
      </c>
      <c r="E246" s="11" t="s">
        <v>2163</v>
      </c>
      <c r="F246" s="11" t="s">
        <v>2164</v>
      </c>
      <c r="G246" s="46" t="str">
        <f t="shared" si="64"/>
        <v>cheat gfi Primalitem_ReusableParachute_C 1 0 0</v>
      </c>
      <c r="H246" s="11" t="s">
        <v>2165</v>
      </c>
      <c r="I246" s="46" t="str">
        <f t="shared" si="65"/>
        <v>EngramEntry_ReusableParachute_C</v>
      </c>
      <c r="J246" s="46" t="str">
        <f t="shared" si="66"/>
        <v>OverrideNamedEngramEntries=(EngramEntry_ReusableParachute_C,EngramHidden=true)</v>
      </c>
      <c r="K246" s="2"/>
    </row>
    <row r="247">
      <c r="A247" s="7"/>
      <c r="B247" s="7"/>
      <c r="C247" s="45" t="str">
        <f t="shared" si="62"/>
        <v>#VALUE!</v>
      </c>
      <c r="D247" s="45" t="str">
        <f t="shared" si="67"/>
        <v>#VALUE!</v>
      </c>
      <c r="E247" s="8" t="s">
        <v>2166</v>
      </c>
      <c r="F247" s="8" t="s">
        <v>2167</v>
      </c>
      <c r="G247" s="45" t="str">
        <f t="shared" si="64"/>
        <v>cheat gfi PrimalItem_ReusableSpear_C 1 0 0</v>
      </c>
      <c r="H247" s="8" t="s">
        <v>2168</v>
      </c>
      <c r="I247" s="45" t="str">
        <f t="shared" si="65"/>
        <v>EngramEntry_ReusableSpear_C</v>
      </c>
      <c r="J247" s="45" t="str">
        <f t="shared" si="66"/>
        <v>OverrideNamedEngramEntries=(EngramEntry_ReusableSpear_C,EngramHidden=true)</v>
      </c>
      <c r="K247" s="2"/>
    </row>
    <row r="248">
      <c r="A248" s="7"/>
      <c r="B248" s="7"/>
      <c r="C248" s="46">
        <f t="shared" si="62"/>
        <v>15</v>
      </c>
      <c r="D248" s="46" t="str">
        <f t="shared" si="67"/>
        <v>PrimalItem_Weapon</v>
      </c>
      <c r="E248" s="11" t="s">
        <v>2169</v>
      </c>
      <c r="F248" s="11" t="s">
        <v>2170</v>
      </c>
      <c r="G248" s="46" t="str">
        <f t="shared" si="64"/>
        <v>cheat gfi PrimalItem_WeaponGeneScanner_Primal_C 1 0 0</v>
      </c>
      <c r="H248" s="11" t="s">
        <v>2171</v>
      </c>
      <c r="I248" s="46" t="str">
        <f t="shared" si="65"/>
        <v>EngramEntry_WeaponGeneScanner_Primal_C</v>
      </c>
      <c r="J248" s="46" t="str">
        <f t="shared" si="66"/>
        <v>OverrideNamedEngramEntries=(EngramEntry_WeaponGeneScanner_Primal_C,EngramHidden=true)</v>
      </c>
      <c r="K248" s="2"/>
    </row>
    <row r="249">
      <c r="A249" s="7"/>
      <c r="B249" s="7"/>
      <c r="C249" s="45">
        <f t="shared" si="62"/>
        <v>15</v>
      </c>
      <c r="D249" s="45" t="str">
        <f t="shared" si="67"/>
        <v>PrimalItem_Weapon</v>
      </c>
      <c r="E249" s="8" t="s">
        <v>2172</v>
      </c>
      <c r="F249" s="8" t="s">
        <v>2173</v>
      </c>
      <c r="G249" s="45" t="str">
        <f t="shared" ref="G249:G260" si="68">"cheat gfi "&amp;F249&amp;" 1 100 0"</f>
        <v>cheat gfi PrimalItem_WeaponMetalHatchet_Brass_C 1 100 0</v>
      </c>
      <c r="H249" s="8" t="s">
        <v>2174</v>
      </c>
      <c r="I249" s="45" t="str">
        <f t="shared" si="65"/>
        <v>EngramEntry_WeaponMetalHatchet_Brass_C</v>
      </c>
      <c r="J249" s="45" t="str">
        <f t="shared" si="66"/>
        <v>OverrideNamedEngramEntries=(EngramEntry_WeaponMetalHatchet_Brass_C,EngramHidden=true)</v>
      </c>
      <c r="K249" s="2"/>
    </row>
    <row r="250">
      <c r="A250" s="7"/>
      <c r="B250" s="7"/>
      <c r="C250" s="46">
        <f t="shared" si="62"/>
        <v>15</v>
      </c>
      <c r="D250" s="46" t="str">
        <f t="shared" si="67"/>
        <v>PrimalItem_Weapon</v>
      </c>
      <c r="E250" s="11" t="s">
        <v>2175</v>
      </c>
      <c r="F250" s="11" t="s">
        <v>2176</v>
      </c>
      <c r="G250" s="46" t="str">
        <f t="shared" si="68"/>
        <v>cheat gfi PrimalItem_WeaponMetalHatchet_Bronze_C 1 100 0</v>
      </c>
      <c r="H250" s="11" t="s">
        <v>2177</v>
      </c>
      <c r="I250" s="46" t="str">
        <f t="shared" si="65"/>
        <v>EngramEntry_WeaponMetalHatchet_Bronze_C</v>
      </c>
      <c r="J250" s="46" t="str">
        <f t="shared" si="66"/>
        <v>OverrideNamedEngramEntries=(EngramEntry_WeaponMetalHatchet_Bronze_C,EngramHidden=true)</v>
      </c>
      <c r="K250" s="2"/>
    </row>
    <row r="251">
      <c r="A251" s="7"/>
      <c r="B251" s="7"/>
      <c r="C251" s="45">
        <f t="shared" si="62"/>
        <v>15</v>
      </c>
      <c r="D251" s="45" t="str">
        <f t="shared" si="67"/>
        <v>PrimalItem_Weapon</v>
      </c>
      <c r="E251" s="8" t="s">
        <v>2178</v>
      </c>
      <c r="F251" s="8" t="s">
        <v>2179</v>
      </c>
      <c r="G251" s="45" t="str">
        <f t="shared" si="68"/>
        <v>cheat gfi PrimalItem_WeaponMetalHatchet_Steel_C 1 100 0</v>
      </c>
      <c r="H251" s="8" t="s">
        <v>2180</v>
      </c>
      <c r="I251" s="45" t="str">
        <f t="shared" si="65"/>
        <v>EngramEntry_WeaponMetalHatchet_Steel_C</v>
      </c>
      <c r="J251" s="45" t="str">
        <f t="shared" si="66"/>
        <v>OverrideNamedEngramEntries=(EngramEntry_WeaponMetalHatchet_Steel_C,EngramHidden=true)</v>
      </c>
      <c r="K251" s="2"/>
    </row>
    <row r="252">
      <c r="A252" s="7"/>
      <c r="B252" s="7"/>
      <c r="C252" s="46">
        <f t="shared" si="62"/>
        <v>15</v>
      </c>
      <c r="D252" s="46" t="str">
        <f t="shared" si="67"/>
        <v>PrimalItem_Weapon</v>
      </c>
      <c r="E252" s="11" t="s">
        <v>2181</v>
      </c>
      <c r="F252" s="11" t="s">
        <v>2182</v>
      </c>
      <c r="G252" s="46" t="str">
        <f t="shared" si="68"/>
        <v>cheat gfi PrimalItem_WeaponMetalPick_Brass_C 1 100 0</v>
      </c>
      <c r="H252" s="11" t="s">
        <v>2183</v>
      </c>
      <c r="I252" s="46" t="str">
        <f t="shared" si="65"/>
        <v>EngramEntry_WeaponMetalPick_Brass_C</v>
      </c>
      <c r="J252" s="46" t="str">
        <f t="shared" si="66"/>
        <v>OverrideNamedEngramEntries=(EngramEntry_WeaponMetalPick_Brass_C,EngramHidden=true)</v>
      </c>
      <c r="K252" s="2"/>
    </row>
    <row r="253">
      <c r="A253" s="7"/>
      <c r="B253" s="7"/>
      <c r="C253" s="45">
        <f t="shared" si="62"/>
        <v>15</v>
      </c>
      <c r="D253" s="45" t="str">
        <f t="shared" si="67"/>
        <v>PrimalItem_Weapon</v>
      </c>
      <c r="E253" s="8" t="s">
        <v>2184</v>
      </c>
      <c r="F253" s="8" t="s">
        <v>2185</v>
      </c>
      <c r="G253" s="45" t="str">
        <f t="shared" si="68"/>
        <v>cheat gfi PrimalItem_WeaponMetalPick_Bronze_C 1 100 0</v>
      </c>
      <c r="H253" s="8" t="s">
        <v>2186</v>
      </c>
      <c r="I253" s="45" t="str">
        <f t="shared" si="65"/>
        <v>EngramEntry_WeaponMetalPick_Bronze_C</v>
      </c>
      <c r="J253" s="45" t="str">
        <f t="shared" si="66"/>
        <v>OverrideNamedEngramEntries=(EngramEntry_WeaponMetalPick_Bronze_C,EngramHidden=true)</v>
      </c>
      <c r="K253" s="2"/>
    </row>
    <row r="254">
      <c r="A254" s="7"/>
      <c r="B254" s="7"/>
      <c r="C254" s="46">
        <f t="shared" si="62"/>
        <v>15</v>
      </c>
      <c r="D254" s="46" t="str">
        <f t="shared" si="67"/>
        <v>PrimalItem_Weapon</v>
      </c>
      <c r="E254" s="11" t="s">
        <v>2187</v>
      </c>
      <c r="F254" s="11" t="s">
        <v>2188</v>
      </c>
      <c r="G254" s="46" t="str">
        <f t="shared" si="68"/>
        <v>cheat gfi PrimalItem_WeaponMetalPick_Steel_C 1 100 0</v>
      </c>
      <c r="H254" s="11" t="s">
        <v>2189</v>
      </c>
      <c r="I254" s="46" t="str">
        <f t="shared" si="65"/>
        <v>EngramEntry_WeaponMetalPick_Steel_C</v>
      </c>
      <c r="J254" s="46" t="str">
        <f t="shared" si="66"/>
        <v>OverrideNamedEngramEntries=(EngramEntry_WeaponMetalPick_Steel_C,EngramHidden=true)</v>
      </c>
      <c r="K254" s="2"/>
    </row>
    <row r="255">
      <c r="A255" s="7"/>
      <c r="B255" s="7"/>
      <c r="C255" s="45">
        <f t="shared" si="62"/>
        <v>15</v>
      </c>
      <c r="D255" s="45" t="str">
        <f t="shared" si="67"/>
        <v>PrimalItem_Weapon</v>
      </c>
      <c r="E255" s="8" t="s">
        <v>2190</v>
      </c>
      <c r="F255" s="8" t="s">
        <v>2191</v>
      </c>
      <c r="G255" s="45" t="str">
        <f t="shared" si="68"/>
        <v>cheat gfi PrimalItem_WeaponPike_Brass_C 1 100 0</v>
      </c>
      <c r="H255" s="8" t="s">
        <v>2192</v>
      </c>
      <c r="I255" s="45" t="str">
        <f t="shared" si="65"/>
        <v>EngramEntry_WeaponPike_Brass_C</v>
      </c>
      <c r="J255" s="45" t="str">
        <f t="shared" si="66"/>
        <v>OverrideNamedEngramEntries=(EngramEntry_WeaponPike_Brass_C,EngramHidden=true)</v>
      </c>
      <c r="K255" s="2"/>
    </row>
    <row r="256">
      <c r="A256" s="7"/>
      <c r="B256" s="7"/>
      <c r="C256" s="46">
        <f t="shared" si="62"/>
        <v>15</v>
      </c>
      <c r="D256" s="46" t="str">
        <f t="shared" si="67"/>
        <v>PrimalItem_Weapon</v>
      </c>
      <c r="E256" s="11" t="s">
        <v>2193</v>
      </c>
      <c r="F256" s="11" t="s">
        <v>2194</v>
      </c>
      <c r="G256" s="46" t="str">
        <f t="shared" si="68"/>
        <v>cheat gfi PrimalItem_WeaponPike_Bronze_C 1 100 0</v>
      </c>
      <c r="H256" s="11" t="s">
        <v>2195</v>
      </c>
      <c r="I256" s="46" t="str">
        <f t="shared" si="65"/>
        <v>EngramEntry_WeaponPike_Bronze_C</v>
      </c>
      <c r="J256" s="46" t="str">
        <f t="shared" si="66"/>
        <v>OverrideNamedEngramEntries=(EngramEntry_WeaponPike_Bronze_C,EngramHidden=true)</v>
      </c>
      <c r="K256" s="2"/>
    </row>
    <row r="257">
      <c r="A257" s="7"/>
      <c r="B257" s="7"/>
      <c r="C257" s="45">
        <f t="shared" si="62"/>
        <v>15</v>
      </c>
      <c r="D257" s="45" t="str">
        <f t="shared" si="67"/>
        <v>PrimalItem_Weapon</v>
      </c>
      <c r="E257" s="8" t="s">
        <v>2196</v>
      </c>
      <c r="F257" s="8" t="s">
        <v>2197</v>
      </c>
      <c r="G257" s="45" t="str">
        <f t="shared" si="68"/>
        <v>cheat gfi PrimalItem_WeaponPike_Steel_C 1 100 0</v>
      </c>
      <c r="H257" s="8" t="s">
        <v>2198</v>
      </c>
      <c r="I257" s="45" t="str">
        <f t="shared" si="65"/>
        <v>EngramEntry_WeaponPike_Steel_C</v>
      </c>
      <c r="J257" s="45" t="str">
        <f t="shared" si="66"/>
        <v>OverrideNamedEngramEntries=(EngramEntry_WeaponPike_Steel_C,EngramHidden=true)</v>
      </c>
      <c r="K257" s="2"/>
    </row>
    <row r="258">
      <c r="A258" s="7"/>
      <c r="B258" s="7"/>
      <c r="C258" s="57">
        <f t="shared" si="62"/>
        <v>15</v>
      </c>
      <c r="D258" s="58" t="str">
        <f t="shared" si="67"/>
        <v>PrimalItem_Weapon</v>
      </c>
      <c r="E258" s="59" t="s">
        <v>2199</v>
      </c>
      <c r="F258" s="59" t="s">
        <v>2200</v>
      </c>
      <c r="G258" s="46" t="str">
        <f t="shared" si="68"/>
        <v>cheat gfi PrimalItem_WeaponSickle_Brass_C 1 100 0</v>
      </c>
      <c r="H258" s="59" t="s">
        <v>2201</v>
      </c>
      <c r="I258" s="46" t="str">
        <f t="shared" si="65"/>
        <v>EngramEntry_WeaponSickle_Brass_C</v>
      </c>
      <c r="J258" s="46" t="str">
        <f t="shared" si="66"/>
        <v>OverrideNamedEngramEntries=(EngramEntry_WeaponSickle_Brass_C,EngramHidden=true)</v>
      </c>
      <c r="K258" s="2"/>
    </row>
    <row r="259">
      <c r="A259" s="7"/>
      <c r="B259" s="7"/>
      <c r="C259" s="60">
        <f t="shared" si="62"/>
        <v>15</v>
      </c>
      <c r="D259" s="61" t="str">
        <f t="shared" si="67"/>
        <v>PrimalItem_Weapon</v>
      </c>
      <c r="E259" s="62" t="s">
        <v>2202</v>
      </c>
      <c r="F259" s="62" t="s">
        <v>2203</v>
      </c>
      <c r="G259" s="45" t="str">
        <f t="shared" si="68"/>
        <v>cheat gfi PrimalItem_WeaponSickle_Bronze_C 1 100 0</v>
      </c>
      <c r="H259" s="62" t="s">
        <v>2204</v>
      </c>
      <c r="I259" s="45" t="str">
        <f t="shared" si="65"/>
        <v>EngramEntry_WeaponSickle_Bronze_C</v>
      </c>
      <c r="J259" s="45" t="str">
        <f t="shared" si="66"/>
        <v>OverrideNamedEngramEntries=(EngramEntry_WeaponSickle_Bronze_C,EngramHidden=true)</v>
      </c>
      <c r="K259" s="2"/>
    </row>
    <row r="260">
      <c r="A260" s="7"/>
      <c r="B260" s="7"/>
      <c r="C260" s="57">
        <f t="shared" si="62"/>
        <v>15</v>
      </c>
      <c r="D260" s="58" t="str">
        <f t="shared" si="67"/>
        <v>PrimalItem_Weapon</v>
      </c>
      <c r="E260" s="59" t="s">
        <v>2205</v>
      </c>
      <c r="F260" s="59" t="s">
        <v>2206</v>
      </c>
      <c r="G260" s="46" t="str">
        <f t="shared" si="68"/>
        <v>cheat gfi PrimalItem_WeaponSickle_Steel_C 1 100 0</v>
      </c>
      <c r="H260" s="59" t="s">
        <v>2207</v>
      </c>
      <c r="I260" s="46" t="str">
        <f t="shared" si="65"/>
        <v>EngramEntry_WeaponSickle_Steel_C</v>
      </c>
      <c r="J260" s="46" t="str">
        <f t="shared" si="66"/>
        <v>OverrideNamedEngramEntries=(EngramEntry_WeaponSickle_Steel_C,EngramHidden=true)</v>
      </c>
      <c r="K260" s="2"/>
    </row>
    <row r="261">
      <c r="A261" s="7"/>
      <c r="B261" s="7"/>
      <c r="C261" s="45">
        <f t="shared" si="62"/>
        <v>16</v>
      </c>
      <c r="D261" s="8" t="str">
        <f t="shared" ref="D261:D274" si="69">Left(F261,find("Ammo",F261)+3)</f>
        <v>PrimalItemAmmo</v>
      </c>
      <c r="E261" s="8" t="s">
        <v>2208</v>
      </c>
      <c r="F261" s="8" t="s">
        <v>2209</v>
      </c>
      <c r="G261" s="45" t="str">
        <f t="shared" ref="G261:G282" si="70">"cheat gfi "&amp;F261&amp;" 1 0 0"</f>
        <v>cheat gfi PrimalItemAmmo_AdvancedSniperBullet_ADV_C 1 0 0</v>
      </c>
      <c r="H261" s="8" t="s">
        <v>2210</v>
      </c>
      <c r="I261" s="45" t="str">
        <f t="shared" si="65"/>
        <v>EngramEntry_AdvancedSniperBullet_ADV_C</v>
      </c>
      <c r="J261" s="45" t="str">
        <f t="shared" si="66"/>
        <v>OverrideNamedEngramEntries=(EngramEntry_AdvancedSniperBullet_ADV_C,EngramHidden=true)</v>
      </c>
      <c r="K261" s="2"/>
    </row>
    <row r="262">
      <c r="A262" s="7"/>
      <c r="B262" s="7"/>
      <c r="C262" s="46">
        <f t="shared" si="62"/>
        <v>16</v>
      </c>
      <c r="D262" s="11" t="str">
        <f t="shared" si="69"/>
        <v>PrimalItemAmmo</v>
      </c>
      <c r="E262" s="11" t="s">
        <v>2211</v>
      </c>
      <c r="F262" s="11" t="s">
        <v>2212</v>
      </c>
      <c r="G262" s="46" t="str">
        <f t="shared" si="70"/>
        <v>cheat gfi PrimalItemAmmo_AdvancedSniperBullet_Alpha_C 1 0 0</v>
      </c>
      <c r="H262" s="11" t="s">
        <v>2213</v>
      </c>
      <c r="I262" s="46" t="str">
        <f t="shared" si="65"/>
        <v>EngramEntry_AdvancedSniperBullet_Alpha_C</v>
      </c>
      <c r="J262" s="46" t="str">
        <f t="shared" si="66"/>
        <v>OverrideNamedEngramEntries=(EngramEntry_AdvancedSniperBullet_Alpha_C,EngramHidden=true)</v>
      </c>
      <c r="K262" s="2"/>
    </row>
    <row r="263">
      <c r="A263" s="7"/>
      <c r="B263" s="7"/>
      <c r="C263" s="45">
        <f t="shared" si="62"/>
        <v>16</v>
      </c>
      <c r="D263" s="8" t="str">
        <f t="shared" si="69"/>
        <v>PrimalItemAmmo</v>
      </c>
      <c r="E263" s="8" t="s">
        <v>2214</v>
      </c>
      <c r="F263" s="8" t="s">
        <v>2215</v>
      </c>
      <c r="G263" s="45" t="str">
        <f t="shared" si="70"/>
        <v>cheat gfi PrimalItemAmmo_AdvancedSniperBullet_Angelic_C 1 0 0</v>
      </c>
      <c r="H263" s="8" t="s">
        <v>2216</v>
      </c>
      <c r="I263" s="45" t="str">
        <f t="shared" si="65"/>
        <v>EngramEntry_AdvancedSniperBullet_Angelic_C</v>
      </c>
      <c r="J263" s="45" t="str">
        <f t="shared" si="66"/>
        <v>OverrideNamedEngramEntries=(EngramEntry_AdvancedSniperBullet_Angelic_C,EngramHidden=true)</v>
      </c>
      <c r="K263" s="2"/>
    </row>
    <row r="264">
      <c r="A264" s="7"/>
      <c r="B264" s="7"/>
      <c r="C264" s="46">
        <f t="shared" si="62"/>
        <v>16</v>
      </c>
      <c r="D264" s="11" t="str">
        <f t="shared" si="69"/>
        <v>PrimalItemAmmo</v>
      </c>
      <c r="E264" s="11" t="s">
        <v>2217</v>
      </c>
      <c r="F264" s="11" t="s">
        <v>2218</v>
      </c>
      <c r="G264" s="46" t="str">
        <f t="shared" si="70"/>
        <v>cheat gfi PrimalItemAmmo_AdvancedSniperBullet_Apex_C 1 0 0</v>
      </c>
      <c r="H264" s="11" t="s">
        <v>2219</v>
      </c>
      <c r="I264" s="46" t="str">
        <f t="shared" si="65"/>
        <v>EngramEntry_AdvancedSniperBullet_Apex_C</v>
      </c>
      <c r="J264" s="46" t="str">
        <f t="shared" si="66"/>
        <v>OverrideNamedEngramEntries=(EngramEntry_AdvancedSniperBullet_Apex_C,EngramHidden=true)</v>
      </c>
      <c r="K264" s="2"/>
    </row>
    <row r="265">
      <c r="A265" s="7"/>
      <c r="B265" s="7"/>
      <c r="C265" s="45">
        <f t="shared" si="62"/>
        <v>16</v>
      </c>
      <c r="D265" s="8" t="str">
        <f t="shared" si="69"/>
        <v>PrimalItemAmmo</v>
      </c>
      <c r="E265" s="8" t="s">
        <v>2220</v>
      </c>
      <c r="F265" s="8" t="s">
        <v>2221</v>
      </c>
      <c r="G265" s="45" t="str">
        <f t="shared" si="70"/>
        <v>cheat gfi PrimalItemAmmo_AdvancedSniperBullet_Demonic_C 1 0 0</v>
      </c>
      <c r="H265" s="8" t="s">
        <v>2222</v>
      </c>
      <c r="I265" s="45" t="str">
        <f t="shared" si="65"/>
        <v>EngramEntry_AdvancedSniperBullet_Demonic_C</v>
      </c>
      <c r="J265" s="45" t="str">
        <f t="shared" si="66"/>
        <v>OverrideNamedEngramEntries=(EngramEntry_AdvancedSniperBullet_Demonic_C,EngramHidden=true)</v>
      </c>
      <c r="K265" s="2"/>
    </row>
    <row r="266">
      <c r="A266" s="7"/>
      <c r="B266" s="7"/>
      <c r="C266" s="46">
        <f t="shared" si="62"/>
        <v>16</v>
      </c>
      <c r="D266" s="11" t="str">
        <f t="shared" si="69"/>
        <v>PrimalItemAmmo</v>
      </c>
      <c r="E266" s="11" t="s">
        <v>2223</v>
      </c>
      <c r="F266" s="11" t="s">
        <v>2224</v>
      </c>
      <c r="G266" s="46" t="str">
        <f t="shared" si="70"/>
        <v>cheat gfi PrimalItemAmmo_AdvancedSniperBullet_Element_C 1 0 0</v>
      </c>
      <c r="H266" s="11" t="s">
        <v>2225</v>
      </c>
      <c r="I266" s="46" t="str">
        <f t="shared" si="65"/>
        <v>EngramEntry_AdvancedSniperBullet_Element_C</v>
      </c>
      <c r="J266" s="46" t="str">
        <f t="shared" si="66"/>
        <v>OverrideNamedEngramEntries=(EngramEntry_AdvancedSniperBullet_Element_C,EngramHidden=true)</v>
      </c>
      <c r="K266" s="2"/>
    </row>
    <row r="267">
      <c r="A267" s="7"/>
      <c r="B267" s="7"/>
      <c r="C267" s="45">
        <f t="shared" si="62"/>
        <v>16</v>
      </c>
      <c r="D267" s="8" t="str">
        <f t="shared" si="69"/>
        <v>PrimalItemAmmo</v>
      </c>
      <c r="E267" s="8" t="s">
        <v>2226</v>
      </c>
      <c r="F267" s="8" t="s">
        <v>2227</v>
      </c>
      <c r="G267" s="45" t="str">
        <f t="shared" si="70"/>
        <v>cheat gfi PrimalItemAmmo_ArrowTranq_Alpha_C 1 0 0</v>
      </c>
      <c r="H267" s="8" t="s">
        <v>2228</v>
      </c>
      <c r="I267" s="45" t="str">
        <f t="shared" si="65"/>
        <v>EngramEntry_ArrowTranq_Alpha_C</v>
      </c>
      <c r="J267" s="45" t="str">
        <f t="shared" si="66"/>
        <v>OverrideNamedEngramEntries=(EngramEntry_ArrowTranq_Alpha_C,EngramHidden=true)</v>
      </c>
      <c r="K267" s="2"/>
    </row>
    <row r="268">
      <c r="A268" s="7"/>
      <c r="B268" s="7"/>
      <c r="C268" s="46">
        <f t="shared" si="62"/>
        <v>16</v>
      </c>
      <c r="D268" s="11" t="str">
        <f t="shared" si="69"/>
        <v>PrimalItemAmmo</v>
      </c>
      <c r="E268" s="11" t="s">
        <v>2229</v>
      </c>
      <c r="F268" s="11" t="s">
        <v>2230</v>
      </c>
      <c r="G268" s="46" t="str">
        <f t="shared" si="70"/>
        <v>cheat gfi PrimalItemAmmo_ArrowTranq_Apex_C 1 0 0</v>
      </c>
      <c r="H268" s="11" t="s">
        <v>2231</v>
      </c>
      <c r="I268" s="46" t="str">
        <f t="shared" si="65"/>
        <v>EngramEntry_ArrowTranq_Apex_C</v>
      </c>
      <c r="J268" s="46" t="str">
        <f t="shared" si="66"/>
        <v>OverrideNamedEngramEntries=(EngramEntry_ArrowTranq_Apex_C,EngramHidden=true)</v>
      </c>
      <c r="K268" s="2"/>
    </row>
    <row r="269">
      <c r="A269" s="7"/>
      <c r="B269" s="7"/>
      <c r="C269" s="45">
        <f t="shared" si="62"/>
        <v>16</v>
      </c>
      <c r="D269" s="8" t="str">
        <f t="shared" si="69"/>
        <v>PrimalItemAmmo</v>
      </c>
      <c r="E269" s="8" t="s">
        <v>2232</v>
      </c>
      <c r="F269" s="8" t="s">
        <v>2233</v>
      </c>
      <c r="G269" s="45" t="str">
        <f t="shared" si="70"/>
        <v>cheat gfi PrimalItemAmmo_CompoundBowArrow_ADV_C 1 0 0</v>
      </c>
      <c r="H269" s="8" t="s">
        <v>2234</v>
      </c>
      <c r="I269" s="45" t="str">
        <f t="shared" si="65"/>
        <v>EngramEntry_CompoundBowArrow_ADV_C</v>
      </c>
      <c r="J269" s="45" t="str">
        <f t="shared" si="66"/>
        <v>OverrideNamedEngramEntries=(EngramEntry_CompoundBowArrow_ADV_C,EngramHidden=true)</v>
      </c>
      <c r="K269" s="2"/>
    </row>
    <row r="270">
      <c r="A270" s="7"/>
      <c r="B270" s="7"/>
      <c r="C270" s="46">
        <f t="shared" si="62"/>
        <v>16</v>
      </c>
      <c r="D270" s="11" t="str">
        <f t="shared" si="69"/>
        <v>PrimalItemAmmo</v>
      </c>
      <c r="E270" s="11" t="s">
        <v>2235</v>
      </c>
      <c r="F270" s="11" t="s">
        <v>2236</v>
      </c>
      <c r="G270" s="46" t="str">
        <f t="shared" si="70"/>
        <v>cheat gfi PrimalItemAmmo_CompoundBowArrow_Alpha_C 1 0 0</v>
      </c>
      <c r="H270" s="11" t="s">
        <v>2237</v>
      </c>
      <c r="I270" s="46" t="str">
        <f t="shared" si="65"/>
        <v>EngramEntry_CompoundBowArrow_Alpha_C</v>
      </c>
      <c r="J270" s="46" t="str">
        <f t="shared" si="66"/>
        <v>OverrideNamedEngramEntries=(EngramEntry_CompoundBowArrow_Alpha_C,EngramHidden=true)</v>
      </c>
      <c r="K270" s="2"/>
    </row>
    <row r="271">
      <c r="A271" s="7"/>
      <c r="B271" s="7"/>
      <c r="C271" s="45">
        <f t="shared" si="62"/>
        <v>16</v>
      </c>
      <c r="D271" s="8" t="str">
        <f t="shared" si="69"/>
        <v>PrimalItemAmmo</v>
      </c>
      <c r="E271" s="8" t="s">
        <v>2238</v>
      </c>
      <c r="F271" s="8" t="s">
        <v>2239</v>
      </c>
      <c r="G271" s="45" t="str">
        <f t="shared" si="70"/>
        <v>cheat gfi PrimalItemAmmo_CompoundBowArrow_Angelic_C 1 0 0</v>
      </c>
      <c r="H271" s="8" t="s">
        <v>2240</v>
      </c>
      <c r="I271" s="45" t="str">
        <f t="shared" si="65"/>
        <v>EngramEntry_CompoundBowArrow_Angelic_C</v>
      </c>
      <c r="J271" s="45" t="str">
        <f t="shared" si="66"/>
        <v>OverrideNamedEngramEntries=(EngramEntry_CompoundBowArrow_Angelic_C,EngramHidden=true)</v>
      </c>
      <c r="K271" s="2"/>
    </row>
    <row r="272">
      <c r="A272" s="7"/>
      <c r="B272" s="7"/>
      <c r="C272" s="46">
        <f t="shared" si="62"/>
        <v>16</v>
      </c>
      <c r="D272" s="11" t="str">
        <f t="shared" si="69"/>
        <v>PrimalItemAmmo</v>
      </c>
      <c r="E272" s="11" t="s">
        <v>2241</v>
      </c>
      <c r="F272" s="11" t="s">
        <v>2242</v>
      </c>
      <c r="G272" s="46" t="str">
        <f t="shared" si="70"/>
        <v>cheat gfi PrimalItemAmmo_CompoundBowArrow_Apex_C 1 0 0</v>
      </c>
      <c r="H272" s="11" t="s">
        <v>2243</v>
      </c>
      <c r="I272" s="46" t="str">
        <f t="shared" si="65"/>
        <v>EngramEntry_CompoundBowArrow_Apex_C</v>
      </c>
      <c r="J272" s="46" t="str">
        <f t="shared" si="66"/>
        <v>OverrideNamedEngramEntries=(EngramEntry_CompoundBowArrow_Apex_C,EngramHidden=true)</v>
      </c>
      <c r="K272" s="2"/>
    </row>
    <row r="273">
      <c r="A273" s="7"/>
      <c r="B273" s="7"/>
      <c r="C273" s="45">
        <f t="shared" si="62"/>
        <v>16</v>
      </c>
      <c r="D273" s="8" t="str">
        <f t="shared" si="69"/>
        <v>PrimalItemAmmo</v>
      </c>
      <c r="E273" s="8" t="s">
        <v>2244</v>
      </c>
      <c r="F273" s="8" t="s">
        <v>2245</v>
      </c>
      <c r="G273" s="45" t="str">
        <f t="shared" si="70"/>
        <v>cheat gfi PrimalItemAmmo_CompoundBowArrow_Demonic_C 1 0 0</v>
      </c>
      <c r="H273" s="8" t="s">
        <v>2246</v>
      </c>
      <c r="I273" s="45" t="str">
        <f t="shared" si="65"/>
        <v>EngramEntry_CompoundBowArrow_Demonic_C</v>
      </c>
      <c r="J273" s="45" t="str">
        <f t="shared" si="66"/>
        <v>OverrideNamedEngramEntries=(EngramEntry_CompoundBowArrow_Demonic_C,EngramHidden=true)</v>
      </c>
      <c r="K273" s="2"/>
    </row>
    <row r="274">
      <c r="A274" s="7"/>
      <c r="B274" s="7"/>
      <c r="C274" s="46">
        <f t="shared" si="62"/>
        <v>16</v>
      </c>
      <c r="D274" s="11" t="str">
        <f t="shared" si="69"/>
        <v>PrimalItemAmmo</v>
      </c>
      <c r="E274" s="11" t="s">
        <v>2247</v>
      </c>
      <c r="F274" s="11" t="s">
        <v>2248</v>
      </c>
      <c r="G274" s="46" t="str">
        <f t="shared" si="70"/>
        <v>cheat gfi PrimalItemAmmo_CompoundBowArrow_Element_C 1 0 0</v>
      </c>
      <c r="H274" s="11" t="s">
        <v>2249</v>
      </c>
      <c r="I274" s="46" t="str">
        <f t="shared" si="65"/>
        <v>EngramEntry_CompoundBowArrow_Element_C</v>
      </c>
      <c r="J274" s="46" t="str">
        <f t="shared" si="66"/>
        <v>OverrideNamedEngramEntries=(EngramEntry_CompoundBowArrow_Element_C,EngramHidden=true)</v>
      </c>
      <c r="K274" s="2"/>
    </row>
    <row r="275">
      <c r="A275" s="7"/>
      <c r="B275" s="7"/>
      <c r="C275" s="45"/>
      <c r="D275" s="8"/>
      <c r="E275" s="8" t="s">
        <v>2250</v>
      </c>
      <c r="F275" s="8" t="s">
        <v>2251</v>
      </c>
      <c r="G275" s="45" t="str">
        <f t="shared" si="70"/>
        <v>cheat gfi PrimalItemAmmo_NetGun_Plasma_C 1 0 0</v>
      </c>
      <c r="H275" s="8" t="s">
        <v>2252</v>
      </c>
      <c r="I275" s="45" t="str">
        <f t="shared" si="65"/>
        <v>EngramEntry_NetGun_Plasma_C</v>
      </c>
      <c r="J275" s="45" t="str">
        <f t="shared" si="66"/>
        <v>OverrideNamedEngramEntries=(EngramEntry_NetGun_Plasma_C,EngramHidden=true)</v>
      </c>
      <c r="K275" s="2"/>
    </row>
    <row r="276">
      <c r="A276" s="7"/>
      <c r="B276" s="7"/>
      <c r="C276" s="46"/>
      <c r="D276" s="11"/>
      <c r="E276" s="11" t="s">
        <v>1320</v>
      </c>
      <c r="F276" s="11" t="s">
        <v>1840</v>
      </c>
      <c r="G276" s="46" t="str">
        <f t="shared" si="70"/>
        <v>cheat gfi PrimalItemResource_Essence_Plasma_C 1 0 0</v>
      </c>
      <c r="H276" s="11" t="s">
        <v>2253</v>
      </c>
      <c r="I276" s="46" t="str">
        <f t="shared" si="65"/>
        <v>EngramEntry_Essence_Plasma_C</v>
      </c>
      <c r="J276" s="46" t="str">
        <f t="shared" si="66"/>
        <v>OverrideNamedEngramEntries=(EngramEntry_Essence_Plasma_C,EngramHidden=true)</v>
      </c>
      <c r="K276" s="2"/>
    </row>
    <row r="277">
      <c r="A277" s="7"/>
      <c r="B277" s="7"/>
      <c r="C277" s="45">
        <f t="shared" ref="C277:C282" si="71">IF(D277="PrimalItemConsumable_Blood",1)+IF(D277="PrimalItemConsumable_Narcotic",2)+IF(D277="PrimalItemConsumable_Seed",3)+IF(D277="PrimalItemConsumable_Fruit",4)+IF(D277="PrimalItemConsumable_Egg_Unfertilized",5)+IF(D277="PrimalItemConsumable_Kibble",6)+IF(D277="PrimalItemConsumable_Potion",7)+IF(D277="PrimalItemConsumable_XP",8)+IF(D277="PrimalItemConsumable_Food",9)+IF(D277="PrimalItemResource",10)+IF(D277="PrimalItemResource_Hide",11)+IF(D277="PrimalItemResource_MetalIngot",12)+IF(D277="PrimalItemConsumable_Summon",13)+IF(D277="PrimalItemStructure",14)+IF(D277="PrimalItem_Weapon",15)+IF(D277="PrimalItemAmmo",16)+IF(D277="PrimalItemArmor",17)+IF(D277="PrimalItemSaddle",18)+IF(D277="PrimalItemConsumable_UnderwaterEgg",19)+IF(D277="PrimalItemConsumable_Egg",20)</f>
        <v>16</v>
      </c>
      <c r="D277" s="8" t="str">
        <f t="shared" ref="D277:D282" si="72">Left(F277,find("Ammo",F277)+3)</f>
        <v>PrimalItemAmmo</v>
      </c>
      <c r="E277" s="8" t="s">
        <v>2254</v>
      </c>
      <c r="F277" s="8" t="s">
        <v>2255</v>
      </c>
      <c r="G277" s="45" t="str">
        <f t="shared" si="70"/>
        <v>cheat gfi PrimalItemAmmo_TranqDart_ADV_C 1 0 0</v>
      </c>
      <c r="H277" s="8" t="s">
        <v>2256</v>
      </c>
      <c r="I277" s="45" t="str">
        <f t="shared" si="65"/>
        <v>EngramEntry_TranqDart_ADV_C</v>
      </c>
      <c r="J277" s="45" t="str">
        <f t="shared" si="66"/>
        <v>OverrideNamedEngramEntries=(EngramEntry_TranqDart_ADV_C,EngramHidden=true)</v>
      </c>
      <c r="K277" s="2"/>
    </row>
    <row r="278">
      <c r="A278" s="7"/>
      <c r="B278" s="7"/>
      <c r="C278" s="46">
        <f t="shared" si="71"/>
        <v>16</v>
      </c>
      <c r="D278" s="11" t="str">
        <f t="shared" si="72"/>
        <v>PrimalItemAmmo</v>
      </c>
      <c r="E278" s="11" t="s">
        <v>2257</v>
      </c>
      <c r="F278" s="11" t="s">
        <v>2258</v>
      </c>
      <c r="G278" s="46" t="str">
        <f t="shared" si="70"/>
        <v>cheat gfi PrimalItemAmmo_TranqDart_Alpha_C 1 0 0</v>
      </c>
      <c r="H278" s="11" t="s">
        <v>2259</v>
      </c>
      <c r="I278" s="46" t="str">
        <f t="shared" si="65"/>
        <v>EngramEntry_TranqDart_Alpha_C</v>
      </c>
      <c r="J278" s="46" t="str">
        <f t="shared" si="66"/>
        <v>OverrideNamedEngramEntries=(EngramEntry_TranqDart_Alpha_C,EngramHidden=true)</v>
      </c>
      <c r="K278" s="2"/>
    </row>
    <row r="279">
      <c r="A279" s="7"/>
      <c r="B279" s="7"/>
      <c r="C279" s="45">
        <f t="shared" si="71"/>
        <v>16</v>
      </c>
      <c r="D279" s="8" t="str">
        <f t="shared" si="72"/>
        <v>PrimalItemAmmo</v>
      </c>
      <c r="E279" s="8" t="s">
        <v>2260</v>
      </c>
      <c r="F279" s="8" t="s">
        <v>2261</v>
      </c>
      <c r="G279" s="45" t="str">
        <f t="shared" si="70"/>
        <v>cheat gfi PrimalItemAmmo_TranqDart_Angelic_C 1 0 0</v>
      </c>
      <c r="H279" s="8" t="s">
        <v>2262</v>
      </c>
      <c r="I279" s="45" t="str">
        <f t="shared" si="65"/>
        <v>EngramEntry_TranqDart_Angelic_C</v>
      </c>
      <c r="J279" s="45" t="str">
        <f t="shared" si="66"/>
        <v>OverrideNamedEngramEntries=(EngramEntry_TranqDart_Angelic_C,EngramHidden=true)</v>
      </c>
      <c r="K279" s="2"/>
    </row>
    <row r="280">
      <c r="A280" s="7"/>
      <c r="B280" s="7"/>
      <c r="C280" s="46">
        <f t="shared" si="71"/>
        <v>16</v>
      </c>
      <c r="D280" s="11" t="str">
        <f t="shared" si="72"/>
        <v>PrimalItemAmmo</v>
      </c>
      <c r="E280" s="11" t="s">
        <v>2263</v>
      </c>
      <c r="F280" s="11" t="s">
        <v>2264</v>
      </c>
      <c r="G280" s="46" t="str">
        <f t="shared" si="70"/>
        <v>cheat gfi PrimalItemAmmo_TranqDart_Apex_C 1 0 0</v>
      </c>
      <c r="H280" s="11" t="s">
        <v>2265</v>
      </c>
      <c r="I280" s="46" t="str">
        <f t="shared" si="65"/>
        <v>EngramEntry_TranqDart_Apex_C</v>
      </c>
      <c r="J280" s="46" t="str">
        <f t="shared" si="66"/>
        <v>OverrideNamedEngramEntries=(EngramEntry_TranqDart_Apex_C,EngramHidden=true)</v>
      </c>
      <c r="K280" s="2"/>
    </row>
    <row r="281">
      <c r="A281" s="7"/>
      <c r="B281" s="7"/>
      <c r="C281" s="45">
        <f t="shared" si="71"/>
        <v>16</v>
      </c>
      <c r="D281" s="8" t="str">
        <f t="shared" si="72"/>
        <v>PrimalItemAmmo</v>
      </c>
      <c r="E281" s="8" t="s">
        <v>2266</v>
      </c>
      <c r="F281" s="8" t="s">
        <v>2267</v>
      </c>
      <c r="G281" s="45" t="str">
        <f t="shared" si="70"/>
        <v>cheat gfi PrimalItemAmmo_TranqDart_Demonic_C 1 0 0</v>
      </c>
      <c r="H281" s="8" t="s">
        <v>2268</v>
      </c>
      <c r="I281" s="45" t="str">
        <f t="shared" si="65"/>
        <v>EngramEntry_TranqDart_Demonic_C</v>
      </c>
      <c r="J281" s="45" t="str">
        <f t="shared" si="66"/>
        <v>OverrideNamedEngramEntries=(EngramEntry_TranqDart_Demonic_C,EngramHidden=true)</v>
      </c>
      <c r="K281" s="2"/>
    </row>
    <row r="282">
      <c r="A282" s="7"/>
      <c r="B282" s="29"/>
      <c r="C282" s="46">
        <f t="shared" si="71"/>
        <v>16</v>
      </c>
      <c r="D282" s="11" t="str">
        <f t="shared" si="72"/>
        <v>PrimalItemAmmo</v>
      </c>
      <c r="E282" s="11" t="s">
        <v>2269</v>
      </c>
      <c r="F282" s="11" t="s">
        <v>2270</v>
      </c>
      <c r="G282" s="46" t="str">
        <f t="shared" si="70"/>
        <v>cheat gfi PrimalItemAmmo_TranqDart_Element_C 1 0 0</v>
      </c>
      <c r="H282" s="11" t="s">
        <v>2271</v>
      </c>
      <c r="I282" s="46" t="str">
        <f t="shared" si="65"/>
        <v>EngramEntry_TranqDart_Element_C</v>
      </c>
      <c r="J282" s="46" t="str">
        <f t="shared" si="66"/>
        <v>OverrideNamedEngramEntries=(EngramEntry_TranqDart_Element_C,EngramHidden=true)</v>
      </c>
      <c r="K282" s="2"/>
    </row>
    <row r="283">
      <c r="A283" s="7"/>
      <c r="B283" s="18"/>
      <c r="C283" s="19"/>
      <c r="D283" s="19"/>
      <c r="E283" s="19"/>
      <c r="F283" s="19"/>
      <c r="G283" s="19"/>
      <c r="H283" s="19"/>
      <c r="I283" s="19"/>
      <c r="J283" s="19"/>
      <c r="K283" s="2"/>
    </row>
    <row r="284">
      <c r="A284" s="7"/>
      <c r="B284" s="63" t="s">
        <v>2272</v>
      </c>
      <c r="C284" s="57">
        <f t="shared" ref="C284:C308" si="73">IF(D284="PrimalItemConsumable_Blood",1)+IF(D284="PrimalItemConsumable_Narcotic",2)+IF(D284="PrimalItemConsumable_Seed",3)+IF(D284="PrimalItemConsumable_Fruit",4)+IF(D284="PrimalItemConsumable_Egg_Unfertilized",5)+IF(D284="PrimalItemConsumable_Kibble",6)+IF(D284="PrimalItemConsumable_Potion",7)+IF(D284="PrimalItemConsumable_XP",8)+IF(D284="PrimalItemConsumable_Food",9)+IF(D284="PrimalItemResource",10)+IF(D284="PrimalItemResource_Hide",11)+IF(D284="PrimalItemResource_MetalIngot",12)+IF(D284="PrimalItemConsumable_Summon",13)+IF(D284="PrimalItemStructure",14)+IF(D284="PrimalItem_Weapon",15)+IF(D284="PrimalItemAmmo",16)+IF(D284="PrimalItemArmor",17)+IF(D284="PrimalItemSaddle",18)+IF(D284="PrimalItemConsumable_UnderwaterEgg",19)+IF(D284="PrimalItemConsumable_Egg",20)</f>
        <v>17</v>
      </c>
      <c r="D284" s="64" t="str">
        <f t="shared" ref="D284:D308" si="74">Left(F284,find("Armor",F284)+4)</f>
        <v>PrimalItemArmor</v>
      </c>
      <c r="E284" s="65" t="s">
        <v>2273</v>
      </c>
      <c r="F284" s="65" t="s">
        <v>2274</v>
      </c>
      <c r="G284" s="46" t="str">
        <f t="shared" ref="G284:G308" si="75">"cheat gfi "&amp;F284&amp;" 1 100 0"</f>
        <v>cheat gfi PrimalItemArmor_ClothBoots_Alpha_C 1 100 0</v>
      </c>
      <c r="H284" s="65" t="s">
        <v>2275</v>
      </c>
      <c r="I284" s="46" t="str">
        <f t="shared" ref="I284:I308" si="76">CONCATENATE("EngramEntry",RIGHT(F284,LEN(F284) - (FIND("_",F284) - 1)))</f>
        <v>EngramEntry_ClothBoots_Alpha_C</v>
      </c>
      <c r="J284" s="46" t="str">
        <f t="shared" ref="J284:J308" si="77">"OverrideNamedEngramEntries=("&amp;I284&amp;",EngramHidden=true)"</f>
        <v>OverrideNamedEngramEntries=(EngramEntry_ClothBoots_Alpha_C,EngramHidden=true)</v>
      </c>
      <c r="K284" s="2"/>
    </row>
    <row r="285">
      <c r="A285" s="7"/>
      <c r="B285" s="7"/>
      <c r="C285" s="60">
        <f t="shared" si="73"/>
        <v>17</v>
      </c>
      <c r="D285" s="66" t="str">
        <f t="shared" si="74"/>
        <v>PrimalItemArmor</v>
      </c>
      <c r="E285" s="67" t="s">
        <v>2276</v>
      </c>
      <c r="F285" s="67" t="s">
        <v>2277</v>
      </c>
      <c r="G285" s="45" t="str">
        <f t="shared" si="75"/>
        <v>cheat gfi PrimalItemArmor_ClothGloves_Alpha_C 1 100 0</v>
      </c>
      <c r="H285" s="67" t="s">
        <v>2278</v>
      </c>
      <c r="I285" s="45" t="str">
        <f t="shared" si="76"/>
        <v>EngramEntry_ClothGloves_Alpha_C</v>
      </c>
      <c r="J285" s="45" t="str">
        <f t="shared" si="77"/>
        <v>OverrideNamedEngramEntries=(EngramEntry_ClothGloves_Alpha_C,EngramHidden=true)</v>
      </c>
      <c r="K285" s="2"/>
    </row>
    <row r="286">
      <c r="A286" s="7"/>
      <c r="B286" s="7"/>
      <c r="C286" s="57">
        <f t="shared" si="73"/>
        <v>17</v>
      </c>
      <c r="D286" s="64" t="str">
        <f t="shared" si="74"/>
        <v>PrimalItemArmor</v>
      </c>
      <c r="E286" s="65" t="s">
        <v>2279</v>
      </c>
      <c r="F286" s="65" t="s">
        <v>2280</v>
      </c>
      <c r="G286" s="46" t="str">
        <f t="shared" si="75"/>
        <v>cheat gfi PrimalItemArmor_ClothHelmet_Alpha_C 1 100 0</v>
      </c>
      <c r="H286" s="65" t="s">
        <v>2281</v>
      </c>
      <c r="I286" s="46" t="str">
        <f t="shared" si="76"/>
        <v>EngramEntry_ClothHelmet_Alpha_C</v>
      </c>
      <c r="J286" s="46" t="str">
        <f t="shared" si="77"/>
        <v>OverrideNamedEngramEntries=(EngramEntry_ClothHelmet_Alpha_C,EngramHidden=true)</v>
      </c>
      <c r="K286" s="2"/>
    </row>
    <row r="287">
      <c r="A287" s="7"/>
      <c r="B287" s="7"/>
      <c r="C287" s="60">
        <f t="shared" si="73"/>
        <v>17</v>
      </c>
      <c r="D287" s="66" t="str">
        <f t="shared" si="74"/>
        <v>PrimalItemArmor</v>
      </c>
      <c r="E287" s="67" t="s">
        <v>2282</v>
      </c>
      <c r="F287" s="67" t="s">
        <v>2283</v>
      </c>
      <c r="G287" s="45" t="str">
        <f t="shared" si="75"/>
        <v>cheat gfi PrimalItemArmor_ClothPants_Alpha_C 1 100 0</v>
      </c>
      <c r="H287" s="67" t="s">
        <v>2284</v>
      </c>
      <c r="I287" s="45" t="str">
        <f t="shared" si="76"/>
        <v>EngramEntry_ClothPants_Alpha_C</v>
      </c>
      <c r="J287" s="45" t="str">
        <f t="shared" si="77"/>
        <v>OverrideNamedEngramEntries=(EngramEntry_ClothPants_Alpha_C,EngramHidden=true)</v>
      </c>
      <c r="K287" s="2"/>
    </row>
    <row r="288">
      <c r="A288" s="7"/>
      <c r="B288" s="7"/>
      <c r="C288" s="57">
        <f t="shared" si="73"/>
        <v>17</v>
      </c>
      <c r="D288" s="64" t="str">
        <f t="shared" si="74"/>
        <v>PrimalItemArmor</v>
      </c>
      <c r="E288" s="65" t="s">
        <v>2285</v>
      </c>
      <c r="F288" s="65" t="s">
        <v>2286</v>
      </c>
      <c r="G288" s="46" t="str">
        <f t="shared" si="75"/>
        <v>cheat gfi PrimalItemArmor_ClothShirt_Alpha_C 1 100 0</v>
      </c>
      <c r="H288" s="65" t="s">
        <v>2287</v>
      </c>
      <c r="I288" s="46" t="str">
        <f t="shared" si="76"/>
        <v>EngramEntry_ClothShirt_Alpha_C</v>
      </c>
      <c r="J288" s="46" t="str">
        <f t="shared" si="77"/>
        <v>OverrideNamedEngramEntries=(EngramEntry_ClothShirt_Alpha_C,EngramHidden=true)</v>
      </c>
      <c r="K288" s="2"/>
    </row>
    <row r="289">
      <c r="A289" s="7"/>
      <c r="B289" s="7"/>
      <c r="C289" s="60">
        <f t="shared" si="73"/>
        <v>17</v>
      </c>
      <c r="D289" s="66" t="str">
        <f t="shared" si="74"/>
        <v>PrimalItemArmor</v>
      </c>
      <c r="E289" s="67" t="s">
        <v>2288</v>
      </c>
      <c r="F289" s="67" t="s">
        <v>2289</v>
      </c>
      <c r="G289" s="45" t="str">
        <f t="shared" si="75"/>
        <v>cheat gfi PrimalItemArmor_HideBoots_Alpha_C 1 100 0</v>
      </c>
      <c r="H289" s="67" t="s">
        <v>2290</v>
      </c>
      <c r="I289" s="45" t="str">
        <f t="shared" si="76"/>
        <v>EngramEntry_HideBoots_Alpha_C</v>
      </c>
      <c r="J289" s="45" t="str">
        <f t="shared" si="77"/>
        <v>OverrideNamedEngramEntries=(EngramEntry_HideBoots_Alpha_C,EngramHidden=true)</v>
      </c>
      <c r="K289" s="2"/>
    </row>
    <row r="290">
      <c r="A290" s="7"/>
      <c r="B290" s="7"/>
      <c r="C290" s="57">
        <f t="shared" si="73"/>
        <v>17</v>
      </c>
      <c r="D290" s="64" t="str">
        <f t="shared" si="74"/>
        <v>PrimalItemArmor</v>
      </c>
      <c r="E290" s="65" t="s">
        <v>2291</v>
      </c>
      <c r="F290" s="65" t="s">
        <v>2292</v>
      </c>
      <c r="G290" s="46" t="str">
        <f t="shared" si="75"/>
        <v>cheat gfi PrimalItemArmor_HideGloves_Alpha_C 1 100 0</v>
      </c>
      <c r="H290" s="65" t="s">
        <v>2293</v>
      </c>
      <c r="I290" s="46" t="str">
        <f t="shared" si="76"/>
        <v>EngramEntry_HideGloves_Alpha_C</v>
      </c>
      <c r="J290" s="46" t="str">
        <f t="shared" si="77"/>
        <v>OverrideNamedEngramEntries=(EngramEntry_HideGloves_Alpha_C,EngramHidden=true)</v>
      </c>
      <c r="K290" s="2"/>
    </row>
    <row r="291">
      <c r="A291" s="7"/>
      <c r="B291" s="7"/>
      <c r="C291" s="60">
        <f t="shared" si="73"/>
        <v>17</v>
      </c>
      <c r="D291" s="66" t="str">
        <f t="shared" si="74"/>
        <v>PrimalItemArmor</v>
      </c>
      <c r="E291" s="67" t="s">
        <v>2294</v>
      </c>
      <c r="F291" s="67" t="s">
        <v>2295</v>
      </c>
      <c r="G291" s="45" t="str">
        <f t="shared" si="75"/>
        <v>cheat gfi PrimalItemArmor_HideHelmet_Alpha_C 1 100 0</v>
      </c>
      <c r="H291" s="67" t="s">
        <v>2296</v>
      </c>
      <c r="I291" s="45" t="str">
        <f t="shared" si="76"/>
        <v>EngramEntry_HideHelmet_Alpha_C</v>
      </c>
      <c r="J291" s="45" t="str">
        <f t="shared" si="77"/>
        <v>OverrideNamedEngramEntries=(EngramEntry_HideHelmet_Alpha_C,EngramHidden=true)</v>
      </c>
      <c r="K291" s="2"/>
    </row>
    <row r="292">
      <c r="A292" s="7"/>
      <c r="B292" s="7"/>
      <c r="C292" s="68">
        <f t="shared" si="73"/>
        <v>17</v>
      </c>
      <c r="D292" s="64" t="str">
        <f t="shared" si="74"/>
        <v>PrimalItemArmor</v>
      </c>
      <c r="E292" s="65" t="s">
        <v>2297</v>
      </c>
      <c r="F292" s="65" t="s">
        <v>2298</v>
      </c>
      <c r="G292" s="46" t="str">
        <f t="shared" si="75"/>
        <v>cheat gfi PrimalItemArmor_HidePants_Alpha_C 1 100 0</v>
      </c>
      <c r="H292" s="65" t="s">
        <v>2299</v>
      </c>
      <c r="I292" s="46" t="str">
        <f t="shared" si="76"/>
        <v>EngramEntry_HidePants_Alpha_C</v>
      </c>
      <c r="J292" s="46" t="str">
        <f t="shared" si="77"/>
        <v>OverrideNamedEngramEntries=(EngramEntry_HidePants_Alpha_C,EngramHidden=true)</v>
      </c>
      <c r="K292" s="2"/>
    </row>
    <row r="293">
      <c r="A293" s="7"/>
      <c r="B293" s="7"/>
      <c r="C293" s="69">
        <f t="shared" si="73"/>
        <v>17</v>
      </c>
      <c r="D293" s="66" t="str">
        <f t="shared" si="74"/>
        <v>PrimalItemArmor</v>
      </c>
      <c r="E293" s="67" t="s">
        <v>2300</v>
      </c>
      <c r="F293" s="67" t="s">
        <v>2301</v>
      </c>
      <c r="G293" s="45" t="str">
        <f t="shared" si="75"/>
        <v>cheat gfi PrimalItemArmor_HideShirt_Alpha_C 1 100 0</v>
      </c>
      <c r="H293" s="67" t="s">
        <v>2302</v>
      </c>
      <c r="I293" s="45" t="str">
        <f t="shared" si="76"/>
        <v>EngramEntry_HideShirt_Alpha_C</v>
      </c>
      <c r="J293" s="45" t="str">
        <f t="shared" si="77"/>
        <v>OverrideNamedEngramEntries=(EngramEntry_HideShirt_Alpha_C,EngramHidden=true)</v>
      </c>
      <c r="K293" s="2"/>
    </row>
    <row r="294">
      <c r="A294" s="7"/>
      <c r="B294" s="7"/>
      <c r="C294" s="68">
        <f t="shared" si="73"/>
        <v>17</v>
      </c>
      <c r="D294" s="64" t="str">
        <f t="shared" si="74"/>
        <v>PrimalItemArmor</v>
      </c>
      <c r="E294" s="65" t="s">
        <v>2303</v>
      </c>
      <c r="F294" s="65" t="s">
        <v>2304</v>
      </c>
      <c r="G294" s="46" t="str">
        <f t="shared" si="75"/>
        <v>cheat gfi PrimalItemArmor_MetalBoots_Brass_C 1 100 0</v>
      </c>
      <c r="H294" s="65" t="s">
        <v>2305</v>
      </c>
      <c r="I294" s="46" t="str">
        <f t="shared" si="76"/>
        <v>EngramEntry_MetalBoots_Brass_C</v>
      </c>
      <c r="J294" s="46" t="str">
        <f t="shared" si="77"/>
        <v>OverrideNamedEngramEntries=(EngramEntry_MetalBoots_Brass_C,EngramHidden=true)</v>
      </c>
      <c r="K294" s="2"/>
    </row>
    <row r="295">
      <c r="A295" s="7"/>
      <c r="B295" s="7"/>
      <c r="C295" s="69">
        <f t="shared" si="73"/>
        <v>17</v>
      </c>
      <c r="D295" s="66" t="str">
        <f t="shared" si="74"/>
        <v>PrimalItemArmor</v>
      </c>
      <c r="E295" s="67" t="s">
        <v>2306</v>
      </c>
      <c r="F295" s="67" t="s">
        <v>2307</v>
      </c>
      <c r="G295" s="45" t="str">
        <f t="shared" si="75"/>
        <v>cheat gfi PrimalItemArmor_MetalBoots_Bronze_C 1 100 0</v>
      </c>
      <c r="H295" s="67" t="s">
        <v>2308</v>
      </c>
      <c r="I295" s="45" t="str">
        <f t="shared" si="76"/>
        <v>EngramEntry_MetalBoots_Bronze_C</v>
      </c>
      <c r="J295" s="45" t="str">
        <f t="shared" si="77"/>
        <v>OverrideNamedEngramEntries=(EngramEntry_MetalBoots_Bronze_C,EngramHidden=true)</v>
      </c>
      <c r="K295" s="2"/>
    </row>
    <row r="296">
      <c r="A296" s="7"/>
      <c r="B296" s="7"/>
      <c r="C296" s="68">
        <f t="shared" si="73"/>
        <v>17</v>
      </c>
      <c r="D296" s="64" t="str">
        <f t="shared" si="74"/>
        <v>PrimalItemArmor</v>
      </c>
      <c r="E296" s="65" t="s">
        <v>2309</v>
      </c>
      <c r="F296" s="65" t="s">
        <v>2310</v>
      </c>
      <c r="G296" s="46" t="str">
        <f t="shared" si="75"/>
        <v>cheat gfi PrimalItemArmor_MetalBoots_Steel_C 1 100 0</v>
      </c>
      <c r="H296" s="65" t="s">
        <v>2311</v>
      </c>
      <c r="I296" s="46" t="str">
        <f t="shared" si="76"/>
        <v>EngramEntry_MetalBoots_Steel_C</v>
      </c>
      <c r="J296" s="46" t="str">
        <f t="shared" si="77"/>
        <v>OverrideNamedEngramEntries=(EngramEntry_MetalBoots_Steel_C,EngramHidden=true)</v>
      </c>
      <c r="K296" s="2"/>
    </row>
    <row r="297">
      <c r="A297" s="7"/>
      <c r="B297" s="7"/>
      <c r="C297" s="69">
        <f t="shared" si="73"/>
        <v>17</v>
      </c>
      <c r="D297" s="66" t="str">
        <f t="shared" si="74"/>
        <v>PrimalItemArmor</v>
      </c>
      <c r="E297" s="67" t="s">
        <v>2312</v>
      </c>
      <c r="F297" s="67" t="s">
        <v>2313</v>
      </c>
      <c r="G297" s="45" t="str">
        <f t="shared" si="75"/>
        <v>cheat gfi PrimalItemArmor_MetalGloves_Brass_C 1 100 0</v>
      </c>
      <c r="H297" s="67" t="s">
        <v>2314</v>
      </c>
      <c r="I297" s="45" t="str">
        <f t="shared" si="76"/>
        <v>EngramEntry_MetalGloves_Brass_C</v>
      </c>
      <c r="J297" s="45" t="str">
        <f t="shared" si="77"/>
        <v>OverrideNamedEngramEntries=(EngramEntry_MetalGloves_Brass_C,EngramHidden=true)</v>
      </c>
      <c r="K297" s="2"/>
    </row>
    <row r="298">
      <c r="A298" s="7"/>
      <c r="B298" s="7"/>
      <c r="C298" s="68">
        <f t="shared" si="73"/>
        <v>17</v>
      </c>
      <c r="D298" s="64" t="str">
        <f t="shared" si="74"/>
        <v>PrimalItemArmor</v>
      </c>
      <c r="E298" s="65" t="s">
        <v>2315</v>
      </c>
      <c r="F298" s="65" t="s">
        <v>2316</v>
      </c>
      <c r="G298" s="46" t="str">
        <f t="shared" si="75"/>
        <v>cheat gfi PrimalItemArmor_MetalGloves_Bronze_C 1 100 0</v>
      </c>
      <c r="H298" s="65" t="s">
        <v>2317</v>
      </c>
      <c r="I298" s="46" t="str">
        <f t="shared" si="76"/>
        <v>EngramEntry_MetalGloves_Bronze_C</v>
      </c>
      <c r="J298" s="46" t="str">
        <f t="shared" si="77"/>
        <v>OverrideNamedEngramEntries=(EngramEntry_MetalGloves_Bronze_C,EngramHidden=true)</v>
      </c>
      <c r="K298" s="2"/>
    </row>
    <row r="299">
      <c r="A299" s="7"/>
      <c r="B299" s="7"/>
      <c r="C299" s="69">
        <f t="shared" si="73"/>
        <v>17</v>
      </c>
      <c r="D299" s="66" t="str">
        <f t="shared" si="74"/>
        <v>PrimalItemArmor</v>
      </c>
      <c r="E299" s="67" t="s">
        <v>2318</v>
      </c>
      <c r="F299" s="67" t="s">
        <v>2319</v>
      </c>
      <c r="G299" s="45" t="str">
        <f t="shared" si="75"/>
        <v>cheat gfi PrimalItemArmor_MetalGloves_Steel_C 1 100 0</v>
      </c>
      <c r="H299" s="67" t="s">
        <v>2320</v>
      </c>
      <c r="I299" s="45" t="str">
        <f t="shared" si="76"/>
        <v>EngramEntry_MetalGloves_Steel_C</v>
      </c>
      <c r="J299" s="45" t="str">
        <f t="shared" si="77"/>
        <v>OverrideNamedEngramEntries=(EngramEntry_MetalGloves_Steel_C,EngramHidden=true)</v>
      </c>
      <c r="K299" s="2"/>
    </row>
    <row r="300">
      <c r="A300" s="7"/>
      <c r="B300" s="7"/>
      <c r="C300" s="68">
        <f t="shared" si="73"/>
        <v>17</v>
      </c>
      <c r="D300" s="64" t="str">
        <f t="shared" si="74"/>
        <v>PrimalItemArmor</v>
      </c>
      <c r="E300" s="65" t="s">
        <v>2321</v>
      </c>
      <c r="F300" s="65" t="s">
        <v>2322</v>
      </c>
      <c r="G300" s="46" t="str">
        <f t="shared" si="75"/>
        <v>cheat gfi PrimalItemArmor_MetalHelmet_Brass_C 1 100 0</v>
      </c>
      <c r="H300" s="65" t="s">
        <v>2323</v>
      </c>
      <c r="I300" s="46" t="str">
        <f t="shared" si="76"/>
        <v>EngramEntry_MetalHelmet_Brass_C</v>
      </c>
      <c r="J300" s="46" t="str">
        <f t="shared" si="77"/>
        <v>OverrideNamedEngramEntries=(EngramEntry_MetalHelmet_Brass_C,EngramHidden=true)</v>
      </c>
      <c r="K300" s="1"/>
    </row>
    <row r="301">
      <c r="A301" s="7"/>
      <c r="B301" s="7"/>
      <c r="C301" s="69">
        <f t="shared" si="73"/>
        <v>17</v>
      </c>
      <c r="D301" s="70" t="str">
        <f t="shared" si="74"/>
        <v>PrimalItemArmor</v>
      </c>
      <c r="E301" s="67" t="s">
        <v>2324</v>
      </c>
      <c r="F301" s="67" t="s">
        <v>2325</v>
      </c>
      <c r="G301" s="45" t="str">
        <f t="shared" si="75"/>
        <v>cheat gfi PrimalItemArmor_MetalHelmet_Bronze_C 1 100 0</v>
      </c>
      <c r="H301" s="67" t="s">
        <v>2326</v>
      </c>
      <c r="I301" s="45" t="str">
        <f t="shared" si="76"/>
        <v>EngramEntry_MetalHelmet_Bronze_C</v>
      </c>
      <c r="J301" s="45" t="str">
        <f t="shared" si="77"/>
        <v>OverrideNamedEngramEntries=(EngramEntry_MetalHelmet_Bronze_C,EngramHidden=true)</v>
      </c>
      <c r="K301" s="1"/>
    </row>
    <row r="302">
      <c r="A302" s="7"/>
      <c r="B302" s="7"/>
      <c r="C302" s="57">
        <f t="shared" si="73"/>
        <v>17</v>
      </c>
      <c r="D302" s="58" t="str">
        <f t="shared" si="74"/>
        <v>PrimalItemArmor</v>
      </c>
      <c r="E302" s="65" t="s">
        <v>2327</v>
      </c>
      <c r="F302" s="65" t="s">
        <v>2328</v>
      </c>
      <c r="G302" s="46" t="str">
        <f t="shared" si="75"/>
        <v>cheat gfi PrimalItemArmor_MetalHelmet_Steel_C 1 100 0</v>
      </c>
      <c r="H302" s="65" t="s">
        <v>2329</v>
      </c>
      <c r="I302" s="46" t="str">
        <f t="shared" si="76"/>
        <v>EngramEntry_MetalHelmet_Steel_C</v>
      </c>
      <c r="J302" s="46" t="str">
        <f t="shared" si="77"/>
        <v>OverrideNamedEngramEntries=(EngramEntry_MetalHelmet_Steel_C,EngramHidden=true)</v>
      </c>
      <c r="K302" s="1"/>
    </row>
    <row r="303">
      <c r="A303" s="7"/>
      <c r="B303" s="7"/>
      <c r="C303" s="60">
        <f t="shared" si="73"/>
        <v>17</v>
      </c>
      <c r="D303" s="61" t="str">
        <f t="shared" si="74"/>
        <v>PrimalItemArmor</v>
      </c>
      <c r="E303" s="67" t="s">
        <v>2330</v>
      </c>
      <c r="F303" s="67" t="s">
        <v>2331</v>
      </c>
      <c r="G303" s="45" t="str">
        <f t="shared" si="75"/>
        <v>cheat gfi PrimalItemArmor_MetalPants_Brass_C 1 100 0</v>
      </c>
      <c r="H303" s="67" t="s">
        <v>2332</v>
      </c>
      <c r="I303" s="45" t="str">
        <f t="shared" si="76"/>
        <v>EngramEntry_MetalPants_Brass_C</v>
      </c>
      <c r="J303" s="45" t="str">
        <f t="shared" si="77"/>
        <v>OverrideNamedEngramEntries=(EngramEntry_MetalPants_Brass_C,EngramHidden=true)</v>
      </c>
      <c r="K303" s="1"/>
    </row>
    <row r="304">
      <c r="A304" s="7"/>
      <c r="B304" s="7"/>
      <c r="C304" s="57">
        <f t="shared" si="73"/>
        <v>17</v>
      </c>
      <c r="D304" s="58" t="str">
        <f t="shared" si="74"/>
        <v>PrimalItemArmor</v>
      </c>
      <c r="E304" s="65" t="s">
        <v>2333</v>
      </c>
      <c r="F304" s="65" t="s">
        <v>2334</v>
      </c>
      <c r="G304" s="46" t="str">
        <f t="shared" si="75"/>
        <v>cheat gfi PrimalItemArmor_MetalPants_Bronze_C 1 100 0</v>
      </c>
      <c r="H304" s="65" t="s">
        <v>2335</v>
      </c>
      <c r="I304" s="46" t="str">
        <f t="shared" si="76"/>
        <v>EngramEntry_MetalPants_Bronze_C</v>
      </c>
      <c r="J304" s="46" t="str">
        <f t="shared" si="77"/>
        <v>OverrideNamedEngramEntries=(EngramEntry_MetalPants_Bronze_C,EngramHidden=true)</v>
      </c>
      <c r="K304" s="1"/>
    </row>
    <row r="305">
      <c r="A305" s="7"/>
      <c r="B305" s="7"/>
      <c r="C305" s="60">
        <f t="shared" si="73"/>
        <v>17</v>
      </c>
      <c r="D305" s="61" t="str">
        <f t="shared" si="74"/>
        <v>PrimalItemArmor</v>
      </c>
      <c r="E305" s="67" t="s">
        <v>2336</v>
      </c>
      <c r="F305" s="67" t="s">
        <v>2337</v>
      </c>
      <c r="G305" s="45" t="str">
        <f t="shared" si="75"/>
        <v>cheat gfi PrimalItemArmor_MetalPants_Steel_C 1 100 0</v>
      </c>
      <c r="H305" s="67" t="s">
        <v>2338</v>
      </c>
      <c r="I305" s="45" t="str">
        <f t="shared" si="76"/>
        <v>EngramEntry_MetalPants_Steel_C</v>
      </c>
      <c r="J305" s="45" t="str">
        <f t="shared" si="77"/>
        <v>OverrideNamedEngramEntries=(EngramEntry_MetalPants_Steel_C,EngramHidden=true)</v>
      </c>
      <c r="K305" s="1"/>
    </row>
    <row r="306">
      <c r="A306" s="7"/>
      <c r="B306" s="7"/>
      <c r="C306" s="57">
        <f t="shared" si="73"/>
        <v>17</v>
      </c>
      <c r="D306" s="58" t="str">
        <f t="shared" si="74"/>
        <v>PrimalItemArmor</v>
      </c>
      <c r="E306" s="65" t="s">
        <v>2339</v>
      </c>
      <c r="F306" s="65" t="s">
        <v>2340</v>
      </c>
      <c r="G306" s="46" t="str">
        <f t="shared" si="75"/>
        <v>cheat gfi PrimalItemArmor_MetalShirt_Brass_C 1 100 0</v>
      </c>
      <c r="H306" s="65" t="s">
        <v>2341</v>
      </c>
      <c r="I306" s="46" t="str">
        <f t="shared" si="76"/>
        <v>EngramEntry_MetalShirt_Brass_C</v>
      </c>
      <c r="J306" s="46" t="str">
        <f t="shared" si="77"/>
        <v>OverrideNamedEngramEntries=(EngramEntry_MetalShirt_Brass_C,EngramHidden=true)</v>
      </c>
      <c r="K306" s="1"/>
    </row>
    <row r="307">
      <c r="A307" s="7"/>
      <c r="B307" s="7"/>
      <c r="C307" s="60">
        <f t="shared" si="73"/>
        <v>17</v>
      </c>
      <c r="D307" s="61" t="str">
        <f t="shared" si="74"/>
        <v>PrimalItemArmor</v>
      </c>
      <c r="E307" s="67" t="s">
        <v>2342</v>
      </c>
      <c r="F307" s="67" t="s">
        <v>2343</v>
      </c>
      <c r="G307" s="45" t="str">
        <f t="shared" si="75"/>
        <v>cheat gfi PrimalItemArmor_MetalShirt_Bronze_C 1 100 0</v>
      </c>
      <c r="H307" s="67" t="s">
        <v>2344</v>
      </c>
      <c r="I307" s="45" t="str">
        <f t="shared" si="76"/>
        <v>EngramEntry_MetalShirt_Bronze_C</v>
      </c>
      <c r="J307" s="45" t="str">
        <f t="shared" si="77"/>
        <v>OverrideNamedEngramEntries=(EngramEntry_MetalShirt_Bronze_C,EngramHidden=true)</v>
      </c>
      <c r="K307" s="1"/>
    </row>
    <row r="308">
      <c r="A308" s="7"/>
      <c r="B308" s="7"/>
      <c r="C308" s="57">
        <f t="shared" si="73"/>
        <v>17</v>
      </c>
      <c r="D308" s="58" t="str">
        <f t="shared" si="74"/>
        <v>PrimalItemArmor</v>
      </c>
      <c r="E308" s="16" t="s">
        <v>2345</v>
      </c>
      <c r="F308" s="65" t="s">
        <v>2346</v>
      </c>
      <c r="G308" s="46" t="str">
        <f t="shared" si="75"/>
        <v>cheat gfi PrimalItemArmor_MetalShirt_Steel_C 1 100 0</v>
      </c>
      <c r="H308" s="65" t="s">
        <v>2347</v>
      </c>
      <c r="I308" s="46" t="str">
        <f t="shared" si="76"/>
        <v>EngramEntry_MetalShirt_Steel_C</v>
      </c>
      <c r="J308" s="46" t="str">
        <f t="shared" si="77"/>
        <v>OverrideNamedEngramEntries=(EngramEntry_MetalShirt_Steel_C,EngramHidden=true)</v>
      </c>
      <c r="K308" s="1"/>
    </row>
    <row r="309">
      <c r="A309" s="7"/>
      <c r="B309" s="23"/>
      <c r="C309" s="71"/>
      <c r="D309" s="72"/>
      <c r="E309" s="73"/>
      <c r="F309" s="73"/>
      <c r="G309" s="72"/>
      <c r="H309" s="73"/>
      <c r="I309" s="19"/>
      <c r="J309" s="72"/>
      <c r="K309" s="1"/>
    </row>
    <row r="310">
      <c r="A310" s="7"/>
      <c r="B310" s="74" t="s">
        <v>2348</v>
      </c>
      <c r="C310" s="75">
        <v>18.0</v>
      </c>
      <c r="D310" s="58" t="str">
        <f t="shared" ref="D310:D416" si="78">Left(F310,find("Saddle",F310)+5)</f>
        <v>PrimalItemArmor_AlloSaddle</v>
      </c>
      <c r="E310" s="59" t="s">
        <v>2349</v>
      </c>
      <c r="F310" s="59" t="s">
        <v>2350</v>
      </c>
      <c r="G310" s="76" t="str">
        <f t="shared" ref="G310:G614" si="79">"cheat gfi "&amp;F310&amp;" 1 100 0"</f>
        <v>cheat gfi PrimalItemArmor_AlloSaddle_Alpha_C 1 100 0</v>
      </c>
      <c r="H310" s="59" t="s">
        <v>2351</v>
      </c>
      <c r="I310" s="46" t="str">
        <f t="shared" ref="I310:I614" si="80">CONCATENATE("EngramEntry",RIGHT(F310,LEN(F310) - (FIND("_",F310) - 1)))</f>
        <v>EngramEntry_AlloSaddle_Alpha_C</v>
      </c>
      <c r="J310" s="76" t="str">
        <f t="shared" ref="J310:J524" si="81">"OverrideNamedEngramEntries=("&amp;I310&amp;",EngramHidden=true)"</f>
        <v>OverrideNamedEngramEntries=(EngramEntry_AlloSaddle_Alpha_C,EngramHidden=true)</v>
      </c>
      <c r="K310" s="1"/>
    </row>
    <row r="311">
      <c r="A311" s="7"/>
      <c r="B311" s="7"/>
      <c r="C311" s="77">
        <v>18.0</v>
      </c>
      <c r="D311" s="61" t="str">
        <f t="shared" si="78"/>
        <v>PrimalItemSaddle</v>
      </c>
      <c r="E311" s="62" t="s">
        <v>2352</v>
      </c>
      <c r="F311" s="62" t="s">
        <v>2353</v>
      </c>
      <c r="G311" s="78" t="str">
        <f t="shared" si="79"/>
        <v>cheat gfi PrimalItemSaddle_Achatina_Alpha_C 1 100 0</v>
      </c>
      <c r="H311" s="62" t="s">
        <v>2354</v>
      </c>
      <c r="I311" s="45" t="str">
        <f t="shared" si="80"/>
        <v>EngramEntry_Achatina_Alpha_C</v>
      </c>
      <c r="J311" s="78" t="str">
        <f t="shared" si="81"/>
        <v>OverrideNamedEngramEntries=(EngramEntry_Achatina_Alpha_C,EngramHidden=true)</v>
      </c>
      <c r="K311" s="1"/>
    </row>
    <row r="312">
      <c r="A312" s="7"/>
      <c r="B312" s="7"/>
      <c r="C312" s="75">
        <v>18.0</v>
      </c>
      <c r="D312" s="58" t="str">
        <f t="shared" si="78"/>
        <v>PrimalItemSaddle</v>
      </c>
      <c r="E312" s="59" t="s">
        <v>2355</v>
      </c>
      <c r="F312" s="59" t="s">
        <v>2356</v>
      </c>
      <c r="G312" s="76" t="str">
        <f t="shared" si="79"/>
        <v>cheat gfi PrimalItemSaddle_Achatina_Apex_C 1 100 0</v>
      </c>
      <c r="H312" s="59" t="s">
        <v>2357</v>
      </c>
      <c r="I312" s="46" t="str">
        <f t="shared" si="80"/>
        <v>EngramEntry_Achatina_Apex_C</v>
      </c>
      <c r="J312" s="76" t="str">
        <f t="shared" si="81"/>
        <v>OverrideNamedEngramEntries=(EngramEntry_Achatina_Apex_C,EngramHidden=true)</v>
      </c>
      <c r="K312" s="1"/>
    </row>
    <row r="313">
      <c r="A313" s="7"/>
      <c r="B313" s="7"/>
      <c r="C313" s="77">
        <v>18.0</v>
      </c>
      <c r="D313" s="61" t="str">
        <f t="shared" si="78"/>
        <v>PrimalItemArmor_AlloSaddle</v>
      </c>
      <c r="E313" s="62" t="s">
        <v>2358</v>
      </c>
      <c r="F313" s="62" t="s">
        <v>2359</v>
      </c>
      <c r="G313" s="78" t="str">
        <f t="shared" si="79"/>
        <v>cheat gfi PrimalItemArmor_AlloSaddle_Apex_C 1 100 0</v>
      </c>
      <c r="H313" s="62" t="s">
        <v>2360</v>
      </c>
      <c r="I313" s="45" t="str">
        <f t="shared" si="80"/>
        <v>EngramEntry_AlloSaddle_Apex_C</v>
      </c>
      <c r="J313" s="78" t="str">
        <f t="shared" si="81"/>
        <v>OverrideNamedEngramEntries=(EngramEntry_AlloSaddle_Apex_C,EngramHidden=true)</v>
      </c>
      <c r="K313" s="1"/>
    </row>
    <row r="314">
      <c r="A314" s="7"/>
      <c r="B314" s="7"/>
      <c r="C314" s="75">
        <v>18.0</v>
      </c>
      <c r="D314" s="58" t="str">
        <f t="shared" si="78"/>
        <v>PrimalItemArmor_AlloSaddle</v>
      </c>
      <c r="E314" s="59" t="s">
        <v>2361</v>
      </c>
      <c r="F314" s="59" t="s">
        <v>2362</v>
      </c>
      <c r="G314" s="76" t="str">
        <f t="shared" si="79"/>
        <v>cheat gfi PrimalItemArmor_AlloSaddle_Hydro_C 1 100 0</v>
      </c>
      <c r="H314" s="59" t="s">
        <v>2363</v>
      </c>
      <c r="I314" s="46" t="str">
        <f t="shared" si="80"/>
        <v>EngramEntry_AlloSaddle_Hydro_C</v>
      </c>
      <c r="J314" s="76" t="str">
        <f t="shared" si="81"/>
        <v>OverrideNamedEngramEntries=(EngramEntry_AlloSaddle_Hydro_C,EngramHidden=true)</v>
      </c>
      <c r="K314" s="1"/>
    </row>
    <row r="315">
      <c r="A315" s="7"/>
      <c r="B315" s="7"/>
      <c r="C315" s="77">
        <v>18.0</v>
      </c>
      <c r="D315" s="61" t="str">
        <f t="shared" si="78"/>
        <v>PrimalItemArmor_AlloSaddle</v>
      </c>
      <c r="E315" s="62" t="s">
        <v>2364</v>
      </c>
      <c r="F315" s="62" t="s">
        <v>2365</v>
      </c>
      <c r="G315" s="78" t="str">
        <f t="shared" si="79"/>
        <v>cheat gfi PrimalItemArmor_AlloSaddle_Storm_C 1 100 0</v>
      </c>
      <c r="H315" s="62" t="s">
        <v>2366</v>
      </c>
      <c r="I315" s="45" t="str">
        <f t="shared" si="80"/>
        <v>EngramEntry_AlloSaddle_Storm_C</v>
      </c>
      <c r="J315" s="78" t="str">
        <f t="shared" si="81"/>
        <v>OverrideNamedEngramEntries=(EngramEntry_AlloSaddle_Storm_C,EngramHidden=true)</v>
      </c>
      <c r="K315" s="1"/>
    </row>
    <row r="316">
      <c r="A316" s="7"/>
      <c r="B316" s="7"/>
      <c r="C316" s="75">
        <v>18.0</v>
      </c>
      <c r="D316" s="58" t="str">
        <f t="shared" si="78"/>
        <v>PrimalItemArmor_AlloSaddle</v>
      </c>
      <c r="E316" s="59" t="s">
        <v>2367</v>
      </c>
      <c r="F316" s="59" t="s">
        <v>2368</v>
      </c>
      <c r="G316" s="76" t="str">
        <f t="shared" si="79"/>
        <v>cheat gfi PrimalItemArmor_AlloSaddle_Volcanic_C 1 100 0</v>
      </c>
      <c r="H316" s="59" t="s">
        <v>2369</v>
      </c>
      <c r="I316" s="46" t="str">
        <f t="shared" si="80"/>
        <v>EngramEntry_AlloSaddle_Volcanic_C</v>
      </c>
      <c r="J316" s="76" t="str">
        <f t="shared" si="81"/>
        <v>OverrideNamedEngramEntries=(EngramEntry_AlloSaddle_Volcanic_C,EngramHidden=true)</v>
      </c>
      <c r="K316" s="1"/>
    </row>
    <row r="317">
      <c r="A317" s="7"/>
      <c r="B317" s="7"/>
      <c r="C317" s="77">
        <v>18.0</v>
      </c>
      <c r="D317" s="61" t="str">
        <f t="shared" si="78"/>
        <v>PrimalItemSaddle</v>
      </c>
      <c r="E317" s="62" t="s">
        <v>2370</v>
      </c>
      <c r="F317" s="62" t="s">
        <v>2371</v>
      </c>
      <c r="G317" s="78" t="str">
        <f t="shared" si="79"/>
        <v>cheat gfi PrimalItemSaddle_Ammonite_Atlantic_C 1 100 0</v>
      </c>
      <c r="H317" s="62" t="s">
        <v>2372</v>
      </c>
      <c r="I317" s="45" t="str">
        <f t="shared" si="80"/>
        <v>EngramEntry_Ammonite_Atlantic_C</v>
      </c>
      <c r="J317" s="78" t="str">
        <f t="shared" si="81"/>
        <v>OverrideNamedEngramEntries=(EngramEntry_Ammonite_Atlantic_C,EngramHidden=true)</v>
      </c>
      <c r="K317" s="1"/>
    </row>
    <row r="318">
      <c r="A318" s="7"/>
      <c r="B318" s="7"/>
      <c r="C318" s="75">
        <v>18.0</v>
      </c>
      <c r="D318" s="58" t="str">
        <f t="shared" si="78"/>
        <v>PrimalItemSaddle</v>
      </c>
      <c r="E318" s="59" t="s">
        <v>2373</v>
      </c>
      <c r="F318" s="59" t="s">
        <v>2374</v>
      </c>
      <c r="G318" s="76" t="str">
        <f t="shared" si="79"/>
        <v>cheat gfi PrimalItemSaddle_Ammonite_Pacific_C 1 100 0</v>
      </c>
      <c r="H318" s="59" t="s">
        <v>2375</v>
      </c>
      <c r="I318" s="46" t="str">
        <f t="shared" si="80"/>
        <v>EngramEntry_Ammonite_Pacific_C</v>
      </c>
      <c r="J318" s="76" t="str">
        <f t="shared" si="81"/>
        <v>OverrideNamedEngramEntries=(EngramEntry_Ammonite_Pacific_C,EngramHidden=true)</v>
      </c>
      <c r="K318" s="1"/>
    </row>
    <row r="319">
      <c r="A319" s="7"/>
      <c r="B319" s="7"/>
      <c r="C319" s="77">
        <v>18.0</v>
      </c>
      <c r="D319" s="61" t="str">
        <f t="shared" si="78"/>
        <v>PrimalItemArmor_AnkyloSaddle</v>
      </c>
      <c r="E319" s="62" t="s">
        <v>2376</v>
      </c>
      <c r="F319" s="62" t="s">
        <v>2377</v>
      </c>
      <c r="G319" s="78" t="str">
        <f t="shared" si="79"/>
        <v>cheat gfi PrimalItemArmor_AnkyloSaddle_Alpha_C 1 100 0</v>
      </c>
      <c r="H319" s="62" t="s">
        <v>2378</v>
      </c>
      <c r="I319" s="45" t="str">
        <f t="shared" si="80"/>
        <v>EngramEntry_AnkyloSaddle_Alpha_C</v>
      </c>
      <c r="J319" s="78" t="str">
        <f t="shared" si="81"/>
        <v>OverrideNamedEngramEntries=(EngramEntry_AnkyloSaddle_Alpha_C,EngramHidden=true)</v>
      </c>
      <c r="K319" s="1"/>
    </row>
    <row r="320">
      <c r="A320" s="7"/>
      <c r="B320" s="7"/>
      <c r="C320" s="75">
        <v>18.0</v>
      </c>
      <c r="D320" s="58" t="str">
        <f t="shared" si="78"/>
        <v>PrimalItemArmor_AnkyloSaddle</v>
      </c>
      <c r="E320" s="59" t="s">
        <v>2379</v>
      </c>
      <c r="F320" s="59" t="s">
        <v>2380</v>
      </c>
      <c r="G320" s="76" t="str">
        <f t="shared" si="79"/>
        <v>cheat gfi PrimalItemArmor_AnkyloSaddle_Apex_C 1 100 0</v>
      </c>
      <c r="H320" s="59" t="s">
        <v>2381</v>
      </c>
      <c r="I320" s="46" t="str">
        <f t="shared" si="80"/>
        <v>EngramEntry_AnkyloSaddle_Apex_C</v>
      </c>
      <c r="J320" s="76" t="str">
        <f t="shared" si="81"/>
        <v>OverrideNamedEngramEntries=(EngramEntry_AnkyloSaddle_Apex_C,EngramHidden=true)</v>
      </c>
      <c r="K320" s="1"/>
    </row>
    <row r="321">
      <c r="A321" s="7"/>
      <c r="B321" s="7"/>
      <c r="C321" s="77">
        <v>18.0</v>
      </c>
      <c r="D321" s="61" t="str">
        <f t="shared" si="78"/>
        <v>PrimalItemArmor_AnkyloSaddle</v>
      </c>
      <c r="E321" s="62" t="s">
        <v>2382</v>
      </c>
      <c r="F321" s="62" t="s">
        <v>2383</v>
      </c>
      <c r="G321" s="78" t="str">
        <f t="shared" si="79"/>
        <v>cheat gfi PrimalItemArmor_AnkyloSaddle_Volcanic_C 1 100 0</v>
      </c>
      <c r="H321" s="62" t="s">
        <v>2384</v>
      </c>
      <c r="I321" s="45" t="str">
        <f t="shared" si="80"/>
        <v>EngramEntry_AnkyloSaddle_Volcanic_C</v>
      </c>
      <c r="J321" s="78" t="str">
        <f t="shared" si="81"/>
        <v>OverrideNamedEngramEntries=(EngramEntry_AnkyloSaddle_Volcanic_C,EngramHidden=true)</v>
      </c>
      <c r="K321" s="1"/>
    </row>
    <row r="322">
      <c r="A322" s="7"/>
      <c r="B322" s="7"/>
      <c r="C322" s="75">
        <v>18.0</v>
      </c>
      <c r="D322" s="58" t="str">
        <f t="shared" si="78"/>
        <v>PrimalItemSaddle</v>
      </c>
      <c r="E322" s="59" t="s">
        <v>2385</v>
      </c>
      <c r="F322" s="59" t="s">
        <v>2386</v>
      </c>
      <c r="G322" s="76" t="str">
        <f t="shared" si="79"/>
        <v>cheat gfi PrimalItemSaddle_Ant_Alpha_C 1 100 0</v>
      </c>
      <c r="H322" s="59" t="s">
        <v>2387</v>
      </c>
      <c r="I322" s="46" t="str">
        <f t="shared" si="80"/>
        <v>EngramEntry_Ant_Alpha_C</v>
      </c>
      <c r="J322" s="76" t="str">
        <f t="shared" si="81"/>
        <v>OverrideNamedEngramEntries=(EngramEntry_Ant_Alpha_C,EngramHidden=true)</v>
      </c>
      <c r="K322" s="1"/>
    </row>
    <row r="323">
      <c r="A323" s="7"/>
      <c r="B323" s="7"/>
      <c r="C323" s="77">
        <v>18.0</v>
      </c>
      <c r="D323" s="61" t="str">
        <f t="shared" si="78"/>
        <v>PrimalItemSaddle</v>
      </c>
      <c r="E323" s="62" t="s">
        <v>2388</v>
      </c>
      <c r="F323" s="62" t="s">
        <v>2389</v>
      </c>
      <c r="G323" s="78" t="str">
        <f t="shared" si="79"/>
        <v>cheat gfi PrimalItemSaddle_Ant_Apex_C 1 100 0</v>
      </c>
      <c r="H323" s="62" t="s">
        <v>2390</v>
      </c>
      <c r="I323" s="45" t="str">
        <f t="shared" si="80"/>
        <v>EngramEntry_Ant_Apex_C</v>
      </c>
      <c r="J323" s="78" t="str">
        <f t="shared" si="81"/>
        <v>OverrideNamedEngramEntries=(EngramEntry_Ant_Apex_C,EngramHidden=true)</v>
      </c>
      <c r="K323" s="1"/>
    </row>
    <row r="324">
      <c r="A324" s="7"/>
      <c r="B324" s="7"/>
      <c r="C324" s="75">
        <v>18.0</v>
      </c>
      <c r="D324" s="58" t="str">
        <f t="shared" si="78"/>
        <v>PrimalItemSaddle</v>
      </c>
      <c r="E324" s="59" t="s">
        <v>2391</v>
      </c>
      <c r="F324" s="59" t="s">
        <v>2392</v>
      </c>
      <c r="G324" s="76" t="str">
        <f t="shared" si="79"/>
        <v>cheat gfi PrimalItemSaddle_Araneo_Bionic_C 1 100 0</v>
      </c>
      <c r="H324" s="59" t="s">
        <v>2393</v>
      </c>
      <c r="I324" s="46" t="str">
        <f t="shared" si="80"/>
        <v>EngramEntry_Araneo_Bionic_C</v>
      </c>
      <c r="J324" s="76" t="str">
        <f t="shared" si="81"/>
        <v>OverrideNamedEngramEntries=(EngramEntry_Araneo_Bionic_C,EngramHidden=true)</v>
      </c>
      <c r="K324" s="1"/>
    </row>
    <row r="325">
      <c r="A325" s="7"/>
      <c r="B325" s="7"/>
      <c r="C325" s="77">
        <v>18.0</v>
      </c>
      <c r="D325" s="61" t="str">
        <f t="shared" si="78"/>
        <v>PrimalItemSaddle</v>
      </c>
      <c r="E325" s="62" t="s">
        <v>2394</v>
      </c>
      <c r="F325" s="62" t="s">
        <v>2395</v>
      </c>
      <c r="G325" s="78" t="str">
        <f t="shared" si="79"/>
        <v>cheat gfi PrimalItemSaddle_Archaeopteryx_Alpha_C 1 100 0</v>
      </c>
      <c r="H325" s="62" t="s">
        <v>2396</v>
      </c>
      <c r="I325" s="45" t="str">
        <f t="shared" si="80"/>
        <v>EngramEntry_Archaeopteryx_Alpha_C</v>
      </c>
      <c r="J325" s="78" t="str">
        <f t="shared" si="81"/>
        <v>OverrideNamedEngramEntries=(EngramEntry_Archaeopteryx_Alpha_C,EngramHidden=true)</v>
      </c>
      <c r="K325" s="1"/>
    </row>
    <row r="326">
      <c r="A326" s="7"/>
      <c r="B326" s="7"/>
      <c r="C326" s="75">
        <v>18.0</v>
      </c>
      <c r="D326" s="58" t="str">
        <f t="shared" si="78"/>
        <v>PrimalItemSaddle</v>
      </c>
      <c r="E326" s="59" t="s">
        <v>2397</v>
      </c>
      <c r="F326" s="59" t="s">
        <v>2398</v>
      </c>
      <c r="G326" s="76" t="str">
        <f t="shared" si="79"/>
        <v>cheat gfi PrimalItemSaddle_Archaeopteryx_Apex_C 1 100 0</v>
      </c>
      <c r="H326" s="59" t="s">
        <v>2399</v>
      </c>
      <c r="I326" s="46" t="str">
        <f t="shared" si="80"/>
        <v>EngramEntry_Archaeopteryx_Apex_C</v>
      </c>
      <c r="J326" s="76" t="str">
        <f t="shared" si="81"/>
        <v>OverrideNamedEngramEntries=(EngramEntry_Archaeopteryx_Apex_C,EngramHidden=true)</v>
      </c>
      <c r="K326" s="1"/>
    </row>
    <row r="327">
      <c r="A327" s="7"/>
      <c r="B327" s="7"/>
      <c r="C327" s="77">
        <v>18.0</v>
      </c>
      <c r="D327" s="61" t="str">
        <f t="shared" si="78"/>
        <v>PrimalItemArmor_ArgentavisSaddle</v>
      </c>
      <c r="E327" s="62" t="s">
        <v>2400</v>
      </c>
      <c r="F327" s="62" t="s">
        <v>2401</v>
      </c>
      <c r="G327" s="78" t="str">
        <f t="shared" si="79"/>
        <v>cheat gfi PrimalItemArmor_ArgentavisSaddle_Alpha_C 1 100 0</v>
      </c>
      <c r="H327" s="62" t="s">
        <v>2402</v>
      </c>
      <c r="I327" s="45" t="str">
        <f t="shared" si="80"/>
        <v>EngramEntry_ArgentavisSaddle_Alpha_C</v>
      </c>
      <c r="J327" s="78" t="str">
        <f t="shared" si="81"/>
        <v>OverrideNamedEngramEntries=(EngramEntry_ArgentavisSaddle_Alpha_C,EngramHidden=true)</v>
      </c>
      <c r="K327" s="1"/>
    </row>
    <row r="328">
      <c r="A328" s="7"/>
      <c r="B328" s="7"/>
      <c r="C328" s="75">
        <v>18.0</v>
      </c>
      <c r="D328" s="58" t="str">
        <f t="shared" si="78"/>
        <v>PrimalItemArmor_ArgentavisSaddle</v>
      </c>
      <c r="E328" s="59" t="s">
        <v>2403</v>
      </c>
      <c r="F328" s="59" t="s">
        <v>2404</v>
      </c>
      <c r="G328" s="76" t="str">
        <f t="shared" si="79"/>
        <v>cheat gfi PrimalItemArmor_ArgentavisSaddle_Apex_C 1 100 0</v>
      </c>
      <c r="H328" s="59" t="s">
        <v>2405</v>
      </c>
      <c r="I328" s="46" t="str">
        <f t="shared" si="80"/>
        <v>EngramEntry_ArgentavisSaddle_Apex_C</v>
      </c>
      <c r="J328" s="76" t="str">
        <f t="shared" si="81"/>
        <v>OverrideNamedEngramEntries=(EngramEntry_ArgentavisSaddle_Apex_C,EngramHidden=true)</v>
      </c>
      <c r="K328" s="1"/>
    </row>
    <row r="329">
      <c r="A329" s="7"/>
      <c r="B329" s="7"/>
      <c r="C329" s="77">
        <v>18.0</v>
      </c>
      <c r="D329" s="61" t="str">
        <f t="shared" si="78"/>
        <v>PrimalItemArmor_ArgentavisSaddle</v>
      </c>
      <c r="E329" s="62" t="s">
        <v>2406</v>
      </c>
      <c r="F329" s="62" t="s">
        <v>2407</v>
      </c>
      <c r="G329" s="78" t="str">
        <f t="shared" si="79"/>
        <v>cheat gfi PrimalItemArmor_ArgentavisSaddle_Celestial_C 1 100 0</v>
      </c>
      <c r="H329" s="62" t="s">
        <v>2408</v>
      </c>
      <c r="I329" s="45" t="str">
        <f t="shared" si="80"/>
        <v>EngramEntry_ArgentavisSaddle_Celestial_C</v>
      </c>
      <c r="J329" s="78" t="str">
        <f t="shared" si="81"/>
        <v>OverrideNamedEngramEntries=(EngramEntry_ArgentavisSaddle_Celestial_C,EngramHidden=true)</v>
      </c>
      <c r="K329" s="1"/>
    </row>
    <row r="330">
      <c r="A330" s="7"/>
      <c r="B330" s="7"/>
      <c r="C330" s="75">
        <v>18.0</v>
      </c>
      <c r="D330" s="58" t="str">
        <f t="shared" si="78"/>
        <v>PrimalItemArmor_ArgentavisSaddle</v>
      </c>
      <c r="E330" s="59" t="s">
        <v>2409</v>
      </c>
      <c r="F330" s="59" t="s">
        <v>2410</v>
      </c>
      <c r="G330" s="76" t="str">
        <f t="shared" si="79"/>
        <v>cheat gfi PrimalItemArmor_ArgentavisSaddle_Storm_C 1 100 0</v>
      </c>
      <c r="H330" s="59" t="s">
        <v>2411</v>
      </c>
      <c r="I330" s="46" t="str">
        <f t="shared" si="80"/>
        <v>EngramEntry_ArgentavisSaddle_Storm_C</v>
      </c>
      <c r="J330" s="76" t="str">
        <f t="shared" si="81"/>
        <v>OverrideNamedEngramEntries=(EngramEntry_ArgentavisSaddle_Storm_C,EngramHidden=true)</v>
      </c>
      <c r="K330" s="1"/>
    </row>
    <row r="331">
      <c r="A331" s="7"/>
      <c r="B331" s="7"/>
      <c r="C331" s="77">
        <v>18.0</v>
      </c>
      <c r="D331" s="61" t="str">
        <f t="shared" si="78"/>
        <v>PrimalItemArmor_ArthroSaddle</v>
      </c>
      <c r="E331" s="62" t="s">
        <v>2412</v>
      </c>
      <c r="F331" s="62" t="s">
        <v>2413</v>
      </c>
      <c r="G331" s="78" t="str">
        <f t="shared" si="79"/>
        <v>cheat gfi PrimalItemArmor_ArthroSaddle_Alpha_C 1 100 0</v>
      </c>
      <c r="H331" s="62" t="s">
        <v>2414</v>
      </c>
      <c r="I331" s="45" t="str">
        <f t="shared" si="80"/>
        <v>EngramEntry_ArthroSaddle_Alpha_C</v>
      </c>
      <c r="J331" s="78" t="str">
        <f t="shared" si="81"/>
        <v>OverrideNamedEngramEntries=(EngramEntry_ArthroSaddle_Alpha_C,EngramHidden=true)</v>
      </c>
      <c r="K331" s="1"/>
    </row>
    <row r="332">
      <c r="A332" s="7"/>
      <c r="B332" s="7"/>
      <c r="C332" s="75">
        <v>18.0</v>
      </c>
      <c r="D332" s="58" t="str">
        <f t="shared" si="78"/>
        <v>PrimalItemArmor_ArthroSaddle</v>
      </c>
      <c r="E332" s="59" t="s">
        <v>2415</v>
      </c>
      <c r="F332" s="59" t="s">
        <v>2416</v>
      </c>
      <c r="G332" s="76" t="str">
        <f t="shared" si="79"/>
        <v>cheat gfi PrimalItemArmor_ArthroSaddle_Apex_C 1 100 0</v>
      </c>
      <c r="H332" s="59" t="s">
        <v>2417</v>
      </c>
      <c r="I332" s="46" t="str">
        <f t="shared" si="80"/>
        <v>EngramEntry_ArthroSaddle_Apex_C</v>
      </c>
      <c r="J332" s="76" t="str">
        <f t="shared" si="81"/>
        <v>OverrideNamedEngramEntries=(EngramEntry_ArthroSaddle_Apex_C,EngramHidden=true)</v>
      </c>
      <c r="K332" s="1"/>
    </row>
    <row r="333">
      <c r="A333" s="7"/>
      <c r="B333" s="7"/>
      <c r="C333" s="77">
        <v>18.0</v>
      </c>
      <c r="D333" s="61" t="str">
        <f t="shared" si="78"/>
        <v>PrimalItemArmor_ArthroSaddle</v>
      </c>
      <c r="E333" s="62" t="s">
        <v>2418</v>
      </c>
      <c r="F333" s="62" t="s">
        <v>2419</v>
      </c>
      <c r="G333" s="78" t="str">
        <f t="shared" si="79"/>
        <v>cheat gfi PrimalItemArmor_ArthroSaddle_Volcanic_C 1 100 0</v>
      </c>
      <c r="H333" s="62" t="s">
        <v>2420</v>
      </c>
      <c r="I333" s="45" t="str">
        <f t="shared" si="80"/>
        <v>EngramEntry_ArthroSaddle_Volcanic_C</v>
      </c>
      <c r="J333" s="78" t="str">
        <f t="shared" si="81"/>
        <v>OverrideNamedEngramEntries=(EngramEntry_ArthroSaddle_Volcanic_C,EngramHidden=true)</v>
      </c>
      <c r="K333" s="1"/>
    </row>
    <row r="334">
      <c r="A334" s="7"/>
      <c r="B334" s="7"/>
      <c r="C334" s="75">
        <v>18.0</v>
      </c>
      <c r="D334" s="58" t="str">
        <f t="shared" si="78"/>
        <v>PrimalItemSaddle</v>
      </c>
      <c r="E334" s="59" t="s">
        <v>2421</v>
      </c>
      <c r="F334" s="59" t="s">
        <v>2422</v>
      </c>
      <c r="G334" s="76" t="str">
        <f t="shared" si="79"/>
        <v>cheat gfi PrimalItemSaddle_Baryonix_Bionic_C 1 100 0</v>
      </c>
      <c r="H334" s="59" t="s">
        <v>2423</v>
      </c>
      <c r="I334" s="46" t="str">
        <f t="shared" si="80"/>
        <v>EngramEntry_Baryonix_Bionic_C</v>
      </c>
      <c r="J334" s="76" t="str">
        <f t="shared" si="81"/>
        <v>OverrideNamedEngramEntries=(EngramEntry_Baryonix_Bionic_C,EngramHidden=true)</v>
      </c>
      <c r="K334" s="1"/>
    </row>
    <row r="335">
      <c r="A335" s="7"/>
      <c r="B335" s="7"/>
      <c r="C335" s="77">
        <v>18.0</v>
      </c>
      <c r="D335" s="61" t="str">
        <f t="shared" si="78"/>
        <v>PrimalItemArmor_BaryonyxSaddle</v>
      </c>
      <c r="E335" s="62" t="s">
        <v>2424</v>
      </c>
      <c r="F335" s="62" t="s">
        <v>2425</v>
      </c>
      <c r="G335" s="78" t="str">
        <f t="shared" si="79"/>
        <v>cheat gfi PrimalItemArmor_BaryonyxSaddle_Alpha_C 1 100 0</v>
      </c>
      <c r="H335" s="62" t="s">
        <v>2426</v>
      </c>
      <c r="I335" s="45" t="str">
        <f t="shared" si="80"/>
        <v>EngramEntry_BaryonyxSaddle_Alpha_C</v>
      </c>
      <c r="J335" s="78" t="str">
        <f t="shared" si="81"/>
        <v>OverrideNamedEngramEntries=(EngramEntry_BaryonyxSaddle_Alpha_C,EngramHidden=true)</v>
      </c>
      <c r="K335" s="1"/>
    </row>
    <row r="336">
      <c r="A336" s="7"/>
      <c r="B336" s="7"/>
      <c r="C336" s="75">
        <v>18.0</v>
      </c>
      <c r="D336" s="58" t="str">
        <f t="shared" si="78"/>
        <v>PrimalItemArmor_BaryonyxSaddle</v>
      </c>
      <c r="E336" s="59" t="s">
        <v>2427</v>
      </c>
      <c r="F336" s="59" t="s">
        <v>2428</v>
      </c>
      <c r="G336" s="76" t="str">
        <f t="shared" si="79"/>
        <v>cheat gfi PrimalItemArmor_BaryonyxSaddle_Apex_C 1 100 0</v>
      </c>
      <c r="H336" s="59" t="s">
        <v>2429</v>
      </c>
      <c r="I336" s="46" t="str">
        <f t="shared" si="80"/>
        <v>EngramEntry_BaryonyxSaddle_Apex_C</v>
      </c>
      <c r="J336" s="76" t="str">
        <f t="shared" si="81"/>
        <v>OverrideNamedEngramEntries=(EngramEntry_BaryonyxSaddle_Apex_C,EngramHidden=true)</v>
      </c>
      <c r="K336" s="1"/>
    </row>
    <row r="337">
      <c r="A337" s="7"/>
      <c r="B337" s="7"/>
      <c r="C337" s="77">
        <v>18.0</v>
      </c>
      <c r="D337" s="61" t="str">
        <f t="shared" si="78"/>
        <v>PrimalItemArmor_BaryonyxSaddle</v>
      </c>
      <c r="E337" s="62" t="s">
        <v>2430</v>
      </c>
      <c r="F337" s="62" t="s">
        <v>2431</v>
      </c>
      <c r="G337" s="78" t="str">
        <f t="shared" si="79"/>
        <v>cheat gfi PrimalItemArmor_BaryonyxSaddle_Hydro_C 1 100 0</v>
      </c>
      <c r="H337" s="62" t="s">
        <v>2432</v>
      </c>
      <c r="I337" s="45" t="str">
        <f t="shared" si="80"/>
        <v>EngramEntry_BaryonyxSaddle_Hydro_C</v>
      </c>
      <c r="J337" s="78" t="str">
        <f t="shared" si="81"/>
        <v>OverrideNamedEngramEntries=(EngramEntry_BaryonyxSaddle_Hydro_C,EngramHidden=true)</v>
      </c>
      <c r="K337" s="1"/>
    </row>
    <row r="338">
      <c r="A338" s="7"/>
      <c r="B338" s="7"/>
      <c r="C338" s="75">
        <v>18.0</v>
      </c>
      <c r="D338" s="58" t="str">
        <f t="shared" si="78"/>
        <v>PrimalItemArmor_BasiloSaddle</v>
      </c>
      <c r="E338" s="59" t="s">
        <v>2433</v>
      </c>
      <c r="F338" s="59" t="s">
        <v>2434</v>
      </c>
      <c r="G338" s="76" t="str">
        <f t="shared" si="79"/>
        <v>cheat gfi PrimalItemArmor_BasiloSaddle_Atlantic_C 1 100 0</v>
      </c>
      <c r="H338" s="59" t="s">
        <v>2435</v>
      </c>
      <c r="I338" s="46" t="str">
        <f t="shared" si="80"/>
        <v>EngramEntry_BasiloSaddle_Atlantic_C</v>
      </c>
      <c r="J338" s="76" t="str">
        <f t="shared" si="81"/>
        <v>OverrideNamedEngramEntries=(EngramEntry_BasiloSaddle_Atlantic_C,EngramHidden=true)</v>
      </c>
      <c r="K338" s="1"/>
    </row>
    <row r="339">
      <c r="A339" s="7"/>
      <c r="B339" s="7"/>
      <c r="C339" s="77">
        <v>18.0</v>
      </c>
      <c r="D339" s="61" t="str">
        <f t="shared" si="78"/>
        <v>PrimalItemArmor_BasiloSaddle</v>
      </c>
      <c r="E339" s="62" t="s">
        <v>2436</v>
      </c>
      <c r="F339" s="62" t="s">
        <v>2437</v>
      </c>
      <c r="G339" s="78" t="str">
        <f t="shared" si="79"/>
        <v>cheat gfi PrimalItemArmor_BasiloSaddle_Pacific_C 1 100 0</v>
      </c>
      <c r="H339" s="62" t="s">
        <v>2438</v>
      </c>
      <c r="I339" s="45" t="str">
        <f t="shared" si="80"/>
        <v>EngramEntry_BasiloSaddle_Pacific_C</v>
      </c>
      <c r="J339" s="78" t="str">
        <f t="shared" si="81"/>
        <v>OverrideNamedEngramEntries=(EngramEntry_BasiloSaddle_Pacific_C,EngramHidden=true)</v>
      </c>
      <c r="K339" s="1"/>
    </row>
    <row r="340">
      <c r="A340" s="7"/>
      <c r="B340" s="7"/>
      <c r="C340" s="75">
        <v>18.0</v>
      </c>
      <c r="D340" s="58" t="str">
        <f t="shared" si="78"/>
        <v>PrimalItemArmor_BeaverSaddle</v>
      </c>
      <c r="E340" s="59" t="s">
        <v>2439</v>
      </c>
      <c r="F340" s="59" t="s">
        <v>2440</v>
      </c>
      <c r="G340" s="76" t="str">
        <f t="shared" si="79"/>
        <v>cheat gfi PrimalItemArmor_BeaverSaddle_Alpha_C 1 100 0</v>
      </c>
      <c r="H340" s="59" t="s">
        <v>2441</v>
      </c>
      <c r="I340" s="46" t="str">
        <f t="shared" si="80"/>
        <v>EngramEntry_BeaverSaddle_Alpha_C</v>
      </c>
      <c r="J340" s="76" t="str">
        <f t="shared" si="81"/>
        <v>OverrideNamedEngramEntries=(EngramEntry_BeaverSaddle_Alpha_C,EngramHidden=true)</v>
      </c>
      <c r="K340" s="1"/>
    </row>
    <row r="341">
      <c r="A341" s="7"/>
      <c r="B341" s="7"/>
      <c r="C341" s="77">
        <v>18.0</v>
      </c>
      <c r="D341" s="61" t="str">
        <f t="shared" si="78"/>
        <v>PrimalItemArmor_BeaverSaddle</v>
      </c>
      <c r="E341" s="62" t="s">
        <v>2442</v>
      </c>
      <c r="F341" s="62" t="s">
        <v>2443</v>
      </c>
      <c r="G341" s="78" t="str">
        <f t="shared" si="79"/>
        <v>cheat gfi PrimalItemArmor_BeaverSaddle_Apex_C 1 100 0</v>
      </c>
      <c r="H341" s="62" t="s">
        <v>2444</v>
      </c>
      <c r="I341" s="45" t="str">
        <f t="shared" si="80"/>
        <v>EngramEntry_BeaverSaddle_Apex_C</v>
      </c>
      <c r="J341" s="78" t="str">
        <f t="shared" si="81"/>
        <v>OverrideNamedEngramEntries=(EngramEntry_BeaverSaddle_Apex_C,EngramHidden=true)</v>
      </c>
      <c r="K341" s="1"/>
    </row>
    <row r="342">
      <c r="A342" s="7"/>
      <c r="B342" s="7"/>
      <c r="C342" s="75">
        <v>18.0</v>
      </c>
      <c r="D342" s="58" t="str">
        <f t="shared" si="78"/>
        <v>PrimalItemArmor_BeaverSaddle</v>
      </c>
      <c r="E342" s="59" t="s">
        <v>2445</v>
      </c>
      <c r="F342" s="59" t="s">
        <v>2446</v>
      </c>
      <c r="G342" s="76" t="str">
        <f t="shared" si="79"/>
        <v>cheat gfi PrimalItemArmor_BeaverSaddle_Hydro_C 1 100 0</v>
      </c>
      <c r="H342" s="59" t="s">
        <v>2447</v>
      </c>
      <c r="I342" s="46" t="str">
        <f t="shared" si="80"/>
        <v>EngramEntry_BeaverSaddle_Hydro_C</v>
      </c>
      <c r="J342" s="76" t="str">
        <f t="shared" si="81"/>
        <v>OverrideNamedEngramEntries=(EngramEntry_BeaverSaddle_Hydro_C,EngramHidden=true)</v>
      </c>
      <c r="K342" s="1"/>
    </row>
    <row r="343">
      <c r="A343" s="7"/>
      <c r="B343" s="7"/>
      <c r="C343" s="77">
        <v>18.0</v>
      </c>
      <c r="D343" s="61" t="str">
        <f t="shared" si="78"/>
        <v>PrimalItemSaddle</v>
      </c>
      <c r="E343" s="62" t="s">
        <v>2448</v>
      </c>
      <c r="F343" s="62" t="s">
        <v>2449</v>
      </c>
      <c r="G343" s="78" t="str">
        <f t="shared" si="79"/>
        <v>cheat gfi PrimalItemSaddle_Beetle_Nature_C 1 100 0</v>
      </c>
      <c r="H343" s="62" t="s">
        <v>2450</v>
      </c>
      <c r="I343" s="45" t="str">
        <f t="shared" si="80"/>
        <v>EngramEntry_Beetle_Nature_C</v>
      </c>
      <c r="J343" s="78" t="str">
        <f t="shared" si="81"/>
        <v>OverrideNamedEngramEntries=(EngramEntry_Beetle_Nature_C,EngramHidden=true)</v>
      </c>
      <c r="K343" s="1"/>
    </row>
    <row r="344">
      <c r="A344" s="7"/>
      <c r="B344" s="7"/>
      <c r="C344" s="75">
        <v>18.0</v>
      </c>
      <c r="D344" s="58" t="str">
        <f t="shared" si="78"/>
        <v>PrimalItemSaddle</v>
      </c>
      <c r="E344" s="59" t="s">
        <v>2451</v>
      </c>
      <c r="F344" s="59" t="s">
        <v>2452</v>
      </c>
      <c r="G344" s="76" t="str">
        <f t="shared" si="79"/>
        <v>cheat gfi PrimalItemSaddle_BerserkingDragon_Frost_C 1 100 0</v>
      </c>
      <c r="H344" s="59" t="s">
        <v>2453</v>
      </c>
      <c r="I344" s="46" t="str">
        <f t="shared" si="80"/>
        <v>EngramEntry_BerserkingDragon_Frost_C</v>
      </c>
      <c r="J344" s="76" t="str">
        <f t="shared" si="81"/>
        <v>OverrideNamedEngramEntries=(EngramEntry_BerserkingDragon_Frost_C,EngramHidden=true)</v>
      </c>
      <c r="K344" s="1"/>
    </row>
    <row r="345">
      <c r="A345" s="7"/>
      <c r="B345" s="7"/>
      <c r="C345" s="77">
        <v>18.0</v>
      </c>
      <c r="D345" s="61" t="str">
        <f t="shared" si="78"/>
        <v>PrimalItemSaddle</v>
      </c>
      <c r="E345" s="62" t="s">
        <v>2454</v>
      </c>
      <c r="F345" s="62" t="s">
        <v>2455</v>
      </c>
      <c r="G345" s="78" t="str">
        <f t="shared" si="79"/>
        <v>cheat gfi PrimalItemSaddle_Bigfoot_Alpha_C 1 100 0</v>
      </c>
      <c r="H345" s="62" t="s">
        <v>2456</v>
      </c>
      <c r="I345" s="45" t="str">
        <f t="shared" si="80"/>
        <v>EngramEntry_Bigfoot_Alpha_C</v>
      </c>
      <c r="J345" s="78" t="str">
        <f t="shared" si="81"/>
        <v>OverrideNamedEngramEntries=(EngramEntry_Bigfoot_Alpha_C,EngramHidden=true)</v>
      </c>
      <c r="K345" s="1"/>
    </row>
    <row r="346">
      <c r="A346" s="7"/>
      <c r="B346" s="7"/>
      <c r="C346" s="75">
        <v>18.0</v>
      </c>
      <c r="D346" s="58" t="str">
        <f t="shared" si="78"/>
        <v>PrimalItemSaddle</v>
      </c>
      <c r="E346" s="59" t="s">
        <v>2457</v>
      </c>
      <c r="F346" s="59" t="s">
        <v>2458</v>
      </c>
      <c r="G346" s="76" t="str">
        <f t="shared" si="79"/>
        <v>cheat gfi PrimalItemSaddle_Bigfoot_Apex_C 1 100 0</v>
      </c>
      <c r="H346" s="59" t="s">
        <v>2459</v>
      </c>
      <c r="I346" s="46" t="str">
        <f t="shared" si="80"/>
        <v>EngramEntry_Bigfoot_Apex_C</v>
      </c>
      <c r="J346" s="76" t="str">
        <f t="shared" si="81"/>
        <v>OverrideNamedEngramEntries=(EngramEntry_Bigfoot_Apex_C,EngramHidden=true)</v>
      </c>
      <c r="K346" s="1"/>
    </row>
    <row r="347">
      <c r="A347" s="7"/>
      <c r="B347" s="7"/>
      <c r="C347" s="77">
        <v>18.0</v>
      </c>
      <c r="D347" s="61" t="str">
        <f t="shared" si="78"/>
        <v>PrimalItemSaddle</v>
      </c>
      <c r="E347" s="62" t="s">
        <v>2460</v>
      </c>
      <c r="F347" s="62" t="s">
        <v>2461</v>
      </c>
      <c r="G347" s="78" t="str">
        <f t="shared" si="79"/>
        <v>cheat gfi PrimalItemSaddle_Bigfoot_Nature_C 1 100 0</v>
      </c>
      <c r="H347" s="62" t="s">
        <v>2462</v>
      </c>
      <c r="I347" s="45" t="str">
        <f t="shared" si="80"/>
        <v>EngramEntry_Bigfoot_Nature_C</v>
      </c>
      <c r="J347" s="78" t="str">
        <f t="shared" si="81"/>
        <v>OverrideNamedEngramEntries=(EngramEntry_Bigfoot_Nature_C,EngramHidden=true)</v>
      </c>
      <c r="K347" s="1"/>
    </row>
    <row r="348">
      <c r="A348" s="7"/>
      <c r="B348" s="7"/>
      <c r="C348" s="75">
        <v>18.0</v>
      </c>
      <c r="D348" s="58" t="str">
        <f t="shared" si="78"/>
        <v>PrimalItemSaddle</v>
      </c>
      <c r="E348" s="59" t="s">
        <v>2463</v>
      </c>
      <c r="F348" s="59" t="s">
        <v>2464</v>
      </c>
      <c r="G348" s="76" t="str">
        <f t="shared" si="79"/>
        <v>cheat gfi PrimalItemSaddle_BroodMother_Frost_C 1 100 0</v>
      </c>
      <c r="H348" s="59" t="s">
        <v>2465</v>
      </c>
      <c r="I348" s="46" t="str">
        <f t="shared" si="80"/>
        <v>EngramEntry_BroodMother_Frost_C</v>
      </c>
      <c r="J348" s="76" t="str">
        <f t="shared" si="81"/>
        <v>OverrideNamedEngramEntries=(EngramEntry_BroodMother_Frost_C,EngramHidden=true)</v>
      </c>
      <c r="K348" s="1"/>
    </row>
    <row r="349">
      <c r="A349" s="7"/>
      <c r="B349" s="7"/>
      <c r="C349" s="77">
        <v>18.0</v>
      </c>
      <c r="D349" s="61" t="str">
        <f t="shared" si="78"/>
        <v>PrimalItemSaddle</v>
      </c>
      <c r="E349" s="62" t="s">
        <v>2466</v>
      </c>
      <c r="F349" s="62" t="s">
        <v>2467</v>
      </c>
      <c r="G349" s="78" t="str">
        <f t="shared" si="79"/>
        <v>cheat gfi PrimalItemSaddle_Broodmother_Godly_C 1 100 0</v>
      </c>
      <c r="H349" s="62" t="s">
        <v>2468</v>
      </c>
      <c r="I349" s="45" t="str">
        <f t="shared" si="80"/>
        <v>EngramEntry_Broodmother_Godly_C</v>
      </c>
      <c r="J349" s="78" t="str">
        <f t="shared" si="81"/>
        <v>OverrideNamedEngramEntries=(EngramEntry_Broodmother_Godly_C,EngramHidden=true)</v>
      </c>
      <c r="K349" s="1"/>
    </row>
    <row r="350">
      <c r="A350" s="7"/>
      <c r="B350" s="7"/>
      <c r="C350" s="75">
        <v>18.0</v>
      </c>
      <c r="D350" s="58" t="str">
        <f t="shared" si="78"/>
        <v>PrimalItemArmor_CarnoSaddle</v>
      </c>
      <c r="E350" s="59" t="s">
        <v>2469</v>
      </c>
      <c r="F350" s="59" t="s">
        <v>2470</v>
      </c>
      <c r="G350" s="76" t="str">
        <f t="shared" si="79"/>
        <v>cheat gfi PrimalItemArmor_CarnoSaddle_Alpha_C 1 100 0</v>
      </c>
      <c r="H350" s="59" t="s">
        <v>2471</v>
      </c>
      <c r="I350" s="46" t="str">
        <f t="shared" si="80"/>
        <v>EngramEntry_CarnoSaddle_Alpha_C</v>
      </c>
      <c r="J350" s="76" t="str">
        <f t="shared" si="81"/>
        <v>OverrideNamedEngramEntries=(EngramEntry_CarnoSaddle_Alpha_C,EngramHidden=true)</v>
      </c>
      <c r="K350" s="1"/>
    </row>
    <row r="351">
      <c r="A351" s="7"/>
      <c r="B351" s="7"/>
      <c r="C351" s="77">
        <v>18.0</v>
      </c>
      <c r="D351" s="61" t="str">
        <f t="shared" si="78"/>
        <v>PrimalItemArmor_CarnoSaddle</v>
      </c>
      <c r="E351" s="62" t="s">
        <v>2472</v>
      </c>
      <c r="F351" s="62" t="s">
        <v>2473</v>
      </c>
      <c r="G351" s="78" t="str">
        <f t="shared" si="79"/>
        <v>cheat gfi PrimalItemArmor_CarnoSaddle_Apex_C 1 100 0</v>
      </c>
      <c r="H351" s="62" t="s">
        <v>2474</v>
      </c>
      <c r="I351" s="45" t="str">
        <f t="shared" si="80"/>
        <v>EngramEntry_CarnoSaddle_Apex_C</v>
      </c>
      <c r="J351" s="78" t="str">
        <f t="shared" si="81"/>
        <v>OverrideNamedEngramEntries=(EngramEntry_CarnoSaddle_Apex_C,EngramHidden=true)</v>
      </c>
      <c r="K351" s="1"/>
    </row>
    <row r="352">
      <c r="A352" s="7"/>
      <c r="B352" s="7"/>
      <c r="C352" s="75">
        <v>18.0</v>
      </c>
      <c r="D352" s="58" t="str">
        <f t="shared" si="78"/>
        <v>PrimalItemArmor_CarnoSaddle</v>
      </c>
      <c r="E352" s="59" t="s">
        <v>2475</v>
      </c>
      <c r="F352" s="59" t="s">
        <v>2476</v>
      </c>
      <c r="G352" s="76" t="str">
        <f t="shared" si="79"/>
        <v>cheat gfi PrimalItemArmor_CarnoSaddle_Storm_C 1 100 0</v>
      </c>
      <c r="H352" s="59" t="s">
        <v>2477</v>
      </c>
      <c r="I352" s="46" t="str">
        <f t="shared" si="80"/>
        <v>EngramEntry_CarnoSaddle_Storm_C</v>
      </c>
      <c r="J352" s="76" t="str">
        <f t="shared" si="81"/>
        <v>OverrideNamedEngramEntries=(EngramEntry_CarnoSaddle_Storm_C,EngramHidden=true)</v>
      </c>
      <c r="K352" s="1"/>
    </row>
    <row r="353">
      <c r="A353" s="7"/>
      <c r="B353" s="7"/>
      <c r="C353" s="77">
        <v>18.0</v>
      </c>
      <c r="D353" s="61" t="str">
        <f t="shared" si="78"/>
        <v>PrimalItemSaddle</v>
      </c>
      <c r="E353" s="62" t="s">
        <v>2478</v>
      </c>
      <c r="F353" s="62" t="s">
        <v>2479</v>
      </c>
      <c r="G353" s="78" t="str">
        <f t="shared" si="79"/>
        <v>cheat gfi PrimalItemSaddle_CatFish_Atlantic_C 1 100 0</v>
      </c>
      <c r="H353" s="62" t="s">
        <v>2480</v>
      </c>
      <c r="I353" s="45" t="str">
        <f t="shared" si="80"/>
        <v>EngramEntry_CatFish_Atlantic_C</v>
      </c>
      <c r="J353" s="78" t="str">
        <f t="shared" si="81"/>
        <v>OverrideNamedEngramEntries=(EngramEntry_CatFish_Atlantic_C,EngramHidden=true)</v>
      </c>
      <c r="K353" s="1"/>
    </row>
    <row r="354">
      <c r="A354" s="7"/>
      <c r="B354" s="7"/>
      <c r="C354" s="75">
        <v>18.0</v>
      </c>
      <c r="D354" s="58" t="str">
        <f t="shared" si="78"/>
        <v>PrimalItemSaddle</v>
      </c>
      <c r="E354" s="59" t="s">
        <v>2481</v>
      </c>
      <c r="F354" s="59" t="s">
        <v>2482</v>
      </c>
      <c r="G354" s="76" t="str">
        <f t="shared" si="79"/>
        <v>cheat gfi PrimalItemSaddle_CatFish_Pacific_C 1 100 0</v>
      </c>
      <c r="H354" s="59" t="s">
        <v>2483</v>
      </c>
      <c r="I354" s="46" t="str">
        <f t="shared" si="80"/>
        <v>EngramEntry_CatFish_Pacific_C</v>
      </c>
      <c r="J354" s="76" t="str">
        <f t="shared" si="81"/>
        <v>OverrideNamedEngramEntries=(EngramEntry_CatFish_Pacific_C,EngramHidden=true)</v>
      </c>
      <c r="K354" s="1"/>
    </row>
    <row r="355">
      <c r="A355" s="7"/>
      <c r="B355" s="7"/>
      <c r="C355" s="77">
        <v>18.0</v>
      </c>
      <c r="D355" s="61" t="str">
        <f t="shared" si="78"/>
        <v>PrimalItemArmor_CavewolfSaddle</v>
      </c>
      <c r="E355" s="62" t="s">
        <v>2484</v>
      </c>
      <c r="F355" s="62" t="s">
        <v>2485</v>
      </c>
      <c r="G355" s="78" t="str">
        <f t="shared" si="79"/>
        <v>cheat gfi PrimalItemArmor_CavewolfSaddle_Volcanic_C 1 100 0</v>
      </c>
      <c r="H355" s="62" t="s">
        <v>2486</v>
      </c>
      <c r="I355" s="45" t="str">
        <f t="shared" si="80"/>
        <v>EngramEntry_CavewolfSaddle_Volcanic_C</v>
      </c>
      <c r="J355" s="78" t="str">
        <f t="shared" si="81"/>
        <v>OverrideNamedEngramEntries=(EngramEntry_CavewolfSaddle_Volcanic_C,EngramHidden=true)</v>
      </c>
      <c r="K355" s="1"/>
    </row>
    <row r="356">
      <c r="A356" s="7"/>
      <c r="B356" s="7"/>
      <c r="C356" s="75">
        <v>18.0</v>
      </c>
      <c r="D356" s="58" t="str">
        <f t="shared" si="78"/>
        <v>PrimalItemArmor_CeratosaurusSaddle</v>
      </c>
      <c r="E356" s="59" t="s">
        <v>2487</v>
      </c>
      <c r="F356" s="59" t="s">
        <v>2488</v>
      </c>
      <c r="G356" s="76" t="str">
        <f t="shared" si="79"/>
        <v>cheat gfi PrimalItemArmor_CeratosaurusSaddle_ASA_Celestial_C 1 100 0</v>
      </c>
      <c r="H356" s="59" t="s">
        <v>2489</v>
      </c>
      <c r="I356" s="46" t="str">
        <f t="shared" si="80"/>
        <v>EngramEntry_CeratosaurusSaddle_ASA_Celestial_C</v>
      </c>
      <c r="J356" s="76" t="str">
        <f t="shared" si="81"/>
        <v>OverrideNamedEngramEntries=(EngramEntry_CeratosaurusSaddle_ASA_Celestial_C,EngramHidden=true)</v>
      </c>
      <c r="K356" s="1"/>
    </row>
    <row r="357">
      <c r="A357" s="7"/>
      <c r="B357" s="7"/>
      <c r="C357" s="77">
        <v>18.0</v>
      </c>
      <c r="D357" s="61" t="str">
        <f t="shared" si="78"/>
        <v>PrimalItemArmor_ChalicoSaddle</v>
      </c>
      <c r="E357" s="62" t="s">
        <v>2490</v>
      </c>
      <c r="F357" s="62" t="s">
        <v>2491</v>
      </c>
      <c r="G357" s="78" t="str">
        <f t="shared" si="79"/>
        <v>cheat gfi PrimalItemArmor_ChalicoSaddle_Alpha_C 1 100 0</v>
      </c>
      <c r="H357" s="62" t="s">
        <v>2492</v>
      </c>
      <c r="I357" s="45" t="str">
        <f t="shared" si="80"/>
        <v>EngramEntry_ChalicoSaddle_Alpha_C</v>
      </c>
      <c r="J357" s="78" t="str">
        <f t="shared" si="81"/>
        <v>OverrideNamedEngramEntries=(EngramEntry_ChalicoSaddle_Alpha_C,EngramHidden=true)</v>
      </c>
      <c r="K357" s="1"/>
    </row>
    <row r="358">
      <c r="A358" s="7"/>
      <c r="B358" s="7"/>
      <c r="C358" s="75">
        <v>18.0</v>
      </c>
      <c r="D358" s="58" t="str">
        <f t="shared" si="78"/>
        <v>PrimalItemArmor_ChalicoSaddle</v>
      </c>
      <c r="E358" s="59" t="s">
        <v>2493</v>
      </c>
      <c r="F358" s="59" t="s">
        <v>2494</v>
      </c>
      <c r="G358" s="76" t="str">
        <f t="shared" si="79"/>
        <v>cheat gfi PrimalItemArmor_ChalicoSaddle_Apex_C 1 100 0</v>
      </c>
      <c r="H358" s="59" t="s">
        <v>2495</v>
      </c>
      <c r="I358" s="46" t="str">
        <f t="shared" si="80"/>
        <v>EngramEntry_ChalicoSaddle_Apex_C</v>
      </c>
      <c r="J358" s="76" t="str">
        <f t="shared" si="81"/>
        <v>OverrideNamedEngramEntries=(EngramEntry_ChalicoSaddle_Apex_C,EngramHidden=true)</v>
      </c>
      <c r="K358" s="1"/>
    </row>
    <row r="359">
      <c r="A359" s="7"/>
      <c r="B359" s="7"/>
      <c r="C359" s="77">
        <v>18.0</v>
      </c>
      <c r="D359" s="61" t="str">
        <f t="shared" si="78"/>
        <v>PrimalItemArmor_ChalicoSaddle</v>
      </c>
      <c r="E359" s="62" t="s">
        <v>2496</v>
      </c>
      <c r="F359" s="62" t="s">
        <v>2497</v>
      </c>
      <c r="G359" s="78" t="str">
        <f t="shared" si="79"/>
        <v>cheat gfi PrimalItemArmor_ChalicoSaddle_Earth_C 1 100 0</v>
      </c>
      <c r="H359" s="62" t="s">
        <v>2498</v>
      </c>
      <c r="I359" s="45" t="str">
        <f t="shared" si="80"/>
        <v>EngramEntry_ChalicoSaddle_Earth_C</v>
      </c>
      <c r="J359" s="78" t="str">
        <f t="shared" si="81"/>
        <v>OverrideNamedEngramEntries=(EngramEntry_ChalicoSaddle_Earth_C,EngramHidden=true)</v>
      </c>
      <c r="K359" s="1"/>
    </row>
    <row r="360">
      <c r="A360" s="7"/>
      <c r="B360" s="7"/>
      <c r="C360" s="75">
        <v>18.0</v>
      </c>
      <c r="D360" s="58" t="str">
        <f t="shared" si="78"/>
        <v>PrimalItemSaddle</v>
      </c>
      <c r="E360" s="59" t="s">
        <v>2499</v>
      </c>
      <c r="F360" s="59" t="s">
        <v>2500</v>
      </c>
      <c r="G360" s="76" t="str">
        <f t="shared" si="79"/>
        <v>cheat gfi PrimalItemSaddle_Cnidaria_Atlantic_C 1 100 0</v>
      </c>
      <c r="H360" s="59" t="s">
        <v>2501</v>
      </c>
      <c r="I360" s="46" t="str">
        <f t="shared" si="80"/>
        <v>EngramEntry_Cnidaria_Atlantic_C</v>
      </c>
      <c r="J360" s="76" t="str">
        <f t="shared" si="81"/>
        <v>OverrideNamedEngramEntries=(EngramEntry_Cnidaria_Atlantic_C,EngramHidden=true)</v>
      </c>
      <c r="K360" s="1"/>
    </row>
    <row r="361">
      <c r="A361" s="7"/>
      <c r="B361" s="7"/>
      <c r="C361" s="77">
        <v>18.0</v>
      </c>
      <c r="D361" s="61" t="str">
        <f t="shared" si="78"/>
        <v>PrimalItemSaddle</v>
      </c>
      <c r="E361" s="62" t="s">
        <v>2502</v>
      </c>
      <c r="F361" s="62" t="s">
        <v>2503</v>
      </c>
      <c r="G361" s="78" t="str">
        <f t="shared" si="79"/>
        <v>cheat gfi PrimalItemSaddle_Cnidaria_Pacific_C 1 100 0</v>
      </c>
      <c r="H361" s="62" t="s">
        <v>2504</v>
      </c>
      <c r="I361" s="45" t="str">
        <f t="shared" si="80"/>
        <v>EngramEntry_Cnidaria_Pacific_C</v>
      </c>
      <c r="J361" s="78" t="str">
        <f t="shared" si="81"/>
        <v>OverrideNamedEngramEntries=(EngramEntry_Cnidaria_Pacific_C,EngramHidden=true)</v>
      </c>
      <c r="K361" s="1"/>
    </row>
    <row r="362">
      <c r="A362" s="7"/>
      <c r="B362" s="7"/>
      <c r="C362" s="75">
        <v>18.0</v>
      </c>
      <c r="D362" s="58" t="str">
        <f t="shared" si="78"/>
        <v>PrimalItemSaddle</v>
      </c>
      <c r="E362" s="59" t="s">
        <v>2505</v>
      </c>
      <c r="F362" s="59" t="s">
        <v>2506</v>
      </c>
      <c r="G362" s="76" t="str">
        <f t="shared" si="79"/>
        <v>cheat gfi PrimalItemSaddle_Cod_Atlantic_C 1 100 0</v>
      </c>
      <c r="H362" s="59" t="s">
        <v>2507</v>
      </c>
      <c r="I362" s="46" t="str">
        <f t="shared" si="80"/>
        <v>EngramEntry_Cod_Atlantic_C</v>
      </c>
      <c r="J362" s="76" t="str">
        <f t="shared" si="81"/>
        <v>OverrideNamedEngramEntries=(EngramEntry_Cod_Atlantic_C,EngramHidden=true)</v>
      </c>
      <c r="K362" s="1"/>
    </row>
    <row r="363">
      <c r="A363" s="7"/>
      <c r="B363" s="7"/>
      <c r="C363" s="77">
        <v>18.0</v>
      </c>
      <c r="D363" s="61" t="str">
        <f t="shared" si="78"/>
        <v>PrimalItemSaddle</v>
      </c>
      <c r="E363" s="62" t="s">
        <v>2508</v>
      </c>
      <c r="F363" s="62" t="s">
        <v>2509</v>
      </c>
      <c r="G363" s="78" t="str">
        <f t="shared" si="79"/>
        <v>cheat gfi PrimalItemSaddle_Cod_Pacific_C 1 100 0</v>
      </c>
      <c r="H363" s="62" t="s">
        <v>2510</v>
      </c>
      <c r="I363" s="45" t="str">
        <f t="shared" si="80"/>
        <v>EngramEntry_Cod_Pacific_C</v>
      </c>
      <c r="J363" s="78" t="str">
        <f t="shared" si="81"/>
        <v>OverrideNamedEngramEntries=(EngramEntry_Cod_Pacific_C,EngramHidden=true)</v>
      </c>
      <c r="K363" s="1"/>
    </row>
    <row r="364">
      <c r="A364" s="7"/>
      <c r="B364" s="7"/>
      <c r="C364" s="75">
        <v>18.0</v>
      </c>
      <c r="D364" s="58" t="str">
        <f t="shared" si="78"/>
        <v>PrimalItemSaddle</v>
      </c>
      <c r="E364" s="59" t="s">
        <v>2511</v>
      </c>
      <c r="F364" s="59" t="s">
        <v>2512</v>
      </c>
      <c r="G364" s="76" t="str">
        <f t="shared" si="79"/>
        <v>cheat gfi PrimalItemSaddle_Coel_Atlantic_C 1 100 0</v>
      </c>
      <c r="H364" s="59" t="s">
        <v>2513</v>
      </c>
      <c r="I364" s="46" t="str">
        <f t="shared" si="80"/>
        <v>EngramEntry_Coel_Atlantic_C</v>
      </c>
      <c r="J364" s="76" t="str">
        <f t="shared" si="81"/>
        <v>OverrideNamedEngramEntries=(EngramEntry_Coel_Atlantic_C,EngramHidden=true)</v>
      </c>
      <c r="K364" s="1"/>
    </row>
    <row r="365">
      <c r="A365" s="7"/>
      <c r="B365" s="7"/>
      <c r="C365" s="77">
        <v>18.0</v>
      </c>
      <c r="D365" s="61" t="str">
        <f t="shared" si="78"/>
        <v>PrimalItemSaddle</v>
      </c>
      <c r="E365" s="62" t="s">
        <v>2514</v>
      </c>
      <c r="F365" s="62" t="s">
        <v>2515</v>
      </c>
      <c r="G365" s="78" t="str">
        <f t="shared" si="79"/>
        <v>cheat gfi PrimalItemSaddle_Coel_Pacific_C 1 100 0</v>
      </c>
      <c r="H365" s="62" t="s">
        <v>2516</v>
      </c>
      <c r="I365" s="45" t="str">
        <f t="shared" si="80"/>
        <v>EngramEntry_Coel_Pacific_C</v>
      </c>
      <c r="J365" s="78" t="str">
        <f t="shared" si="81"/>
        <v>OverrideNamedEngramEntries=(EngramEntry_Coel_Pacific_C,EngramHidden=true)</v>
      </c>
      <c r="K365" s="1"/>
    </row>
    <row r="366">
      <c r="A366" s="7"/>
      <c r="B366" s="7"/>
      <c r="C366" s="75">
        <v>18.0</v>
      </c>
      <c r="D366" s="58" t="str">
        <f t="shared" si="78"/>
        <v>PrimalItemSaddle</v>
      </c>
      <c r="E366" s="59" t="s">
        <v>2517</v>
      </c>
      <c r="F366" s="59" t="s">
        <v>2518</v>
      </c>
      <c r="G366" s="76" t="str">
        <f t="shared" si="79"/>
        <v>cheat gfi PrimalItemSaddle_Compy_Alpha_C 1 100 0</v>
      </c>
      <c r="H366" s="59" t="s">
        <v>2519</v>
      </c>
      <c r="I366" s="46" t="str">
        <f t="shared" si="80"/>
        <v>EngramEntry_Compy_Alpha_C</v>
      </c>
      <c r="J366" s="76" t="str">
        <f t="shared" si="81"/>
        <v>OverrideNamedEngramEntries=(EngramEntry_Compy_Alpha_C,EngramHidden=true)</v>
      </c>
      <c r="K366" s="1"/>
    </row>
    <row r="367">
      <c r="A367" s="7"/>
      <c r="B367" s="7"/>
      <c r="C367" s="77">
        <v>18.0</v>
      </c>
      <c r="D367" s="61" t="str">
        <f t="shared" si="78"/>
        <v>PrimalItemSaddle</v>
      </c>
      <c r="E367" s="62" t="s">
        <v>2520</v>
      </c>
      <c r="F367" s="62" t="s">
        <v>2521</v>
      </c>
      <c r="G367" s="78" t="str">
        <f t="shared" si="79"/>
        <v>cheat gfi PrimalItemSaddle_Compy_Apex_C 1 100 0</v>
      </c>
      <c r="H367" s="62" t="s">
        <v>2522</v>
      </c>
      <c r="I367" s="45" t="str">
        <f t="shared" si="80"/>
        <v>EngramEntry_Compy_Apex_C</v>
      </c>
      <c r="J367" s="78" t="str">
        <f t="shared" si="81"/>
        <v>OverrideNamedEngramEntries=(EngramEntry_Compy_Apex_C,EngramHidden=true)</v>
      </c>
      <c r="K367" s="1"/>
    </row>
    <row r="368">
      <c r="A368" s="7"/>
      <c r="B368" s="7"/>
      <c r="C368" s="75">
        <v>18.0</v>
      </c>
      <c r="D368" s="58" t="str">
        <f t="shared" si="78"/>
        <v>PrimalItemSaddle</v>
      </c>
      <c r="E368" s="59" t="s">
        <v>2523</v>
      </c>
      <c r="F368" s="59" t="s">
        <v>2524</v>
      </c>
      <c r="G368" s="76" t="str">
        <f t="shared" si="79"/>
        <v>cheat gfi PrimalItemSaddle_Crab_Godly_C 1 100 0</v>
      </c>
      <c r="H368" s="59" t="s">
        <v>2525</v>
      </c>
      <c r="I368" s="46" t="str">
        <f t="shared" si="80"/>
        <v>EngramEntry_Crab_Godly_C</v>
      </c>
      <c r="J368" s="76" t="str">
        <f t="shared" si="81"/>
        <v>OverrideNamedEngramEntries=(EngramEntry_Crab_Godly_C,EngramHidden=true)</v>
      </c>
      <c r="K368" s="1"/>
    </row>
    <row r="369">
      <c r="A369" s="7"/>
      <c r="B369" s="7"/>
      <c r="C369" s="77">
        <v>18.0</v>
      </c>
      <c r="D369" s="61" t="str">
        <f t="shared" si="78"/>
        <v>PrimalItemArmor_CrabSaddle</v>
      </c>
      <c r="E369" s="62" t="s">
        <v>2526</v>
      </c>
      <c r="F369" s="62" t="s">
        <v>2527</v>
      </c>
      <c r="G369" s="78" t="str">
        <f t="shared" si="79"/>
        <v>cheat gfi PrimalItemArmor_CrabSaddle_Frost_C 1 100 0</v>
      </c>
      <c r="H369" s="62" t="s">
        <v>2528</v>
      </c>
      <c r="I369" s="45" t="str">
        <f t="shared" si="80"/>
        <v>EngramEntry_CrabSaddle_Frost_C</v>
      </c>
      <c r="J369" s="78" t="str">
        <f t="shared" si="81"/>
        <v>OverrideNamedEngramEntries=(EngramEntry_CrabSaddle_Frost_C,EngramHidden=true)</v>
      </c>
      <c r="K369" s="1"/>
    </row>
    <row r="370">
      <c r="A370" s="7"/>
      <c r="B370" s="7"/>
      <c r="C370" s="75">
        <v>18.0</v>
      </c>
      <c r="D370" s="58" t="str">
        <f t="shared" si="78"/>
        <v>PrimalItemArmor_CrocSaddle</v>
      </c>
      <c r="E370" s="59" t="s">
        <v>2529</v>
      </c>
      <c r="F370" s="59" t="s">
        <v>2530</v>
      </c>
      <c r="G370" s="76" t="str">
        <f t="shared" si="79"/>
        <v>cheat gfi PrimalItemArmor_CrocSaddle_Atlantic_C 1 100 0</v>
      </c>
      <c r="H370" s="59" t="s">
        <v>2531</v>
      </c>
      <c r="I370" s="46" t="str">
        <f t="shared" si="80"/>
        <v>EngramEntry_CrocSaddle_Atlantic_C</v>
      </c>
      <c r="J370" s="76" t="str">
        <f t="shared" si="81"/>
        <v>OverrideNamedEngramEntries=(EngramEntry_CrocSaddle_Atlantic_C,EngramHidden=true)</v>
      </c>
      <c r="K370" s="1"/>
    </row>
    <row r="371">
      <c r="A371" s="7"/>
      <c r="B371" s="7"/>
      <c r="C371" s="77">
        <v>18.0</v>
      </c>
      <c r="D371" s="61" t="str">
        <f t="shared" si="78"/>
        <v>PrimalItemArmor_CrocSaddle</v>
      </c>
      <c r="E371" s="62" t="s">
        <v>2532</v>
      </c>
      <c r="F371" s="62" t="s">
        <v>2533</v>
      </c>
      <c r="G371" s="78" t="str">
        <f t="shared" si="79"/>
        <v>cheat gfi PrimalItemArmor_CrocSaddle_Pacific_C 1 100 0</v>
      </c>
      <c r="H371" s="62" t="s">
        <v>2534</v>
      </c>
      <c r="I371" s="45" t="str">
        <f t="shared" si="80"/>
        <v>EngramEntry_CrocSaddle_Pacific_C</v>
      </c>
      <c r="J371" s="78" t="str">
        <f t="shared" si="81"/>
        <v>OverrideNamedEngramEntries=(EngramEntry_CrocSaddle_Pacific_C,EngramHidden=true)</v>
      </c>
      <c r="K371" s="1"/>
    </row>
    <row r="372">
      <c r="A372" s="7"/>
      <c r="B372" s="7"/>
      <c r="C372" s="75">
        <v>18.0</v>
      </c>
      <c r="D372" s="58" t="str">
        <f t="shared" si="78"/>
        <v>PrimalItemArmor_DaeodonSaddle</v>
      </c>
      <c r="E372" s="59" t="s">
        <v>2535</v>
      </c>
      <c r="F372" s="59" t="s">
        <v>2536</v>
      </c>
      <c r="G372" s="76" t="str">
        <f t="shared" si="79"/>
        <v>cheat gfi PrimalItemArmor_DaeodonSaddle_Alpha_C 1 100 0</v>
      </c>
      <c r="H372" s="59" t="s">
        <v>2537</v>
      </c>
      <c r="I372" s="46" t="str">
        <f t="shared" si="80"/>
        <v>EngramEntry_DaeodonSaddle_Alpha_C</v>
      </c>
      <c r="J372" s="76" t="str">
        <f t="shared" si="81"/>
        <v>OverrideNamedEngramEntries=(EngramEntry_DaeodonSaddle_Alpha_C,EngramHidden=true)</v>
      </c>
      <c r="K372" s="1"/>
    </row>
    <row r="373">
      <c r="A373" s="7"/>
      <c r="B373" s="7"/>
      <c r="C373" s="77">
        <v>18.0</v>
      </c>
      <c r="D373" s="61" t="str">
        <f t="shared" si="78"/>
        <v>PrimalItemArmor_DaeodonSaddle</v>
      </c>
      <c r="E373" s="62" t="s">
        <v>2538</v>
      </c>
      <c r="F373" s="62" t="s">
        <v>2539</v>
      </c>
      <c r="G373" s="78" t="str">
        <f t="shared" si="79"/>
        <v>cheat gfi PrimalItemArmor_DaeodonSaddle_Apex_C 1 100 0</v>
      </c>
      <c r="H373" s="62" t="s">
        <v>2540</v>
      </c>
      <c r="I373" s="45" t="str">
        <f t="shared" si="80"/>
        <v>EngramEntry_DaeodonSaddle_Apex_C</v>
      </c>
      <c r="J373" s="78" t="str">
        <f t="shared" si="81"/>
        <v>OverrideNamedEngramEntries=(EngramEntry_DaeodonSaddle_Apex_C,EngramHidden=true)</v>
      </c>
      <c r="K373" s="1"/>
    </row>
    <row r="374">
      <c r="A374" s="7"/>
      <c r="B374" s="7"/>
      <c r="C374" s="75">
        <v>18.0</v>
      </c>
      <c r="D374" s="58" t="str">
        <f t="shared" si="78"/>
        <v>PrimalItemSaddle</v>
      </c>
      <c r="E374" s="59" t="s">
        <v>2541</v>
      </c>
      <c r="F374" s="59" t="s">
        <v>2542</v>
      </c>
      <c r="G374" s="76" t="str">
        <f t="shared" si="79"/>
        <v>cheat gfi PrimalItemSaddle_DeathWorm_Volcanic_C 1 100 0</v>
      </c>
      <c r="H374" s="59" t="s">
        <v>2543</v>
      </c>
      <c r="I374" s="46" t="str">
        <f t="shared" si="80"/>
        <v>EngramEntry_DeathWorm_Volcanic_C</v>
      </c>
      <c r="J374" s="76" t="str">
        <f t="shared" si="81"/>
        <v>OverrideNamedEngramEntries=(EngramEntry_DeathWorm_Volcanic_C,EngramHidden=true)</v>
      </c>
      <c r="K374" s="1"/>
    </row>
    <row r="375">
      <c r="A375" s="7"/>
      <c r="B375" s="7"/>
      <c r="C375" s="77">
        <v>18.0</v>
      </c>
      <c r="D375" s="61" t="str">
        <f t="shared" si="78"/>
        <v>PrimalItemArmor_Deinosuchus_Saddle</v>
      </c>
      <c r="E375" s="62" t="s">
        <v>2544</v>
      </c>
      <c r="F375" s="62" t="s">
        <v>2545</v>
      </c>
      <c r="G375" s="78" t="str">
        <f t="shared" si="79"/>
        <v>cheat gfi PrimalItemArmor_Deinosuchus_Saddle_ASA_Atlantic_C 1 100 0</v>
      </c>
      <c r="H375" s="62" t="s">
        <v>2546</v>
      </c>
      <c r="I375" s="45" t="str">
        <f t="shared" si="80"/>
        <v>EngramEntry_Deinosuchus_Saddle_ASA_Atlantic_C</v>
      </c>
      <c r="J375" s="78" t="str">
        <f t="shared" si="81"/>
        <v>OverrideNamedEngramEntries=(EngramEntry_Deinosuchus_Saddle_ASA_Atlantic_C,EngramHidden=true)</v>
      </c>
      <c r="K375" s="1"/>
    </row>
    <row r="376">
      <c r="A376" s="7"/>
      <c r="B376" s="7"/>
      <c r="C376" s="75">
        <v>18.0</v>
      </c>
      <c r="D376" s="58" t="str">
        <f t="shared" si="78"/>
        <v>PrimalItemArmor_Deinosuchus_Saddle</v>
      </c>
      <c r="E376" s="59" t="s">
        <v>2547</v>
      </c>
      <c r="F376" s="59" t="s">
        <v>2548</v>
      </c>
      <c r="G376" s="76" t="str">
        <f t="shared" si="79"/>
        <v>cheat gfi PrimalItemArmor_Deinosuchus_Saddle_ASA_Pacific_C 1 100 0</v>
      </c>
      <c r="H376" s="59" t="s">
        <v>2549</v>
      </c>
      <c r="I376" s="46" t="str">
        <f t="shared" si="80"/>
        <v>EngramEntry_Deinosuchus_Saddle_ASA_Pacific_C</v>
      </c>
      <c r="J376" s="76" t="str">
        <f t="shared" si="81"/>
        <v>OverrideNamedEngramEntries=(EngramEntry_Deinosuchus_Saddle_ASA_Pacific_C,EngramHidden=true)</v>
      </c>
      <c r="K376" s="1"/>
    </row>
    <row r="377">
      <c r="A377" s="7"/>
      <c r="B377" s="7"/>
      <c r="C377" s="77">
        <v>18.0</v>
      </c>
      <c r="D377" s="61" t="str">
        <f t="shared" si="78"/>
        <v>PrimalItemSaddle</v>
      </c>
      <c r="E377" s="62" t="s">
        <v>2550</v>
      </c>
      <c r="F377" s="62" t="s">
        <v>2551</v>
      </c>
      <c r="G377" s="78" t="str">
        <f t="shared" si="79"/>
        <v>cheat gfi PrimalItemSaddle_Dilo_Alpha_C 1 100 0</v>
      </c>
      <c r="H377" s="62" t="s">
        <v>2552</v>
      </c>
      <c r="I377" s="45" t="str">
        <f t="shared" si="80"/>
        <v>EngramEntry_Dilo_Alpha_C</v>
      </c>
      <c r="J377" s="78" t="str">
        <f t="shared" si="81"/>
        <v>OverrideNamedEngramEntries=(EngramEntry_Dilo_Alpha_C,EngramHidden=true)</v>
      </c>
      <c r="K377" s="1"/>
    </row>
    <row r="378">
      <c r="A378" s="7"/>
      <c r="B378" s="7"/>
      <c r="C378" s="75">
        <v>18.0</v>
      </c>
      <c r="D378" s="58" t="str">
        <f t="shared" si="78"/>
        <v>PrimalItemSaddle</v>
      </c>
      <c r="E378" s="59" t="s">
        <v>2553</v>
      </c>
      <c r="F378" s="59" t="s">
        <v>2554</v>
      </c>
      <c r="G378" s="76" t="str">
        <f t="shared" si="79"/>
        <v>cheat gfi PrimalItemSaddle_Dilo_Apex_C 1 100 0</v>
      </c>
      <c r="H378" s="59" t="s">
        <v>2555</v>
      </c>
      <c r="I378" s="46" t="str">
        <f t="shared" si="80"/>
        <v>EngramEntry_Dilo_Apex_C</v>
      </c>
      <c r="J378" s="76" t="str">
        <f t="shared" si="81"/>
        <v>OverrideNamedEngramEntries=(EngramEntry_Dilo_Apex_C,EngramHidden=true)</v>
      </c>
      <c r="K378" s="1"/>
    </row>
    <row r="379">
      <c r="A379" s="7"/>
      <c r="B379" s="7"/>
      <c r="C379" s="77">
        <v>18.0</v>
      </c>
      <c r="D379" s="61" t="str">
        <f t="shared" si="78"/>
        <v>PrimalItemSaddle</v>
      </c>
      <c r="E379" s="62" t="s">
        <v>2556</v>
      </c>
      <c r="F379" s="62" t="s">
        <v>2557</v>
      </c>
      <c r="G379" s="78" t="str">
        <f t="shared" si="79"/>
        <v>cheat gfi PrimalItemSaddle_Dilo_Nature_C 1 100 0</v>
      </c>
      <c r="H379" s="62" t="s">
        <v>2558</v>
      </c>
      <c r="I379" s="45" t="str">
        <f t="shared" si="80"/>
        <v>EngramEntry_Dilo_Nature_C</v>
      </c>
      <c r="J379" s="78" t="str">
        <f t="shared" si="81"/>
        <v>OverrideNamedEngramEntries=(EngramEntry_Dilo_Nature_C,EngramHidden=true)</v>
      </c>
      <c r="K379" s="1"/>
    </row>
    <row r="380">
      <c r="A380" s="7"/>
      <c r="B380" s="7"/>
      <c r="C380" s="75">
        <v>18.0</v>
      </c>
      <c r="D380" s="58" t="str">
        <f t="shared" si="78"/>
        <v>PrimalItemSaddle</v>
      </c>
      <c r="E380" s="59" t="s">
        <v>2559</v>
      </c>
      <c r="F380" s="59" t="s">
        <v>2560</v>
      </c>
      <c r="G380" s="76" t="str">
        <f t="shared" si="79"/>
        <v>cheat gfi PrimalItemSaddle_Dimetrodon_Alpha_C 1 100 0</v>
      </c>
      <c r="H380" s="59" t="s">
        <v>2561</v>
      </c>
      <c r="I380" s="46" t="str">
        <f t="shared" si="80"/>
        <v>EngramEntry_Dimetrodon_Alpha_C</v>
      </c>
      <c r="J380" s="76" t="str">
        <f t="shared" si="81"/>
        <v>OverrideNamedEngramEntries=(EngramEntry_Dimetrodon_Alpha_C,EngramHidden=true)</v>
      </c>
      <c r="K380" s="1"/>
    </row>
    <row r="381">
      <c r="A381" s="7"/>
      <c r="B381" s="7"/>
      <c r="C381" s="77">
        <v>18.0</v>
      </c>
      <c r="D381" s="61" t="str">
        <f t="shared" si="78"/>
        <v>PrimalItemSaddle</v>
      </c>
      <c r="E381" s="62" t="s">
        <v>2562</v>
      </c>
      <c r="F381" s="62" t="s">
        <v>2563</v>
      </c>
      <c r="G381" s="78" t="str">
        <f t="shared" si="79"/>
        <v>cheat gfi PrimalItemSaddle_Dimetrodon_Apex_C 1 100 0</v>
      </c>
      <c r="H381" s="62" t="s">
        <v>2564</v>
      </c>
      <c r="I381" s="45" t="str">
        <f t="shared" si="80"/>
        <v>EngramEntry_Dimetrodon_Apex_C</v>
      </c>
      <c r="J381" s="78" t="str">
        <f t="shared" si="81"/>
        <v>OverrideNamedEngramEntries=(EngramEntry_Dimetrodon_Apex_C,EngramHidden=true)</v>
      </c>
      <c r="K381" s="1"/>
    </row>
    <row r="382">
      <c r="A382" s="7"/>
      <c r="B382" s="7"/>
      <c r="C382" s="75">
        <v>18.0</v>
      </c>
      <c r="D382" s="58" t="str">
        <f t="shared" si="78"/>
        <v>PrimalItemSaddle</v>
      </c>
      <c r="E382" s="59" t="s">
        <v>2565</v>
      </c>
      <c r="F382" s="59" t="s">
        <v>2566</v>
      </c>
      <c r="G382" s="76" t="str">
        <f t="shared" si="79"/>
        <v>cheat gfi PrimalItemSaddle_Dimorphodon_Alpha_C 1 100 0</v>
      </c>
      <c r="H382" s="59" t="s">
        <v>2567</v>
      </c>
      <c r="I382" s="46" t="str">
        <f t="shared" si="80"/>
        <v>EngramEntry_Dimorphodon_Alpha_C</v>
      </c>
      <c r="J382" s="76" t="str">
        <f t="shared" si="81"/>
        <v>OverrideNamedEngramEntries=(EngramEntry_Dimorphodon_Alpha_C,EngramHidden=true)</v>
      </c>
      <c r="K382" s="1"/>
    </row>
    <row r="383">
      <c r="A383" s="7"/>
      <c r="B383" s="7"/>
      <c r="C383" s="77">
        <v>18.0</v>
      </c>
      <c r="D383" s="61" t="str">
        <f t="shared" si="78"/>
        <v>PrimalItemSaddle</v>
      </c>
      <c r="E383" s="62" t="s">
        <v>2568</v>
      </c>
      <c r="F383" s="62" t="s">
        <v>2569</v>
      </c>
      <c r="G383" s="78" t="str">
        <f t="shared" si="79"/>
        <v>cheat gfi PrimalItemSaddle_Dimorphodon_Apex_C 1 100 0</v>
      </c>
      <c r="H383" s="62" t="s">
        <v>2570</v>
      </c>
      <c r="I383" s="45" t="str">
        <f t="shared" si="80"/>
        <v>EngramEntry_Dimorphodon_Apex_C</v>
      </c>
      <c r="J383" s="78" t="str">
        <f t="shared" si="81"/>
        <v>OverrideNamedEngramEntries=(EngramEntry_Dimorphodon_Apex_C,EngramHidden=true)</v>
      </c>
      <c r="K383" s="1"/>
    </row>
    <row r="384">
      <c r="A384" s="7"/>
      <c r="B384" s="7"/>
      <c r="C384" s="75">
        <v>18.0</v>
      </c>
      <c r="D384" s="58" t="str">
        <f t="shared" si="78"/>
        <v>PrimalItemSaddle</v>
      </c>
      <c r="E384" s="59" t="s">
        <v>2571</v>
      </c>
      <c r="F384" s="59" t="s">
        <v>2572</v>
      </c>
      <c r="G384" s="76" t="str">
        <f t="shared" si="79"/>
        <v>cheat gfi PrimalItemSaddle_Diplocaulus_Atlantic_C 1 100 0</v>
      </c>
      <c r="H384" s="59" t="s">
        <v>2573</v>
      </c>
      <c r="I384" s="46" t="str">
        <f t="shared" si="80"/>
        <v>EngramEntry_Diplocaulus_Atlantic_C</v>
      </c>
      <c r="J384" s="76" t="str">
        <f t="shared" si="81"/>
        <v>OverrideNamedEngramEntries=(EngramEntry_Diplocaulus_Atlantic_C,EngramHidden=true)</v>
      </c>
      <c r="K384" s="1"/>
    </row>
    <row r="385">
      <c r="A385" s="7"/>
      <c r="B385" s="7"/>
      <c r="C385" s="77">
        <v>18.0</v>
      </c>
      <c r="D385" s="61" t="str">
        <f t="shared" si="78"/>
        <v>PrimalItemSaddle</v>
      </c>
      <c r="E385" s="62" t="s">
        <v>2574</v>
      </c>
      <c r="F385" s="62" t="s">
        <v>2575</v>
      </c>
      <c r="G385" s="78" t="str">
        <f t="shared" si="79"/>
        <v>cheat gfi PrimalItemSaddle_Diplocaulus_Pacific_C 1 100 0</v>
      </c>
      <c r="H385" s="62" t="s">
        <v>2576</v>
      </c>
      <c r="I385" s="45" t="str">
        <f t="shared" si="80"/>
        <v>EngramEntry_Diplocaulus_Pacific_C</v>
      </c>
      <c r="J385" s="78" t="str">
        <f t="shared" si="81"/>
        <v>OverrideNamedEngramEntries=(EngramEntry_Diplocaulus_Pacific_C,EngramHidden=true)</v>
      </c>
      <c r="K385" s="1"/>
    </row>
    <row r="386">
      <c r="A386" s="7"/>
      <c r="B386" s="7"/>
      <c r="C386" s="75">
        <v>18.0</v>
      </c>
      <c r="D386" s="58" t="str">
        <f t="shared" si="78"/>
        <v>PrimalItemArmor_DiplodocusSaddle</v>
      </c>
      <c r="E386" s="59" t="s">
        <v>2577</v>
      </c>
      <c r="F386" s="59" t="s">
        <v>2578</v>
      </c>
      <c r="G386" s="76" t="str">
        <f t="shared" si="79"/>
        <v>cheat gfi PrimalItemArmor_DiplodocusSaddle_Alpha_C 1 100 0</v>
      </c>
      <c r="H386" s="79" t="s">
        <v>2579</v>
      </c>
      <c r="I386" s="46" t="str">
        <f t="shared" si="80"/>
        <v>EngramEntry_DiplodocusSaddle_Alpha_C</v>
      </c>
      <c r="J386" s="76" t="str">
        <f t="shared" si="81"/>
        <v>OverrideNamedEngramEntries=(EngramEntry_DiplodocusSaddle_Alpha_C,EngramHidden=true)</v>
      </c>
      <c r="K386" s="1"/>
    </row>
    <row r="387">
      <c r="A387" s="7"/>
      <c r="B387" s="7"/>
      <c r="C387" s="77">
        <v>18.0</v>
      </c>
      <c r="D387" s="61" t="str">
        <f t="shared" si="78"/>
        <v>PrimalItemArmor_DiplodocusSaddle</v>
      </c>
      <c r="E387" s="62" t="s">
        <v>2580</v>
      </c>
      <c r="F387" s="62" t="s">
        <v>2581</v>
      </c>
      <c r="G387" s="78" t="str">
        <f t="shared" si="79"/>
        <v>cheat gfi PrimalItemArmor_DiplodocusSaddle_Apex_C 1 100 0</v>
      </c>
      <c r="H387" s="80" t="s">
        <v>2582</v>
      </c>
      <c r="I387" s="45" t="str">
        <f t="shared" si="80"/>
        <v>EngramEntry_DiplodocusSaddle_Apex_C</v>
      </c>
      <c r="J387" s="78" t="str">
        <f t="shared" si="81"/>
        <v>OverrideNamedEngramEntries=(EngramEntry_DiplodocusSaddle_Apex_C,EngramHidden=true)</v>
      </c>
      <c r="K387" s="1"/>
    </row>
    <row r="388">
      <c r="A388" s="7"/>
      <c r="B388" s="7"/>
      <c r="C388" s="75">
        <v>18.0</v>
      </c>
      <c r="D388" s="58" t="str">
        <f t="shared" si="78"/>
        <v>PrimalItemArmor_DireBearSaddle</v>
      </c>
      <c r="E388" s="59" t="s">
        <v>2583</v>
      </c>
      <c r="F388" s="59" t="s">
        <v>2584</v>
      </c>
      <c r="G388" s="76" t="str">
        <f t="shared" si="79"/>
        <v>cheat gfi PrimalItemArmor_DireBearSaddle_Alpha_C 1 100 0</v>
      </c>
      <c r="H388" s="79" t="s">
        <v>2585</v>
      </c>
      <c r="I388" s="46" t="str">
        <f t="shared" si="80"/>
        <v>EngramEntry_DireBearSaddle_Alpha_C</v>
      </c>
      <c r="J388" s="76" t="str">
        <f t="shared" si="81"/>
        <v>OverrideNamedEngramEntries=(EngramEntry_DireBearSaddle_Alpha_C,EngramHidden=true)</v>
      </c>
      <c r="K388" s="1"/>
    </row>
    <row r="389">
      <c r="A389" s="7"/>
      <c r="B389" s="7"/>
      <c r="C389" s="77">
        <v>18.0</v>
      </c>
      <c r="D389" s="61" t="str">
        <f t="shared" si="78"/>
        <v>PrimalItemArmor_DireBearSaddle</v>
      </c>
      <c r="E389" s="62" t="s">
        <v>2586</v>
      </c>
      <c r="F389" s="62" t="s">
        <v>2587</v>
      </c>
      <c r="G389" s="78" t="str">
        <f t="shared" si="79"/>
        <v>cheat gfi PrimalItemArmor_DireBearSaddle_Apex_C 1 100 0</v>
      </c>
      <c r="H389" s="80" t="s">
        <v>2588</v>
      </c>
      <c r="I389" s="45" t="str">
        <f t="shared" si="80"/>
        <v>EngramEntry_DireBearSaddle_Apex_C</v>
      </c>
      <c r="J389" s="78" t="str">
        <f t="shared" si="81"/>
        <v>OverrideNamedEngramEntries=(EngramEntry_DireBearSaddle_Apex_C,EngramHidden=true)</v>
      </c>
      <c r="K389" s="1"/>
    </row>
    <row r="390">
      <c r="A390" s="7"/>
      <c r="B390" s="7"/>
      <c r="C390" s="75">
        <v>18.0</v>
      </c>
      <c r="D390" s="58" t="str">
        <f t="shared" si="78"/>
        <v>PrimalItemArmor_DireBearSaddle</v>
      </c>
      <c r="E390" s="59" t="s">
        <v>2589</v>
      </c>
      <c r="F390" s="59" t="s">
        <v>2590</v>
      </c>
      <c r="G390" s="76" t="str">
        <f t="shared" si="79"/>
        <v>cheat gfi PrimalItemArmor_DireBearSaddle_Storm_C 1 100 0</v>
      </c>
      <c r="H390" s="79" t="s">
        <v>2591</v>
      </c>
      <c r="I390" s="46" t="str">
        <f t="shared" si="80"/>
        <v>EngramEntry_DireBearSaddle_Storm_C</v>
      </c>
      <c r="J390" s="76" t="str">
        <f t="shared" si="81"/>
        <v>OverrideNamedEngramEntries=(EngramEntry_DireBearSaddle_Storm_C,EngramHidden=true)</v>
      </c>
      <c r="K390" s="1"/>
    </row>
    <row r="391">
      <c r="A391" s="7"/>
      <c r="B391" s="7"/>
      <c r="C391" s="77">
        <v>18.0</v>
      </c>
      <c r="D391" s="61" t="str">
        <f t="shared" si="78"/>
        <v>PrimalItemSaddle</v>
      </c>
      <c r="E391" s="62" t="s">
        <v>2592</v>
      </c>
      <c r="F391" s="62" t="s">
        <v>2593</v>
      </c>
      <c r="G391" s="78" t="str">
        <f t="shared" si="79"/>
        <v>cheat gfi PrimalItemSaddle_Direwolf_Alpha_C 1 100 0</v>
      </c>
      <c r="H391" s="80" t="s">
        <v>2594</v>
      </c>
      <c r="I391" s="45" t="str">
        <f t="shared" si="80"/>
        <v>EngramEntry_Direwolf_Alpha_C</v>
      </c>
      <c r="J391" s="78" t="str">
        <f t="shared" si="81"/>
        <v>OverrideNamedEngramEntries=(EngramEntry_Direwolf_Alpha_C,EngramHidden=true)</v>
      </c>
      <c r="K391" s="1"/>
    </row>
    <row r="392">
      <c r="A392" s="7"/>
      <c r="B392" s="7"/>
      <c r="C392" s="75">
        <v>18.0</v>
      </c>
      <c r="D392" s="58" t="str">
        <f t="shared" si="78"/>
        <v>PrimalItemSaddle</v>
      </c>
      <c r="E392" s="59" t="s">
        <v>2595</v>
      </c>
      <c r="F392" s="59" t="s">
        <v>2596</v>
      </c>
      <c r="G392" s="76" t="str">
        <f t="shared" si="79"/>
        <v>cheat gfi PrimalItemSaddle_Direwolf_Apex_C 1 100 0</v>
      </c>
      <c r="H392" s="79" t="s">
        <v>2597</v>
      </c>
      <c r="I392" s="46" t="str">
        <f t="shared" si="80"/>
        <v>EngramEntry_Direwolf_Apex_C</v>
      </c>
      <c r="J392" s="76" t="str">
        <f t="shared" si="81"/>
        <v>OverrideNamedEngramEntries=(EngramEntry_Direwolf_Apex_C,EngramHidden=true)</v>
      </c>
      <c r="K392" s="1"/>
    </row>
    <row r="393">
      <c r="A393" s="7"/>
      <c r="B393" s="7"/>
      <c r="C393" s="77">
        <v>18.0</v>
      </c>
      <c r="D393" s="61" t="str">
        <f t="shared" si="78"/>
        <v>PrimalItemSaddle</v>
      </c>
      <c r="E393" s="62" t="s">
        <v>2598</v>
      </c>
      <c r="F393" s="62" t="s">
        <v>2599</v>
      </c>
      <c r="G393" s="78" t="str">
        <f t="shared" si="79"/>
        <v>cheat gfi PrimalItemSaddle_Dodo_Alpha_C 1 100 0</v>
      </c>
      <c r="H393" s="80" t="s">
        <v>2600</v>
      </c>
      <c r="I393" s="45" t="str">
        <f t="shared" si="80"/>
        <v>EngramEntry_Dodo_Alpha_C</v>
      </c>
      <c r="J393" s="78" t="str">
        <f t="shared" si="81"/>
        <v>OverrideNamedEngramEntries=(EngramEntry_Dodo_Alpha_C,EngramHidden=true)</v>
      </c>
      <c r="K393" s="1"/>
    </row>
    <row r="394">
      <c r="A394" s="7"/>
      <c r="B394" s="7"/>
      <c r="C394" s="75">
        <v>18.0</v>
      </c>
      <c r="D394" s="58" t="str">
        <f t="shared" si="78"/>
        <v>PrimalItemSaddle</v>
      </c>
      <c r="E394" s="59" t="s">
        <v>2601</v>
      </c>
      <c r="F394" s="59" t="s">
        <v>2602</v>
      </c>
      <c r="G394" s="76" t="str">
        <f t="shared" si="79"/>
        <v>cheat gfi PrimalItemSaddle_Dodo_Apex_C 1 100 0</v>
      </c>
      <c r="H394" s="79" t="s">
        <v>2603</v>
      </c>
      <c r="I394" s="46" t="str">
        <f t="shared" si="80"/>
        <v>EngramEntry_Dodo_Apex_C</v>
      </c>
      <c r="J394" s="76" t="str">
        <f t="shared" si="81"/>
        <v>OverrideNamedEngramEntries=(EngramEntry_Dodo_Apex_C,EngramHidden=true)</v>
      </c>
      <c r="K394" s="1"/>
    </row>
    <row r="395">
      <c r="A395" s="7"/>
      <c r="B395" s="7"/>
      <c r="C395" s="77">
        <v>18.0</v>
      </c>
      <c r="D395" s="61" t="str">
        <f t="shared" si="78"/>
        <v>PrimalItemSaddle</v>
      </c>
      <c r="E395" s="62" t="s">
        <v>2604</v>
      </c>
      <c r="F395" s="62" t="s">
        <v>2605</v>
      </c>
      <c r="G395" s="78" t="str">
        <f t="shared" si="79"/>
        <v>cheat gfi PrimalItemSaddle_Dodo_Nature_C 1 100 0</v>
      </c>
      <c r="H395" s="80" t="s">
        <v>2606</v>
      </c>
      <c r="I395" s="45" t="str">
        <f t="shared" si="80"/>
        <v>EngramEntry_Dodo_Nature_C</v>
      </c>
      <c r="J395" s="78" t="str">
        <f t="shared" si="81"/>
        <v>OverrideNamedEngramEntries=(EngramEntry_Dodo_Nature_C,EngramHidden=true)</v>
      </c>
      <c r="K395" s="1"/>
    </row>
    <row r="396">
      <c r="A396" s="7"/>
      <c r="B396" s="7"/>
      <c r="C396" s="75">
        <v>18.0</v>
      </c>
      <c r="D396" s="58" t="str">
        <f t="shared" si="78"/>
        <v>PrimalItemSaddle</v>
      </c>
      <c r="E396" s="59" t="s">
        <v>2607</v>
      </c>
      <c r="F396" s="59" t="s">
        <v>2608</v>
      </c>
      <c r="G396" s="76" t="str">
        <f t="shared" si="79"/>
        <v>cheat gfi PrimalItemSaddle_Dodo_Volcanic_C 1 100 0</v>
      </c>
      <c r="H396" s="79" t="s">
        <v>2609</v>
      </c>
      <c r="I396" s="46" t="str">
        <f t="shared" si="80"/>
        <v>EngramEntry_Dodo_Volcanic_C</v>
      </c>
      <c r="J396" s="76" t="str">
        <f t="shared" si="81"/>
        <v>OverrideNamedEngramEntries=(EngramEntry_Dodo_Volcanic_C,EngramHidden=true)</v>
      </c>
      <c r="K396" s="1"/>
    </row>
    <row r="397">
      <c r="A397" s="7"/>
      <c r="B397" s="7"/>
      <c r="C397" s="77">
        <v>18.0</v>
      </c>
      <c r="D397" s="61" t="str">
        <f t="shared" si="78"/>
        <v>PrimalItemArmor_DoedSaddle</v>
      </c>
      <c r="E397" s="62" t="s">
        <v>2610</v>
      </c>
      <c r="F397" s="62" t="s">
        <v>2611</v>
      </c>
      <c r="G397" s="78" t="str">
        <f t="shared" si="79"/>
        <v>cheat gfi PrimalItemArmor_DoedSaddle_Alpha_C 1 100 0</v>
      </c>
      <c r="H397" s="62" t="s">
        <v>2612</v>
      </c>
      <c r="I397" s="45" t="str">
        <f t="shared" si="80"/>
        <v>EngramEntry_DoedSaddle_Alpha_C</v>
      </c>
      <c r="J397" s="78" t="str">
        <f t="shared" si="81"/>
        <v>OverrideNamedEngramEntries=(EngramEntry_DoedSaddle_Alpha_C,EngramHidden=true)</v>
      </c>
      <c r="K397" s="1"/>
    </row>
    <row r="398">
      <c r="A398" s="7"/>
      <c r="B398" s="7"/>
      <c r="C398" s="75">
        <v>18.0</v>
      </c>
      <c r="D398" s="58" t="str">
        <f t="shared" si="78"/>
        <v>PrimalItemArmor_DoedSaddle</v>
      </c>
      <c r="E398" s="59" t="s">
        <v>2613</v>
      </c>
      <c r="F398" s="59" t="s">
        <v>2614</v>
      </c>
      <c r="G398" s="76" t="str">
        <f t="shared" si="79"/>
        <v>cheat gfi PrimalItemArmor_DoedSaddle_Apex_C 1 100 0</v>
      </c>
      <c r="H398" s="59" t="s">
        <v>2615</v>
      </c>
      <c r="I398" s="46" t="str">
        <f t="shared" si="80"/>
        <v>EngramEntry_DoedSaddle_Apex_C</v>
      </c>
      <c r="J398" s="76" t="str">
        <f t="shared" si="81"/>
        <v>OverrideNamedEngramEntries=(EngramEntry_DoedSaddle_Apex_C,EngramHidden=true)</v>
      </c>
      <c r="K398" s="1"/>
    </row>
    <row r="399">
      <c r="A399" s="7"/>
      <c r="B399" s="7"/>
      <c r="C399" s="77">
        <v>18.0</v>
      </c>
      <c r="D399" s="61" t="str">
        <f t="shared" si="78"/>
        <v>PrimalItemArmor_DoedSaddle</v>
      </c>
      <c r="E399" s="62" t="s">
        <v>2616</v>
      </c>
      <c r="F399" s="62" t="s">
        <v>2617</v>
      </c>
      <c r="G399" s="78" t="str">
        <f t="shared" si="79"/>
        <v>cheat gfi PrimalItemArmor_DoedSaddle_Earth_C 1 100 0</v>
      </c>
      <c r="H399" s="62" t="s">
        <v>2618</v>
      </c>
      <c r="I399" s="45" t="str">
        <f t="shared" si="80"/>
        <v>EngramEntry_DoedSaddle_Earth_C</v>
      </c>
      <c r="J399" s="78" t="str">
        <f t="shared" si="81"/>
        <v>OverrideNamedEngramEntries=(EngramEntry_DoedSaddle_Earth_C,EngramHidden=true)</v>
      </c>
      <c r="K399" s="1"/>
    </row>
    <row r="400">
      <c r="A400" s="7"/>
      <c r="B400" s="7"/>
      <c r="C400" s="75">
        <v>18.0</v>
      </c>
      <c r="D400" s="58" t="str">
        <f t="shared" si="78"/>
        <v>PrimalItemSaddle</v>
      </c>
      <c r="E400" s="59" t="s">
        <v>2619</v>
      </c>
      <c r="F400" s="59" t="s">
        <v>2620</v>
      </c>
      <c r="G400" s="76" t="str">
        <f t="shared" si="79"/>
        <v>cheat gfi PrimalItemSaddle_Doedic_Bionic_C 1 100 0</v>
      </c>
      <c r="H400" s="59" t="s">
        <v>2621</v>
      </c>
      <c r="I400" s="46" t="str">
        <f t="shared" si="80"/>
        <v>EngramEntry_Doedic_Bionic_C</v>
      </c>
      <c r="J400" s="76" t="str">
        <f t="shared" si="81"/>
        <v>OverrideNamedEngramEntries=(EngramEntry_Doedic_Bionic_C,EngramHidden=true)</v>
      </c>
      <c r="K400" s="1"/>
    </row>
    <row r="401">
      <c r="A401" s="7"/>
      <c r="B401" s="7"/>
      <c r="C401" s="77">
        <v>18.0</v>
      </c>
      <c r="D401" s="61" t="str">
        <f t="shared" si="78"/>
        <v>PrimalItemArmor_DolphinSaddle</v>
      </c>
      <c r="E401" s="62" t="s">
        <v>2622</v>
      </c>
      <c r="F401" s="62" t="s">
        <v>2623</v>
      </c>
      <c r="G401" s="78" t="str">
        <f t="shared" si="79"/>
        <v>cheat gfi PrimalItemArmor_DolphinSaddle_Atlantic_C 1 100 0</v>
      </c>
      <c r="H401" s="62" t="s">
        <v>2624</v>
      </c>
      <c r="I401" s="45" t="str">
        <f t="shared" si="80"/>
        <v>EngramEntry_DolphinSaddle_Atlantic_C</v>
      </c>
      <c r="J401" s="78" t="str">
        <f t="shared" si="81"/>
        <v>OverrideNamedEngramEntries=(EngramEntry_DolphinSaddle_Atlantic_C,EngramHidden=true)</v>
      </c>
      <c r="K401" s="1"/>
    </row>
    <row r="402">
      <c r="A402" s="7"/>
      <c r="B402" s="7"/>
      <c r="C402" s="75">
        <v>18.0</v>
      </c>
      <c r="D402" s="58" t="str">
        <f t="shared" si="78"/>
        <v>PrimalItemArmor_DolphinSaddle</v>
      </c>
      <c r="E402" s="59" t="s">
        <v>2625</v>
      </c>
      <c r="F402" s="59" t="s">
        <v>2626</v>
      </c>
      <c r="G402" s="76" t="str">
        <f t="shared" si="79"/>
        <v>cheat gfi PrimalItemArmor_DolphinSaddle_Pacific_C 1 100 0</v>
      </c>
      <c r="H402" s="59" t="s">
        <v>2627</v>
      </c>
      <c r="I402" s="46" t="str">
        <f t="shared" si="80"/>
        <v>EngramEntry_DolphinSaddle_Pacific_C</v>
      </c>
      <c r="J402" s="76" t="str">
        <f t="shared" si="81"/>
        <v>OverrideNamedEngramEntries=(EngramEntry_DolphinSaddle_Pacific_C,EngramHidden=true)</v>
      </c>
      <c r="K402" s="1"/>
    </row>
    <row r="403">
      <c r="A403" s="7"/>
      <c r="B403" s="7"/>
      <c r="C403" s="77">
        <v>18.0</v>
      </c>
      <c r="D403" s="61" t="str">
        <f t="shared" si="78"/>
        <v>PrimalItemSaddle</v>
      </c>
      <c r="E403" s="62" t="s">
        <v>2628</v>
      </c>
      <c r="F403" s="62" t="s">
        <v>2629</v>
      </c>
      <c r="G403" s="78" t="str">
        <f t="shared" si="79"/>
        <v>cheat gfi PrimalItemSaddle_Dragonfly_Alpha_C 1 100 0</v>
      </c>
      <c r="H403" s="62" t="s">
        <v>2630</v>
      </c>
      <c r="I403" s="45" t="str">
        <f t="shared" si="80"/>
        <v>EngramEntry_Dragonfly_Alpha_C</v>
      </c>
      <c r="J403" s="78" t="str">
        <f t="shared" si="81"/>
        <v>OverrideNamedEngramEntries=(EngramEntry_Dragonfly_Alpha_C,EngramHidden=true)</v>
      </c>
      <c r="K403" s="1"/>
    </row>
    <row r="404">
      <c r="A404" s="7"/>
      <c r="B404" s="7"/>
      <c r="C404" s="75">
        <v>18.0</v>
      </c>
      <c r="D404" s="58" t="str">
        <f t="shared" si="78"/>
        <v>PrimalItemSaddle</v>
      </c>
      <c r="E404" s="59" t="s">
        <v>2631</v>
      </c>
      <c r="F404" s="59" t="s">
        <v>2632</v>
      </c>
      <c r="G404" s="76" t="str">
        <f t="shared" si="79"/>
        <v>cheat gfi PrimalItemSaddle_Dragonfly_Apex_C 1 100 0</v>
      </c>
      <c r="H404" s="59" t="s">
        <v>2633</v>
      </c>
      <c r="I404" s="46" t="str">
        <f t="shared" si="80"/>
        <v>EngramEntry_Dragonfly_Apex_C</v>
      </c>
      <c r="J404" s="76" t="str">
        <f t="shared" si="81"/>
        <v>OverrideNamedEngramEntries=(EngramEntry_Dragonfly_Apex_C,EngramHidden=true)</v>
      </c>
      <c r="K404" s="1"/>
    </row>
    <row r="405">
      <c r="A405" s="7"/>
      <c r="B405" s="7"/>
      <c r="C405" s="77">
        <v>18.0</v>
      </c>
      <c r="D405" s="61" t="str">
        <f t="shared" si="78"/>
        <v>PrimalItemSaddle</v>
      </c>
      <c r="E405" s="62" t="s">
        <v>2634</v>
      </c>
      <c r="F405" s="62" t="s">
        <v>2635</v>
      </c>
      <c r="G405" s="78" t="str">
        <f t="shared" si="79"/>
        <v>cheat gfi PrimalItemSaddle_Dungbeetle_Alpha_C 1 100 0</v>
      </c>
      <c r="H405" s="62" t="s">
        <v>2636</v>
      </c>
      <c r="I405" s="45" t="str">
        <f t="shared" si="80"/>
        <v>EngramEntry_Dungbeetle_Alpha_C</v>
      </c>
      <c r="J405" s="78" t="str">
        <f t="shared" si="81"/>
        <v>OverrideNamedEngramEntries=(EngramEntry_Dungbeetle_Alpha_C,EngramHidden=true)</v>
      </c>
      <c r="K405" s="1"/>
    </row>
    <row r="406">
      <c r="A406" s="7"/>
      <c r="B406" s="7"/>
      <c r="C406" s="75">
        <v>18.0</v>
      </c>
      <c r="D406" s="58" t="str">
        <f t="shared" si="78"/>
        <v>PrimalItemSaddle</v>
      </c>
      <c r="E406" s="59" t="s">
        <v>2637</v>
      </c>
      <c r="F406" s="59" t="s">
        <v>2638</v>
      </c>
      <c r="G406" s="76" t="str">
        <f t="shared" si="79"/>
        <v>cheat gfi PrimalItemSaddle_Dungbeetle_Apex_C 1 100 0</v>
      </c>
      <c r="H406" s="59" t="s">
        <v>2639</v>
      </c>
      <c r="I406" s="46" t="str">
        <f t="shared" si="80"/>
        <v>EngramEntry_Dungbeetle_Apex_C</v>
      </c>
      <c r="J406" s="76" t="str">
        <f t="shared" si="81"/>
        <v>OverrideNamedEngramEntries=(EngramEntry_Dungbeetle_Apex_C,EngramHidden=true)</v>
      </c>
      <c r="K406" s="1"/>
    </row>
    <row r="407">
      <c r="A407" s="7"/>
      <c r="B407" s="7"/>
      <c r="C407" s="77">
        <v>18.0</v>
      </c>
      <c r="D407" s="61" t="str">
        <f t="shared" si="78"/>
        <v>PrimalItemArmor_DunkleosteusSaddle</v>
      </c>
      <c r="E407" s="62" t="s">
        <v>2640</v>
      </c>
      <c r="F407" s="62" t="s">
        <v>2641</v>
      </c>
      <c r="G407" s="78" t="str">
        <f t="shared" si="79"/>
        <v>cheat gfi PrimalItemArmor_DunkleosteusSaddle_Atlantic_C 1 100 0</v>
      </c>
      <c r="H407" s="62" t="s">
        <v>2642</v>
      </c>
      <c r="I407" s="45" t="str">
        <f t="shared" si="80"/>
        <v>EngramEntry_DunkleosteusSaddle_Atlantic_C</v>
      </c>
      <c r="J407" s="78" t="str">
        <f t="shared" si="81"/>
        <v>OverrideNamedEngramEntries=(EngramEntry_DunkleosteusSaddle_Atlantic_C,EngramHidden=true)</v>
      </c>
      <c r="K407" s="1"/>
    </row>
    <row r="408">
      <c r="A408" s="7"/>
      <c r="B408" s="7"/>
      <c r="C408" s="75">
        <v>18.0</v>
      </c>
      <c r="D408" s="58" t="str">
        <f t="shared" si="78"/>
        <v>PrimalItemArmor_DunkleosteusSaddle</v>
      </c>
      <c r="E408" s="59" t="s">
        <v>2643</v>
      </c>
      <c r="F408" s="59" t="s">
        <v>2644</v>
      </c>
      <c r="G408" s="76" t="str">
        <f t="shared" si="79"/>
        <v>cheat gfi PrimalItemArmor_DunkleosteusSaddle_Pacific_C 1 100 0</v>
      </c>
      <c r="H408" s="59" t="s">
        <v>2645</v>
      </c>
      <c r="I408" s="46" t="str">
        <f t="shared" si="80"/>
        <v>EngramEntry_DunkleosteusSaddle_Pacific_C</v>
      </c>
      <c r="J408" s="76" t="str">
        <f t="shared" si="81"/>
        <v>OverrideNamedEngramEntries=(EngramEntry_DunkleosteusSaddle_Pacific_C,EngramHidden=true)</v>
      </c>
      <c r="K408" s="1"/>
    </row>
    <row r="409">
      <c r="A409" s="7"/>
      <c r="B409" s="7"/>
      <c r="C409" s="77">
        <v>18.0</v>
      </c>
      <c r="D409" s="61" t="str">
        <f t="shared" si="78"/>
        <v>PrimalItemSaddle</v>
      </c>
      <c r="E409" s="62" t="s">
        <v>2646</v>
      </c>
      <c r="F409" s="62" t="s">
        <v>2647</v>
      </c>
      <c r="G409" s="78" t="str">
        <f t="shared" si="79"/>
        <v>cheat gfi PrimalItemSaddle_Eel_Atlantic_C 1 100 0</v>
      </c>
      <c r="H409" s="62" t="s">
        <v>2648</v>
      </c>
      <c r="I409" s="45" t="str">
        <f t="shared" si="80"/>
        <v>EngramEntry_Eel_Atlantic_C</v>
      </c>
      <c r="J409" s="78" t="str">
        <f t="shared" si="81"/>
        <v>OverrideNamedEngramEntries=(EngramEntry_Eel_Atlantic_C,EngramHidden=true)</v>
      </c>
      <c r="K409" s="1"/>
    </row>
    <row r="410">
      <c r="A410" s="7"/>
      <c r="B410" s="7"/>
      <c r="C410" s="75">
        <v>18.0</v>
      </c>
      <c r="D410" s="58" t="str">
        <f t="shared" si="78"/>
        <v>PrimalItemSaddle</v>
      </c>
      <c r="E410" s="59" t="s">
        <v>2649</v>
      </c>
      <c r="F410" s="59" t="s">
        <v>2650</v>
      </c>
      <c r="G410" s="76" t="str">
        <f t="shared" si="79"/>
        <v>cheat gfi PrimalItemSaddle_Eel_Pacific_C 1 100 0</v>
      </c>
      <c r="H410" s="59" t="s">
        <v>2651</v>
      </c>
      <c r="I410" s="46" t="str">
        <f t="shared" si="80"/>
        <v>EngramEntry_Eel_Pacific_C</v>
      </c>
      <c r="J410" s="76" t="str">
        <f t="shared" si="81"/>
        <v>OverrideNamedEngramEntries=(EngramEntry_Eel_Pacific_C,EngramHidden=true)</v>
      </c>
      <c r="K410" s="1"/>
    </row>
    <row r="411">
      <c r="A411" s="7"/>
      <c r="B411" s="7"/>
      <c r="C411" s="77">
        <v>18.0</v>
      </c>
      <c r="D411" s="61" t="str">
        <f t="shared" si="78"/>
        <v>PrimalItemSaddle</v>
      </c>
      <c r="E411" s="62" t="s">
        <v>2652</v>
      </c>
      <c r="F411" s="62" t="s">
        <v>2653</v>
      </c>
      <c r="G411" s="78" t="str">
        <f t="shared" si="79"/>
        <v>cheat gfi PrimalItemSaddle_Enforcer_Bionic_C 1 100 0</v>
      </c>
      <c r="H411" s="62" t="s">
        <v>2654</v>
      </c>
      <c r="I411" s="45" t="str">
        <f t="shared" si="80"/>
        <v>EngramEntry_Enforcer_Bionic_C</v>
      </c>
      <c r="J411" s="78" t="str">
        <f t="shared" si="81"/>
        <v>OverrideNamedEngramEntries=(EngramEntry_Enforcer_Bionic_C,EngramHidden=true)</v>
      </c>
      <c r="K411" s="1"/>
    </row>
    <row r="412">
      <c r="A412" s="7"/>
      <c r="B412" s="7"/>
      <c r="C412" s="75">
        <v>18.0</v>
      </c>
      <c r="D412" s="58" t="str">
        <f t="shared" si="78"/>
        <v>PrimalItemArmor_EquusSaddle</v>
      </c>
      <c r="E412" s="59" t="s">
        <v>2655</v>
      </c>
      <c r="F412" s="59" t="s">
        <v>2656</v>
      </c>
      <c r="G412" s="76" t="str">
        <f t="shared" si="79"/>
        <v>cheat gfi PrimalItemArmor_EquusSaddle_Alpha_C 1 100 0</v>
      </c>
      <c r="H412" s="59" t="s">
        <v>2657</v>
      </c>
      <c r="I412" s="46" t="str">
        <f t="shared" si="80"/>
        <v>EngramEntry_EquusSaddle_Alpha_C</v>
      </c>
      <c r="J412" s="76" t="str">
        <f t="shared" si="81"/>
        <v>OverrideNamedEngramEntries=(EngramEntry_EquusSaddle_Alpha_C,EngramHidden=true)</v>
      </c>
      <c r="K412" s="1"/>
    </row>
    <row r="413">
      <c r="A413" s="7"/>
      <c r="B413" s="7"/>
      <c r="C413" s="77">
        <v>18.0</v>
      </c>
      <c r="D413" s="61" t="str">
        <f t="shared" si="78"/>
        <v>PrimalItemArmor_EquusSaddle</v>
      </c>
      <c r="E413" s="62" t="s">
        <v>2658</v>
      </c>
      <c r="F413" s="62" t="s">
        <v>2659</v>
      </c>
      <c r="G413" s="78" t="str">
        <f t="shared" si="79"/>
        <v>cheat gfi PrimalItemArmor_EquusSaddle_Apex_C 1 100 0</v>
      </c>
      <c r="H413" s="62" t="s">
        <v>2660</v>
      </c>
      <c r="I413" s="45" t="str">
        <f t="shared" si="80"/>
        <v>EngramEntry_EquusSaddle_Apex_C</v>
      </c>
      <c r="J413" s="78" t="str">
        <f t="shared" si="81"/>
        <v>OverrideNamedEngramEntries=(EngramEntry_EquusSaddle_Apex_C,EngramHidden=true)</v>
      </c>
      <c r="K413" s="1"/>
    </row>
    <row r="414">
      <c r="A414" s="7"/>
      <c r="B414" s="7"/>
      <c r="C414" s="75">
        <v>18.0</v>
      </c>
      <c r="D414" s="58" t="str">
        <f t="shared" si="78"/>
        <v>PrimalItemSaddle</v>
      </c>
      <c r="E414" s="59" t="s">
        <v>2661</v>
      </c>
      <c r="F414" s="59" t="s">
        <v>2662</v>
      </c>
      <c r="G414" s="76" t="str">
        <f t="shared" si="79"/>
        <v>cheat gfi PrimalItemSaddle_Eury_Atlantic_C 1 100 0</v>
      </c>
      <c r="H414" s="59" t="s">
        <v>2663</v>
      </c>
      <c r="I414" s="46" t="str">
        <f t="shared" si="80"/>
        <v>EngramEntry_Eury_Atlantic_C</v>
      </c>
      <c r="J414" s="76" t="str">
        <f t="shared" si="81"/>
        <v>OverrideNamedEngramEntries=(EngramEntry_Eury_Atlantic_C,EngramHidden=true)</v>
      </c>
      <c r="K414" s="1"/>
    </row>
    <row r="415">
      <c r="A415" s="7"/>
      <c r="B415" s="7"/>
      <c r="C415" s="77">
        <v>18.0</v>
      </c>
      <c r="D415" s="61" t="str">
        <f t="shared" si="78"/>
        <v>PrimalItemSaddle</v>
      </c>
      <c r="E415" s="62" t="s">
        <v>2664</v>
      </c>
      <c r="F415" s="62" t="s">
        <v>2665</v>
      </c>
      <c r="G415" s="78" t="str">
        <f t="shared" si="79"/>
        <v>cheat gfi PrimalItemSaddle_Eury_Pacific_C 1 100 0</v>
      </c>
      <c r="H415" s="62" t="s">
        <v>2666</v>
      </c>
      <c r="I415" s="45" t="str">
        <f t="shared" si="80"/>
        <v>EngramEntry_Eury_Pacific_C</v>
      </c>
      <c r="J415" s="78" t="str">
        <f t="shared" si="81"/>
        <v>OverrideNamedEngramEntries=(EngramEntry_Eury_Pacific_C,EngramHidden=true)</v>
      </c>
      <c r="K415" s="1"/>
    </row>
    <row r="416">
      <c r="A416" s="7"/>
      <c r="B416" s="7"/>
      <c r="C416" s="75">
        <v>18.0</v>
      </c>
      <c r="D416" s="58" t="str">
        <f t="shared" si="78"/>
        <v>PrimalItemSaddle</v>
      </c>
      <c r="E416" s="59" t="s">
        <v>2667</v>
      </c>
      <c r="F416" s="59" t="s">
        <v>2668</v>
      </c>
      <c r="G416" s="76" t="str">
        <f t="shared" si="79"/>
        <v>cheat gfi PrimalItemSaddle_FeatherLight_Celestial_C 1 100 0</v>
      </c>
      <c r="H416" s="59" t="s">
        <v>2669</v>
      </c>
      <c r="I416" s="46" t="str">
        <f t="shared" si="80"/>
        <v>EngramEntry_FeatherLight_Celestial_C</v>
      </c>
      <c r="J416" s="76" t="str">
        <f t="shared" si="81"/>
        <v>OverrideNamedEngramEntries=(EngramEntry_FeatherLight_Celestial_C,EngramHidden=true)</v>
      </c>
      <c r="K416" s="1"/>
    </row>
    <row r="417">
      <c r="A417" s="7"/>
      <c r="B417" s="7"/>
      <c r="C417" s="77">
        <v>18.0</v>
      </c>
      <c r="D417" s="61" t="str">
        <f t="shared" ref="D417:D418" si="82">Left(F417,find("Armor",F417)+4)</f>
        <v>PrimalItemArmor</v>
      </c>
      <c r="E417" s="62" t="s">
        <v>2670</v>
      </c>
      <c r="F417" s="62" t="s">
        <v>2671</v>
      </c>
      <c r="G417" s="78" t="str">
        <f t="shared" si="79"/>
        <v>cheat gfi PrimalItemArmor_Gallimimus_Alpha_C 1 100 0</v>
      </c>
      <c r="H417" s="62" t="s">
        <v>2672</v>
      </c>
      <c r="I417" s="45" t="str">
        <f t="shared" si="80"/>
        <v>EngramEntry_Gallimimus_Alpha_C</v>
      </c>
      <c r="J417" s="78" t="str">
        <f t="shared" si="81"/>
        <v>OverrideNamedEngramEntries=(EngramEntry_Gallimimus_Alpha_C,EngramHidden=true)</v>
      </c>
      <c r="K417" s="1"/>
    </row>
    <row r="418">
      <c r="A418" s="7"/>
      <c r="B418" s="7"/>
      <c r="C418" s="75">
        <v>18.0</v>
      </c>
      <c r="D418" s="58" t="str">
        <f t="shared" si="82"/>
        <v>PrimalItemArmor</v>
      </c>
      <c r="E418" s="59" t="s">
        <v>2673</v>
      </c>
      <c r="F418" s="59" t="s">
        <v>2674</v>
      </c>
      <c r="G418" s="76" t="str">
        <f t="shared" si="79"/>
        <v>cheat gfi PrimalItemArmor_Gallimimus_Apex_C 1 100 0</v>
      </c>
      <c r="H418" s="59" t="s">
        <v>2675</v>
      </c>
      <c r="I418" s="46" t="str">
        <f t="shared" si="80"/>
        <v>EngramEntry_Gallimimus_Apex_C</v>
      </c>
      <c r="J418" s="76" t="str">
        <f t="shared" si="81"/>
        <v>OverrideNamedEngramEntries=(EngramEntry_Gallimimus_Apex_C,EngramHidden=true)</v>
      </c>
      <c r="K418" s="1"/>
    </row>
    <row r="419">
      <c r="A419" s="7"/>
      <c r="B419" s="7"/>
      <c r="C419" s="77">
        <v>18.0</v>
      </c>
      <c r="D419" s="61" t="str">
        <f t="shared" ref="D419:D422" si="83">Left(F419,find("Saddle",F419)+5)</f>
        <v>PrimalItemArmor_GigantSaddle</v>
      </c>
      <c r="E419" s="62" t="s">
        <v>2676</v>
      </c>
      <c r="F419" s="62" t="s">
        <v>2677</v>
      </c>
      <c r="G419" s="78" t="str">
        <f t="shared" si="79"/>
        <v>cheat gfi PrimalItemArmor_GigantSaddle_Alpha_C 1 100 0</v>
      </c>
      <c r="H419" s="62" t="s">
        <v>2678</v>
      </c>
      <c r="I419" s="45" t="str">
        <f t="shared" si="80"/>
        <v>EngramEntry_GigantSaddle_Alpha_C</v>
      </c>
      <c r="J419" s="78" t="str">
        <f t="shared" si="81"/>
        <v>OverrideNamedEngramEntries=(EngramEntry_GigantSaddle_Alpha_C,EngramHidden=true)</v>
      </c>
      <c r="K419" s="1"/>
    </row>
    <row r="420">
      <c r="A420" s="7"/>
      <c r="B420" s="7"/>
      <c r="C420" s="75">
        <v>18.0</v>
      </c>
      <c r="D420" s="58" t="str">
        <f t="shared" si="83"/>
        <v>PrimalItemArmor_GigantSaddle</v>
      </c>
      <c r="E420" s="59" t="s">
        <v>2679</v>
      </c>
      <c r="F420" s="59" t="s">
        <v>2680</v>
      </c>
      <c r="G420" s="76" t="str">
        <f t="shared" si="79"/>
        <v>cheat gfi PrimalItemArmor_GigantSaddle_Apex_C 1 100 0</v>
      </c>
      <c r="H420" s="59" t="s">
        <v>2681</v>
      </c>
      <c r="I420" s="46" t="str">
        <f t="shared" si="80"/>
        <v>EngramEntry_GigantSaddle_Apex_C</v>
      </c>
      <c r="J420" s="76" t="str">
        <f t="shared" si="81"/>
        <v>OverrideNamedEngramEntries=(EngramEntry_GigantSaddle_Apex_C,EngramHidden=true)</v>
      </c>
      <c r="K420" s="1"/>
    </row>
    <row r="421">
      <c r="A421" s="7"/>
      <c r="B421" s="7"/>
      <c r="C421" s="77">
        <v>18.0</v>
      </c>
      <c r="D421" s="61" t="str">
        <f t="shared" si="83"/>
        <v>PrimalItemArmor_GigantSaddle</v>
      </c>
      <c r="E421" s="62" t="s">
        <v>2682</v>
      </c>
      <c r="F421" s="62" t="s">
        <v>2683</v>
      </c>
      <c r="G421" s="78" t="str">
        <f t="shared" si="79"/>
        <v>cheat gfi PrimalItemArmor_GigantSaddle_Storm_C 1 100 0</v>
      </c>
      <c r="H421" s="62" t="s">
        <v>2684</v>
      </c>
      <c r="I421" s="45" t="str">
        <f t="shared" si="80"/>
        <v>EngramEntry_GigantSaddle_Storm_C</v>
      </c>
      <c r="J421" s="78" t="str">
        <f t="shared" si="81"/>
        <v>OverrideNamedEngramEntries=(EngramEntry_GigantSaddle_Storm_C,EngramHidden=true)</v>
      </c>
      <c r="K421" s="1"/>
    </row>
    <row r="422">
      <c r="A422" s="7"/>
      <c r="B422" s="7"/>
      <c r="C422" s="75">
        <v>18.0</v>
      </c>
      <c r="D422" s="58" t="str">
        <f t="shared" si="83"/>
        <v>PrimalItemArmor_GigantoraptorSaddle</v>
      </c>
      <c r="E422" s="59" t="s">
        <v>2685</v>
      </c>
      <c r="F422" s="59" t="s">
        <v>2686</v>
      </c>
      <c r="G422" s="76" t="str">
        <f t="shared" si="79"/>
        <v>cheat gfi PrimalItemArmor_GigantoraptorSaddle_Celestial_C 1 100 0</v>
      </c>
      <c r="H422" s="59" t="s">
        <v>2687</v>
      </c>
      <c r="I422" s="46" t="str">
        <f t="shared" si="80"/>
        <v>EngramEntry_GigantoraptorSaddle_Celestial_C</v>
      </c>
      <c r="J422" s="76" t="str">
        <f t="shared" si="81"/>
        <v>OverrideNamedEngramEntries=(EngramEntry_GigantoraptorSaddle_Celestial_C,EngramHidden=true)</v>
      </c>
      <c r="K422" s="1"/>
    </row>
    <row r="423">
      <c r="A423" s="7"/>
      <c r="B423" s="7"/>
      <c r="C423" s="77"/>
      <c r="D423" s="61"/>
      <c r="E423" s="62" t="s">
        <v>2688</v>
      </c>
      <c r="F423" s="62" t="s">
        <v>2689</v>
      </c>
      <c r="G423" s="78" t="str">
        <f t="shared" si="79"/>
        <v>cheat gfi PrimalItemArmor_GigantoraptorSaddle_Plasma_C 1 100 0</v>
      </c>
      <c r="H423" s="62" t="s">
        <v>2690</v>
      </c>
      <c r="I423" s="45" t="str">
        <f t="shared" si="80"/>
        <v>EngramEntry_GigantoraptorSaddle_Plasma_C</v>
      </c>
      <c r="J423" s="78" t="str">
        <f t="shared" si="81"/>
        <v>OverrideNamedEngramEntries=(EngramEntry_GigantoraptorSaddle_Plasma_C,EngramHidden=true)</v>
      </c>
      <c r="K423" s="1"/>
    </row>
    <row r="424">
      <c r="A424" s="7"/>
      <c r="B424" s="7"/>
      <c r="C424" s="75">
        <v>18.0</v>
      </c>
      <c r="D424" s="58" t="str">
        <f t="shared" ref="D424:D447" si="84">Left(F424,find("Saddle",F424)+5)</f>
        <v>PrimalItemSaddle</v>
      </c>
      <c r="E424" s="59" t="s">
        <v>2691</v>
      </c>
      <c r="F424" s="59" t="s">
        <v>2692</v>
      </c>
      <c r="G424" s="76" t="str">
        <f t="shared" si="79"/>
        <v>cheat gfi PrimalItemSaddle_Golem_Bionic_C 1 100 0</v>
      </c>
      <c r="H424" s="59" t="s">
        <v>2693</v>
      </c>
      <c r="I424" s="46" t="str">
        <f t="shared" si="80"/>
        <v>EngramEntry_Golem_Bionic_C</v>
      </c>
      <c r="J424" s="76" t="str">
        <f t="shared" si="81"/>
        <v>OverrideNamedEngramEntries=(EngramEntry_Golem_Bionic_C,EngramHidden=true)</v>
      </c>
      <c r="K424" s="1"/>
    </row>
    <row r="425">
      <c r="A425" s="7"/>
      <c r="B425" s="7"/>
      <c r="C425" s="77">
        <v>18.0</v>
      </c>
      <c r="D425" s="61" t="str">
        <f t="shared" si="84"/>
        <v>PrimalItemSaddle</v>
      </c>
      <c r="E425" s="62" t="s">
        <v>2694</v>
      </c>
      <c r="F425" s="62" t="s">
        <v>2695</v>
      </c>
      <c r="G425" s="78" t="str">
        <f t="shared" si="79"/>
        <v>cheat gfi PrimalItemSaddle_Gorilla_Frost_C 1 100 0</v>
      </c>
      <c r="H425" s="62" t="s">
        <v>2696</v>
      </c>
      <c r="I425" s="45" t="str">
        <f t="shared" si="80"/>
        <v>EngramEntry_Gorilla_Frost_C</v>
      </c>
      <c r="J425" s="78" t="str">
        <f t="shared" si="81"/>
        <v>OverrideNamedEngramEntries=(EngramEntry_Gorilla_Frost_C,EngramHidden=true)</v>
      </c>
      <c r="K425" s="1"/>
    </row>
    <row r="426">
      <c r="A426" s="7"/>
      <c r="B426" s="7"/>
      <c r="C426" s="75">
        <v>18.0</v>
      </c>
      <c r="D426" s="58" t="str">
        <f t="shared" si="84"/>
        <v>PrimalItemSaddle</v>
      </c>
      <c r="E426" s="59" t="s">
        <v>2697</v>
      </c>
      <c r="F426" s="59" t="s">
        <v>2698</v>
      </c>
      <c r="G426" s="76" t="str">
        <f t="shared" si="79"/>
        <v>cheat gfi PrimalItemSaddle_Griffin_Demonic_C 1 100 0</v>
      </c>
      <c r="H426" s="59" t="s">
        <v>2699</v>
      </c>
      <c r="I426" s="46" t="str">
        <f t="shared" si="80"/>
        <v>EngramEntry_Griffin_Demonic_C</v>
      </c>
      <c r="J426" s="76" t="str">
        <f t="shared" si="81"/>
        <v>OverrideNamedEngramEntries=(EngramEntry_Griffin_Demonic_C,EngramHidden=true)</v>
      </c>
      <c r="K426" s="1"/>
    </row>
    <row r="427">
      <c r="A427" s="7"/>
      <c r="B427" s="7"/>
      <c r="C427" s="77">
        <v>18.0</v>
      </c>
      <c r="D427" s="61" t="str">
        <f t="shared" si="84"/>
        <v>PrimalItemSaddle</v>
      </c>
      <c r="E427" s="62" t="s">
        <v>2700</v>
      </c>
      <c r="F427" s="62" t="s">
        <v>2701</v>
      </c>
      <c r="G427" s="78" t="str">
        <f t="shared" si="79"/>
        <v>cheat gfi PrimalItemSaddle_Griffin_Storm_C 1 100 0</v>
      </c>
      <c r="H427" s="62" t="s">
        <v>2702</v>
      </c>
      <c r="I427" s="45" t="str">
        <f t="shared" si="80"/>
        <v>EngramEntry_Griffin_Storm_C</v>
      </c>
      <c r="J427" s="78" t="str">
        <f t="shared" si="81"/>
        <v>OverrideNamedEngramEntries=(EngramEntry_Griffin_Storm_C,EngramHidden=true)</v>
      </c>
      <c r="K427" s="1"/>
    </row>
    <row r="428">
      <c r="A428" s="7"/>
      <c r="B428" s="7"/>
      <c r="C428" s="75">
        <v>18.0</v>
      </c>
      <c r="D428" s="58" t="str">
        <f t="shared" si="84"/>
        <v>PrimalItemArmor_HammerheadSaddle</v>
      </c>
      <c r="E428" s="59" t="s">
        <v>2703</v>
      </c>
      <c r="F428" s="59" t="s">
        <v>2704</v>
      </c>
      <c r="G428" s="76" t="str">
        <f t="shared" si="79"/>
        <v>cheat gfi PrimalItemArmor_HammerheadSaddle_Atlantic_C 1 100 0</v>
      </c>
      <c r="H428" s="59" t="s">
        <v>2705</v>
      </c>
      <c r="I428" s="46" t="str">
        <f t="shared" si="80"/>
        <v>EngramEntry_HammerheadSaddle_Atlantic_C</v>
      </c>
      <c r="J428" s="76" t="str">
        <f t="shared" si="81"/>
        <v>OverrideNamedEngramEntries=(EngramEntry_HammerheadSaddle_Atlantic_C,EngramHidden=true)</v>
      </c>
      <c r="K428" s="1"/>
    </row>
    <row r="429">
      <c r="A429" s="7"/>
      <c r="B429" s="7"/>
      <c r="C429" s="77">
        <v>18.0</v>
      </c>
      <c r="D429" s="61" t="str">
        <f t="shared" si="84"/>
        <v>PrimalItemArmor_HammerheadSaddle</v>
      </c>
      <c r="E429" s="62" t="s">
        <v>2706</v>
      </c>
      <c r="F429" s="62" t="s">
        <v>2707</v>
      </c>
      <c r="G429" s="78" t="str">
        <f t="shared" si="79"/>
        <v>cheat gfi PrimalItemArmor_HammerheadSaddle_Pacific_C 1 100 0</v>
      </c>
      <c r="H429" s="62" t="s">
        <v>2708</v>
      </c>
      <c r="I429" s="45" t="str">
        <f t="shared" si="80"/>
        <v>EngramEntry_HammerheadSaddle_Pacific_C</v>
      </c>
      <c r="J429" s="78" t="str">
        <f t="shared" si="81"/>
        <v>OverrideNamedEngramEntries=(EngramEntry_HammerheadSaddle_Pacific_C,EngramHidden=true)</v>
      </c>
      <c r="K429" s="1"/>
    </row>
    <row r="430">
      <c r="A430" s="7"/>
      <c r="B430" s="7"/>
      <c r="C430" s="75">
        <v>18.0</v>
      </c>
      <c r="D430" s="58" t="str">
        <f t="shared" si="84"/>
        <v>PrimalItemSaddle</v>
      </c>
      <c r="E430" s="59" t="s">
        <v>2709</v>
      </c>
      <c r="F430" s="59" t="s">
        <v>2710</v>
      </c>
      <c r="G430" s="76" t="str">
        <f t="shared" si="79"/>
        <v>cheat gfi PrimalItemSaddle_Hesperornis_Alpha_C 1 100 0</v>
      </c>
      <c r="H430" s="59" t="s">
        <v>2711</v>
      </c>
      <c r="I430" s="46" t="str">
        <f t="shared" si="80"/>
        <v>EngramEntry_Hesperornis_Alpha_C</v>
      </c>
      <c r="J430" s="76" t="str">
        <f t="shared" si="81"/>
        <v>OverrideNamedEngramEntries=(EngramEntry_Hesperornis_Alpha_C,EngramHidden=true)</v>
      </c>
      <c r="K430" s="1"/>
    </row>
    <row r="431">
      <c r="A431" s="7"/>
      <c r="B431" s="7"/>
      <c r="C431" s="77">
        <v>18.0</v>
      </c>
      <c r="D431" s="61" t="str">
        <f t="shared" si="84"/>
        <v>PrimalItemSaddle</v>
      </c>
      <c r="E431" s="62" t="s">
        <v>2712</v>
      </c>
      <c r="F431" s="62" t="s">
        <v>2713</v>
      </c>
      <c r="G431" s="78" t="str">
        <f t="shared" si="79"/>
        <v>cheat gfi PrimalItemSaddle_Hesperornis_Apex_C 1 100 0</v>
      </c>
      <c r="H431" s="62" t="s">
        <v>2714</v>
      </c>
      <c r="I431" s="45" t="str">
        <f t="shared" si="80"/>
        <v>EngramEntry_Hesperornis_Apex_C</v>
      </c>
      <c r="J431" s="78" t="str">
        <f t="shared" si="81"/>
        <v>OverrideNamedEngramEntries=(EngramEntry_Hesperornis_Apex_C,EngramHidden=true)</v>
      </c>
      <c r="K431" s="1"/>
    </row>
    <row r="432">
      <c r="A432" s="7"/>
      <c r="B432" s="7"/>
      <c r="C432" s="75">
        <v>18.0</v>
      </c>
      <c r="D432" s="58" t="str">
        <f t="shared" si="84"/>
        <v>PrimalItemSaddle</v>
      </c>
      <c r="E432" s="59" t="s">
        <v>2715</v>
      </c>
      <c r="F432" s="59" t="s">
        <v>2716</v>
      </c>
      <c r="G432" s="76" t="str">
        <f t="shared" si="79"/>
        <v>cheat gfi PrimalItemSaddle_Hyerna_Alpha_C 1 100 0</v>
      </c>
      <c r="H432" s="59" t="s">
        <v>2717</v>
      </c>
      <c r="I432" s="46" t="str">
        <f t="shared" si="80"/>
        <v>EngramEntry_Hyerna_Alpha_C</v>
      </c>
      <c r="J432" s="76" t="str">
        <f t="shared" si="81"/>
        <v>OverrideNamedEngramEntries=(EngramEntry_Hyerna_Alpha_C,EngramHidden=true)</v>
      </c>
      <c r="K432" s="1"/>
    </row>
    <row r="433">
      <c r="A433" s="7"/>
      <c r="B433" s="7"/>
      <c r="C433" s="77">
        <v>18.0</v>
      </c>
      <c r="D433" s="61" t="str">
        <f t="shared" si="84"/>
        <v>PrimalItemSaddle</v>
      </c>
      <c r="E433" s="62" t="s">
        <v>2718</v>
      </c>
      <c r="F433" s="62" t="s">
        <v>2719</v>
      </c>
      <c r="G433" s="78" t="str">
        <f t="shared" si="79"/>
        <v>cheat gfi PrimalItemSaddle_Hyerna_Apex_C 1 100 0</v>
      </c>
      <c r="H433" s="62" t="s">
        <v>2720</v>
      </c>
      <c r="I433" s="45" t="str">
        <f t="shared" si="80"/>
        <v>EngramEntry_Hyerna_Apex_C</v>
      </c>
      <c r="J433" s="78" t="str">
        <f t="shared" si="81"/>
        <v>OverrideNamedEngramEntries=(EngramEntry_Hyerna_Apex_C,EngramHidden=true)</v>
      </c>
      <c r="K433" s="1"/>
    </row>
    <row r="434">
      <c r="A434" s="7"/>
      <c r="B434" s="7"/>
      <c r="C434" s="75">
        <v>18.0</v>
      </c>
      <c r="D434" s="58" t="str">
        <f t="shared" si="84"/>
        <v>PrimalItemArmor_IguanodonSaddle</v>
      </c>
      <c r="E434" s="59" t="s">
        <v>2721</v>
      </c>
      <c r="F434" s="59" t="s">
        <v>2722</v>
      </c>
      <c r="G434" s="76" t="str">
        <f t="shared" si="79"/>
        <v>cheat gfi PrimalItemArmor_IguanodonSaddle_Alpha_C 1 100 0</v>
      </c>
      <c r="H434" s="59" t="s">
        <v>2723</v>
      </c>
      <c r="I434" s="46" t="str">
        <f t="shared" si="80"/>
        <v>EngramEntry_IguanodonSaddle_Alpha_C</v>
      </c>
      <c r="J434" s="76" t="str">
        <f t="shared" si="81"/>
        <v>OverrideNamedEngramEntries=(EngramEntry_IguanodonSaddle_Alpha_C,EngramHidden=true)</v>
      </c>
      <c r="K434" s="1"/>
    </row>
    <row r="435">
      <c r="A435" s="7"/>
      <c r="B435" s="7"/>
      <c r="C435" s="77">
        <v>18.0</v>
      </c>
      <c r="D435" s="61" t="str">
        <f t="shared" si="84"/>
        <v>PrimalItemArmor_IguanodonSaddle</v>
      </c>
      <c r="E435" s="62" t="s">
        <v>2724</v>
      </c>
      <c r="F435" s="62" t="s">
        <v>2725</v>
      </c>
      <c r="G435" s="78" t="str">
        <f t="shared" si="79"/>
        <v>cheat gfi PrimalItemArmor_IguanodonSaddle_Apex_C 1 100 0</v>
      </c>
      <c r="H435" s="62" t="s">
        <v>2726</v>
      </c>
      <c r="I435" s="45" t="str">
        <f t="shared" si="80"/>
        <v>EngramEntry_IguanodonSaddle_Apex_C</v>
      </c>
      <c r="J435" s="78" t="str">
        <f t="shared" si="81"/>
        <v>OverrideNamedEngramEntries=(EngramEntry_IguanodonSaddle_Apex_C,EngramHidden=true)</v>
      </c>
      <c r="K435" s="1"/>
    </row>
    <row r="436">
      <c r="A436" s="7"/>
      <c r="B436" s="7"/>
      <c r="C436" s="75">
        <v>18.0</v>
      </c>
      <c r="D436" s="58" t="str">
        <f t="shared" si="84"/>
        <v>PrimalItemSaddle</v>
      </c>
      <c r="E436" s="59" t="s">
        <v>2727</v>
      </c>
      <c r="F436" s="59" t="s">
        <v>2728</v>
      </c>
      <c r="G436" s="76" t="str">
        <f t="shared" si="79"/>
        <v>cheat gfi PrimalItemSaddle_Kairuku_Alpha_C 1 100 0</v>
      </c>
      <c r="H436" s="59" t="s">
        <v>2729</v>
      </c>
      <c r="I436" s="46" t="str">
        <f t="shared" si="80"/>
        <v>EngramEntry_Kairuku_Alpha_C</v>
      </c>
      <c r="J436" s="76" t="str">
        <f t="shared" si="81"/>
        <v>OverrideNamedEngramEntries=(EngramEntry_Kairuku_Alpha_C,EngramHidden=true)</v>
      </c>
      <c r="K436" s="1"/>
    </row>
    <row r="437">
      <c r="A437" s="7"/>
      <c r="B437" s="7"/>
      <c r="C437" s="77">
        <v>18.0</v>
      </c>
      <c r="D437" s="61" t="str">
        <f t="shared" si="84"/>
        <v>PrimalItemSaddle</v>
      </c>
      <c r="E437" s="62" t="s">
        <v>2730</v>
      </c>
      <c r="F437" s="62" t="s">
        <v>2731</v>
      </c>
      <c r="G437" s="78" t="str">
        <f t="shared" si="79"/>
        <v>cheat gfi PrimalItemSaddle_Kairuku_Apex_C 1 100 0</v>
      </c>
      <c r="H437" s="62" t="s">
        <v>2732</v>
      </c>
      <c r="I437" s="45" t="str">
        <f t="shared" si="80"/>
        <v>EngramEntry_Kairuku_Apex_C</v>
      </c>
      <c r="J437" s="78" t="str">
        <f t="shared" si="81"/>
        <v>OverrideNamedEngramEntries=(EngramEntry_Kairuku_Apex_C,EngramHidden=true)</v>
      </c>
      <c r="K437" s="1"/>
    </row>
    <row r="438">
      <c r="A438" s="7"/>
      <c r="B438" s="7"/>
      <c r="C438" s="75">
        <v>18.0</v>
      </c>
      <c r="D438" s="58" t="str">
        <f t="shared" si="84"/>
        <v>PrimalItemSaddle</v>
      </c>
      <c r="E438" s="59" t="s">
        <v>2733</v>
      </c>
      <c r="F438" s="59" t="s">
        <v>2734</v>
      </c>
      <c r="G438" s="76" t="str">
        <f t="shared" si="79"/>
        <v>cheat gfi PrimalItemSaddle_Kairuku_Hydro_C 1 100 0</v>
      </c>
      <c r="H438" s="59" t="s">
        <v>2735</v>
      </c>
      <c r="I438" s="46" t="str">
        <f t="shared" si="80"/>
        <v>EngramEntry_Kairuku_Hydro_C</v>
      </c>
      <c r="J438" s="76" t="str">
        <f t="shared" si="81"/>
        <v>OverrideNamedEngramEntries=(EngramEntry_Kairuku_Hydro_C,EngramHidden=true)</v>
      </c>
      <c r="K438" s="1"/>
    </row>
    <row r="439">
      <c r="A439" s="7"/>
      <c r="B439" s="7"/>
      <c r="C439" s="77">
        <v>18.0</v>
      </c>
      <c r="D439" s="61" t="str">
        <f t="shared" si="84"/>
        <v>PrimalItemArmor_KaprosuchusSaddle</v>
      </c>
      <c r="E439" s="62" t="s">
        <v>2736</v>
      </c>
      <c r="F439" s="62" t="s">
        <v>2737</v>
      </c>
      <c r="G439" s="78" t="str">
        <f t="shared" si="79"/>
        <v>cheat gfi PrimalItemArmor_KaprosuchusSaddle_Alpha_C 1 100 0</v>
      </c>
      <c r="H439" s="62" t="s">
        <v>2738</v>
      </c>
      <c r="I439" s="45" t="str">
        <f t="shared" si="80"/>
        <v>EngramEntry_KaprosuchusSaddle_Alpha_C</v>
      </c>
      <c r="J439" s="78" t="str">
        <f t="shared" si="81"/>
        <v>OverrideNamedEngramEntries=(EngramEntry_KaprosuchusSaddle_Alpha_C,EngramHidden=true)</v>
      </c>
      <c r="K439" s="1"/>
    </row>
    <row r="440">
      <c r="A440" s="7"/>
      <c r="B440" s="7"/>
      <c r="C440" s="75">
        <v>18.0</v>
      </c>
      <c r="D440" s="58" t="str">
        <f t="shared" si="84"/>
        <v>PrimalItemArmor_KaprosuchusSaddle</v>
      </c>
      <c r="E440" s="59" t="s">
        <v>2739</v>
      </c>
      <c r="F440" s="59" t="s">
        <v>2740</v>
      </c>
      <c r="G440" s="76" t="str">
        <f t="shared" si="79"/>
        <v>cheat gfi PrimalItemArmor_KaprosuchusSaddle_Apex_C 1 100 0</v>
      </c>
      <c r="H440" s="59" t="s">
        <v>2741</v>
      </c>
      <c r="I440" s="46" t="str">
        <f t="shared" si="80"/>
        <v>EngramEntry_KaprosuchusSaddle_Apex_C</v>
      </c>
      <c r="J440" s="76" t="str">
        <f t="shared" si="81"/>
        <v>OverrideNamedEngramEntries=(EngramEntry_KaprosuchusSaddle_Apex_C,EngramHidden=true)</v>
      </c>
      <c r="K440" s="1"/>
    </row>
    <row r="441">
      <c r="A441" s="7"/>
      <c r="B441" s="7"/>
      <c r="C441" s="77">
        <v>18.0</v>
      </c>
      <c r="D441" s="61" t="str">
        <f t="shared" si="84"/>
        <v>PrimalItemArmor_KaprosuchusSaddle</v>
      </c>
      <c r="E441" s="62" t="s">
        <v>2742</v>
      </c>
      <c r="F441" s="62" t="s">
        <v>2743</v>
      </c>
      <c r="G441" s="78" t="str">
        <f t="shared" si="79"/>
        <v>cheat gfi PrimalItemArmor_KaprosuchusSaddle_Atlantic_C 1 100 0</v>
      </c>
      <c r="H441" s="62" t="s">
        <v>2744</v>
      </c>
      <c r="I441" s="45" t="str">
        <f t="shared" si="80"/>
        <v>EngramEntry_KaprosuchusSaddle_Atlantic_C</v>
      </c>
      <c r="J441" s="78" t="str">
        <f t="shared" si="81"/>
        <v>OverrideNamedEngramEntries=(EngramEntry_KaprosuchusSaddle_Atlantic_C,EngramHidden=true)</v>
      </c>
      <c r="K441" s="1"/>
    </row>
    <row r="442">
      <c r="A442" s="7"/>
      <c r="B442" s="7"/>
      <c r="C442" s="75">
        <v>18.0</v>
      </c>
      <c r="D442" s="58" t="str">
        <f t="shared" si="84"/>
        <v>PrimalItemArmor_KaprosuchusSaddle</v>
      </c>
      <c r="E442" s="59" t="s">
        <v>2745</v>
      </c>
      <c r="F442" s="59" t="s">
        <v>2746</v>
      </c>
      <c r="G442" s="76" t="str">
        <f t="shared" si="79"/>
        <v>cheat gfi PrimalItemArmor_KaprosuchusSaddle_Hydro_C 1 100 0</v>
      </c>
      <c r="H442" s="59" t="s">
        <v>2747</v>
      </c>
      <c r="I442" s="46" t="str">
        <f t="shared" si="80"/>
        <v>EngramEntry_KaprosuchusSaddle_Hydro_C</v>
      </c>
      <c r="J442" s="76" t="str">
        <f t="shared" si="81"/>
        <v>OverrideNamedEngramEntries=(EngramEntry_KaprosuchusSaddle_Hydro_C,EngramHidden=true)</v>
      </c>
      <c r="K442" s="1"/>
    </row>
    <row r="443">
      <c r="A443" s="7"/>
      <c r="B443" s="7"/>
      <c r="C443" s="77">
        <v>18.0</v>
      </c>
      <c r="D443" s="61" t="str">
        <f t="shared" si="84"/>
        <v>PrimalItemArmor_KaprosuchusSaddle</v>
      </c>
      <c r="E443" s="62" t="s">
        <v>2748</v>
      </c>
      <c r="F443" s="62" t="s">
        <v>2749</v>
      </c>
      <c r="G443" s="78" t="str">
        <f t="shared" si="79"/>
        <v>cheat gfi PrimalItemArmor_KaprosuchusSaddle_Pacific_C 1 100 0</v>
      </c>
      <c r="H443" s="62" t="s">
        <v>2750</v>
      </c>
      <c r="I443" s="45" t="str">
        <f t="shared" si="80"/>
        <v>EngramEntry_KaprosuchusSaddle_Pacific_C</v>
      </c>
      <c r="J443" s="78" t="str">
        <f t="shared" si="81"/>
        <v>OverrideNamedEngramEntries=(EngramEntry_KaprosuchusSaddle_Pacific_C,EngramHidden=true)</v>
      </c>
      <c r="K443" s="1"/>
    </row>
    <row r="444">
      <c r="A444" s="7"/>
      <c r="B444" s="7"/>
      <c r="C444" s="75">
        <v>18.0</v>
      </c>
      <c r="D444" s="58" t="str">
        <f t="shared" si="84"/>
        <v>PrimalItemSaddle</v>
      </c>
      <c r="E444" s="59" t="s">
        <v>2751</v>
      </c>
      <c r="F444" s="59" t="s">
        <v>2752</v>
      </c>
      <c r="G444" s="76" t="str">
        <f t="shared" si="79"/>
        <v>cheat gfi PrimalItemSaddle_Kentro_Alpha_C 1 100 0</v>
      </c>
      <c r="H444" s="59" t="s">
        <v>2753</v>
      </c>
      <c r="I444" s="46" t="str">
        <f t="shared" si="80"/>
        <v>EngramEntry_Kentro_Alpha_C</v>
      </c>
      <c r="J444" s="76" t="str">
        <f t="shared" si="81"/>
        <v>OverrideNamedEngramEntries=(EngramEntry_Kentro_Alpha_C,EngramHidden=true)</v>
      </c>
      <c r="K444" s="1"/>
    </row>
    <row r="445">
      <c r="A445" s="7"/>
      <c r="B445" s="7"/>
      <c r="C445" s="77">
        <v>18.0</v>
      </c>
      <c r="D445" s="61" t="str">
        <f t="shared" si="84"/>
        <v>PrimalItemSaddle</v>
      </c>
      <c r="E445" s="62" t="s">
        <v>2754</v>
      </c>
      <c r="F445" s="62" t="s">
        <v>2755</v>
      </c>
      <c r="G445" s="78" t="str">
        <f t="shared" si="79"/>
        <v>cheat gfi PrimalItemSaddle_Kentro_Apex_C 1 100 0</v>
      </c>
      <c r="H445" s="62" t="s">
        <v>2756</v>
      </c>
      <c r="I445" s="45" t="str">
        <f t="shared" si="80"/>
        <v>EngramEntry_Kentro_Apex_C</v>
      </c>
      <c r="J445" s="78" t="str">
        <f t="shared" si="81"/>
        <v>OverrideNamedEngramEntries=(EngramEntry_Kentro_Apex_C,EngramHidden=true)</v>
      </c>
      <c r="K445" s="1"/>
    </row>
    <row r="446">
      <c r="A446" s="7"/>
      <c r="B446" s="7"/>
      <c r="C446" s="75">
        <v>18.0</v>
      </c>
      <c r="D446" s="58" t="str">
        <f t="shared" si="84"/>
        <v>PrimalItemSaddle</v>
      </c>
      <c r="E446" s="59" t="s">
        <v>2757</v>
      </c>
      <c r="F446" s="59" t="s">
        <v>2758</v>
      </c>
      <c r="G446" s="76" t="str">
        <f t="shared" si="79"/>
        <v>cheat gfi PrimalItemSaddle_liopleurodon_Atlantic_C 1 100 0</v>
      </c>
      <c r="H446" s="59" t="s">
        <v>2759</v>
      </c>
      <c r="I446" s="46" t="str">
        <f t="shared" si="80"/>
        <v>EngramEntry_liopleurodon_Atlantic_C</v>
      </c>
      <c r="J446" s="76" t="str">
        <f t="shared" si="81"/>
        <v>OverrideNamedEngramEntries=(EngramEntry_liopleurodon_Atlantic_C,EngramHidden=true)</v>
      </c>
      <c r="K446" s="1"/>
    </row>
    <row r="447">
      <c r="A447" s="7"/>
      <c r="B447" s="7"/>
      <c r="C447" s="77">
        <v>18.0</v>
      </c>
      <c r="D447" s="61" t="str">
        <f t="shared" si="84"/>
        <v>PrimalItemSaddle</v>
      </c>
      <c r="E447" s="62" t="s">
        <v>2760</v>
      </c>
      <c r="F447" s="62" t="s">
        <v>2761</v>
      </c>
      <c r="G447" s="78" t="str">
        <f t="shared" si="79"/>
        <v>cheat gfi PrimalItemSaddle_liopleurodon_Pacific_C 1 100 0</v>
      </c>
      <c r="H447" s="62" t="s">
        <v>2762</v>
      </c>
      <c r="I447" s="45" t="str">
        <f t="shared" si="80"/>
        <v>EngramEntry_liopleurodon_Pacific_C</v>
      </c>
      <c r="J447" s="78" t="str">
        <f t="shared" si="81"/>
        <v>OverrideNamedEngramEntries=(EngramEntry_liopleurodon_Pacific_C,EngramHidden=true)</v>
      </c>
      <c r="K447" s="1"/>
    </row>
    <row r="448">
      <c r="A448" s="7"/>
      <c r="B448" s="7"/>
      <c r="C448" s="75"/>
      <c r="D448" s="58"/>
      <c r="E448" s="59" t="s">
        <v>2763</v>
      </c>
      <c r="F448" s="59" t="s">
        <v>2764</v>
      </c>
      <c r="G448" s="76" t="str">
        <f t="shared" si="79"/>
        <v>cheat gfi PrimalItemArmor_MothSaddle_Alpha_C 1 100 0</v>
      </c>
      <c r="H448" s="59" t="s">
        <v>2765</v>
      </c>
      <c r="I448" s="46" t="str">
        <f t="shared" si="80"/>
        <v>EngramEntry_MothSaddle_Alpha_C</v>
      </c>
      <c r="J448" s="76" t="str">
        <f t="shared" si="81"/>
        <v>OverrideNamedEngramEntries=(EngramEntry_MothSaddle_Alpha_C,EngramHidden=true)</v>
      </c>
      <c r="K448" s="1"/>
    </row>
    <row r="449">
      <c r="A449" s="7"/>
      <c r="B449" s="7"/>
      <c r="C449" s="77">
        <v>18.0</v>
      </c>
      <c r="D449" s="61" t="str">
        <f t="shared" ref="D449:D455" si="85">Left(F449,find("Saddle",F449)+5)</f>
        <v>PrimalItemSaddle</v>
      </c>
      <c r="E449" s="62" t="s">
        <v>2766</v>
      </c>
      <c r="F449" s="62" t="s">
        <v>2767</v>
      </c>
      <c r="G449" s="78" t="str">
        <f t="shared" si="79"/>
        <v>cheat gfi PrimalItemSaddle_Lystro_Alpha_C 1 100 0</v>
      </c>
      <c r="H449" s="62" t="s">
        <v>2768</v>
      </c>
      <c r="I449" s="45" t="str">
        <f t="shared" si="80"/>
        <v>EngramEntry_Lystro_Alpha_C</v>
      </c>
      <c r="J449" s="78" t="str">
        <f t="shared" si="81"/>
        <v>OverrideNamedEngramEntries=(EngramEntry_Lystro_Alpha_C,EngramHidden=true)</v>
      </c>
      <c r="K449" s="1"/>
    </row>
    <row r="450">
      <c r="A450" s="7"/>
      <c r="B450" s="7"/>
      <c r="C450" s="75">
        <v>18.0</v>
      </c>
      <c r="D450" s="58" t="str">
        <f t="shared" si="85"/>
        <v>PrimalItemSaddle</v>
      </c>
      <c r="E450" s="59" t="s">
        <v>2769</v>
      </c>
      <c r="F450" s="59" t="s">
        <v>2770</v>
      </c>
      <c r="G450" s="76" t="str">
        <f t="shared" si="79"/>
        <v>cheat gfi PrimalItemSaddle_Lystro_Apex_C 1 100 0</v>
      </c>
      <c r="H450" s="59" t="s">
        <v>2771</v>
      </c>
      <c r="I450" s="46" t="str">
        <f t="shared" si="80"/>
        <v>EngramEntry_Lystro_Apex_C</v>
      </c>
      <c r="J450" s="76" t="str">
        <f t="shared" si="81"/>
        <v>OverrideNamedEngramEntries=(EngramEntry_Lystro_Apex_C,EngramHidden=true)</v>
      </c>
      <c r="K450" s="1"/>
    </row>
    <row r="451">
      <c r="A451" s="7"/>
      <c r="B451" s="7"/>
      <c r="C451" s="77">
        <v>18.0</v>
      </c>
      <c r="D451" s="61" t="str">
        <f t="shared" si="85"/>
        <v>PrimalItemArmor_MammothSaddle</v>
      </c>
      <c r="E451" s="62" t="s">
        <v>2772</v>
      </c>
      <c r="F451" s="62" t="s">
        <v>2773</v>
      </c>
      <c r="G451" s="78" t="str">
        <f t="shared" si="79"/>
        <v>cheat gfi PrimalItemArmor_MammothSaddle_Alpha_C 1 100 0</v>
      </c>
      <c r="H451" s="62" t="s">
        <v>2774</v>
      </c>
      <c r="I451" s="45" t="str">
        <f t="shared" si="80"/>
        <v>EngramEntry_MammothSaddle_Alpha_C</v>
      </c>
      <c r="J451" s="78" t="str">
        <f t="shared" si="81"/>
        <v>OverrideNamedEngramEntries=(EngramEntry_MammothSaddle_Alpha_C,EngramHidden=true)</v>
      </c>
      <c r="K451" s="1"/>
    </row>
    <row r="452">
      <c r="A452" s="7"/>
      <c r="B452" s="7"/>
      <c r="C452" s="75">
        <v>18.0</v>
      </c>
      <c r="D452" s="58" t="str">
        <f t="shared" si="85"/>
        <v>PrimalItemArmor_MammothSaddle</v>
      </c>
      <c r="E452" s="59" t="s">
        <v>2775</v>
      </c>
      <c r="F452" s="59" t="s">
        <v>2776</v>
      </c>
      <c r="G452" s="76" t="str">
        <f t="shared" si="79"/>
        <v>cheat gfi PrimalItemArmor_MammothSaddle_Apex_C 1 100 0</v>
      </c>
      <c r="H452" s="59" t="s">
        <v>2777</v>
      </c>
      <c r="I452" s="46" t="str">
        <f t="shared" si="80"/>
        <v>EngramEntry_MammothSaddle_Apex_C</v>
      </c>
      <c r="J452" s="76" t="str">
        <f t="shared" si="81"/>
        <v>OverrideNamedEngramEntries=(EngramEntry_MammothSaddle_Apex_C,EngramHidden=true)</v>
      </c>
      <c r="K452" s="1"/>
    </row>
    <row r="453">
      <c r="A453" s="7"/>
      <c r="B453" s="7"/>
      <c r="C453" s="77">
        <v>18.0</v>
      </c>
      <c r="D453" s="61" t="str">
        <f t="shared" si="85"/>
        <v>PrimalItemSaddle</v>
      </c>
      <c r="E453" s="62" t="s">
        <v>2778</v>
      </c>
      <c r="F453" s="62" t="s">
        <v>2779</v>
      </c>
      <c r="G453" s="78" t="str">
        <f t="shared" si="79"/>
        <v>cheat gfi PrimalItemSaddle_Managarm_Demonic_C 1 100 0</v>
      </c>
      <c r="H453" s="62" t="s">
        <v>2780</v>
      </c>
      <c r="I453" s="45" t="str">
        <f t="shared" si="80"/>
        <v>EngramEntry_Managarm_Demonic_C</v>
      </c>
      <c r="J453" s="78" t="str">
        <f t="shared" si="81"/>
        <v>OverrideNamedEngramEntries=(EngramEntry_Managarm_Demonic_C,EngramHidden=true)</v>
      </c>
      <c r="K453" s="1"/>
    </row>
    <row r="454">
      <c r="A454" s="7"/>
      <c r="B454" s="7"/>
      <c r="C454" s="75">
        <v>18.0</v>
      </c>
      <c r="D454" s="58" t="str">
        <f t="shared" si="85"/>
        <v>PrimalItemArmor_MantaSaddle</v>
      </c>
      <c r="E454" s="59" t="s">
        <v>2781</v>
      </c>
      <c r="F454" s="59" t="s">
        <v>2782</v>
      </c>
      <c r="G454" s="76" t="str">
        <f t="shared" si="79"/>
        <v>cheat gfi PrimalItemArmor_MantaSaddle_Atlantic_C 1 100 0</v>
      </c>
      <c r="H454" s="59" t="s">
        <v>2783</v>
      </c>
      <c r="I454" s="46" t="str">
        <f t="shared" si="80"/>
        <v>EngramEntry_MantaSaddle_Atlantic_C</v>
      </c>
      <c r="J454" s="76" t="str">
        <f t="shared" si="81"/>
        <v>OverrideNamedEngramEntries=(EngramEntry_MantaSaddle_Atlantic_C,EngramHidden=true)</v>
      </c>
      <c r="K454" s="1"/>
    </row>
    <row r="455">
      <c r="A455" s="7"/>
      <c r="B455" s="7"/>
      <c r="C455" s="77">
        <v>18.0</v>
      </c>
      <c r="D455" s="61" t="str">
        <f t="shared" si="85"/>
        <v>PrimalItemArmor_MantaSaddle</v>
      </c>
      <c r="E455" s="62" t="s">
        <v>2784</v>
      </c>
      <c r="F455" s="62" t="s">
        <v>2785</v>
      </c>
      <c r="G455" s="78" t="str">
        <f t="shared" si="79"/>
        <v>cheat gfi PrimalItemArmor_MantaSaddle_Pacific_C 1 100 0</v>
      </c>
      <c r="H455" s="62" t="s">
        <v>2786</v>
      </c>
      <c r="I455" s="45" t="str">
        <f t="shared" si="80"/>
        <v>EngramEntry_MantaSaddle_Pacific_C</v>
      </c>
      <c r="J455" s="78" t="str">
        <f t="shared" si="81"/>
        <v>OverrideNamedEngramEntries=(EngramEntry_MantaSaddle_Pacific_C,EngramHidden=true)</v>
      </c>
      <c r="K455" s="1"/>
    </row>
    <row r="456">
      <c r="A456" s="7"/>
      <c r="B456" s="7"/>
      <c r="C456" s="75"/>
      <c r="D456" s="58"/>
      <c r="E456" s="59" t="s">
        <v>2787</v>
      </c>
      <c r="F456" s="59" t="s">
        <v>2788</v>
      </c>
      <c r="G456" s="76" t="str">
        <f t="shared" si="79"/>
        <v>cheat gfi PrimalItemArmor_MantisSaddle_Alpha_C 1 100 0</v>
      </c>
      <c r="H456" s="59" t="s">
        <v>2789</v>
      </c>
      <c r="I456" s="46" t="str">
        <f t="shared" si="80"/>
        <v>EngramEntry_MantisSaddle_Alpha_C</v>
      </c>
      <c r="J456" s="76" t="str">
        <f t="shared" si="81"/>
        <v>OverrideNamedEngramEntries=(EngramEntry_MantisSaddle_Alpha_C,EngramHidden=true)</v>
      </c>
      <c r="K456" s="1"/>
    </row>
    <row r="457">
      <c r="A457" s="7"/>
      <c r="B457" s="7"/>
      <c r="C457" s="77"/>
      <c r="D457" s="61"/>
      <c r="E457" s="62" t="s">
        <v>2790</v>
      </c>
      <c r="F457" s="62" t="s">
        <v>2791</v>
      </c>
      <c r="G457" s="78" t="str">
        <f t="shared" si="79"/>
        <v>cheat gfi PrimalItemArmor_MantisSaddle_Apex_C 1 100 0</v>
      </c>
      <c r="H457" s="62" t="s">
        <v>2792</v>
      </c>
      <c r="I457" s="45" t="str">
        <f t="shared" si="80"/>
        <v>EngramEntry_MantisSaddle_Apex_C</v>
      </c>
      <c r="J457" s="78" t="str">
        <f t="shared" si="81"/>
        <v>OverrideNamedEngramEntries=(EngramEntry_MantisSaddle_Apex_C,EngramHidden=true)</v>
      </c>
      <c r="K457" s="1"/>
    </row>
    <row r="458">
      <c r="A458" s="7"/>
      <c r="B458" s="7"/>
      <c r="C458" s="75">
        <v>18.0</v>
      </c>
      <c r="D458" s="58" t="str">
        <f t="shared" ref="D458:D482" si="86">Left(F458,find("Saddle",F458)+5)</f>
        <v>PrimalItemArmor_MegalaniaSaddle</v>
      </c>
      <c r="E458" s="59" t="s">
        <v>2793</v>
      </c>
      <c r="F458" s="59" t="s">
        <v>2794</v>
      </c>
      <c r="G458" s="76" t="str">
        <f t="shared" si="79"/>
        <v>cheat gfi PrimalItemArmor_MegalaniaSaddle_Alpha_C 1 100 0</v>
      </c>
      <c r="H458" s="59" t="s">
        <v>2795</v>
      </c>
      <c r="I458" s="46" t="str">
        <f t="shared" si="80"/>
        <v>EngramEntry_MegalaniaSaddle_Alpha_C</v>
      </c>
      <c r="J458" s="76" t="str">
        <f t="shared" si="81"/>
        <v>OverrideNamedEngramEntries=(EngramEntry_MegalaniaSaddle_Alpha_C,EngramHidden=true)</v>
      </c>
      <c r="K458" s="1"/>
    </row>
    <row r="459">
      <c r="A459" s="7"/>
      <c r="B459" s="7"/>
      <c r="C459" s="77">
        <v>18.0</v>
      </c>
      <c r="D459" s="61" t="str">
        <f t="shared" si="86"/>
        <v>PrimalItemArmor_MegalaniaSaddle</v>
      </c>
      <c r="E459" s="62" t="s">
        <v>2796</v>
      </c>
      <c r="F459" s="62" t="s">
        <v>2797</v>
      </c>
      <c r="G459" s="78" t="str">
        <f t="shared" si="79"/>
        <v>cheat gfi PrimalItemArmor_MegalaniaSaddle_Apex_C 1 100 0</v>
      </c>
      <c r="H459" s="62" t="s">
        <v>2798</v>
      </c>
      <c r="I459" s="45" t="str">
        <f t="shared" si="80"/>
        <v>EngramEntry_MegalaniaSaddle_Apex_C</v>
      </c>
      <c r="J459" s="78" t="str">
        <f t="shared" si="81"/>
        <v>OverrideNamedEngramEntries=(EngramEntry_MegalaniaSaddle_Apex_C,EngramHidden=true)</v>
      </c>
      <c r="K459" s="1"/>
    </row>
    <row r="460">
      <c r="A460" s="7"/>
      <c r="B460" s="7"/>
      <c r="C460" s="75">
        <v>18.0</v>
      </c>
      <c r="D460" s="58" t="str">
        <f t="shared" si="86"/>
        <v>PrimalItemArmor_MegalodonSaddle</v>
      </c>
      <c r="E460" s="59" t="s">
        <v>2799</v>
      </c>
      <c r="F460" s="59" t="s">
        <v>2800</v>
      </c>
      <c r="G460" s="76" t="str">
        <f t="shared" si="79"/>
        <v>cheat gfi PrimalItemArmor_MegalodonSaddle_Atlantic_C 1 100 0</v>
      </c>
      <c r="H460" s="59" t="s">
        <v>2801</v>
      </c>
      <c r="I460" s="46" t="str">
        <f t="shared" si="80"/>
        <v>EngramEntry_MegalodonSaddle_Atlantic_C</v>
      </c>
      <c r="J460" s="76" t="str">
        <f t="shared" si="81"/>
        <v>OverrideNamedEngramEntries=(EngramEntry_MegalodonSaddle_Atlantic_C,EngramHidden=true)</v>
      </c>
      <c r="K460" s="1"/>
    </row>
    <row r="461">
      <c r="A461" s="7"/>
      <c r="B461" s="7"/>
      <c r="C461" s="77">
        <v>18.0</v>
      </c>
      <c r="D461" s="61" t="str">
        <f t="shared" si="86"/>
        <v>PrimalItemArmor_MegalodonSaddle</v>
      </c>
      <c r="E461" s="62" t="s">
        <v>2802</v>
      </c>
      <c r="F461" s="62" t="s">
        <v>2803</v>
      </c>
      <c r="G461" s="78" t="str">
        <f t="shared" si="79"/>
        <v>cheat gfi PrimalItemArmor_MegalodonSaddle_Pacific_C 1 100 0</v>
      </c>
      <c r="H461" s="62" t="s">
        <v>2804</v>
      </c>
      <c r="I461" s="45" t="str">
        <f t="shared" si="80"/>
        <v>EngramEntry_MegalodonSaddle_Pacific_C</v>
      </c>
      <c r="J461" s="78" t="str">
        <f t="shared" si="81"/>
        <v>OverrideNamedEngramEntries=(EngramEntry_MegalodonSaddle_Pacific_C,EngramHidden=true)</v>
      </c>
      <c r="K461" s="1"/>
    </row>
    <row r="462">
      <c r="A462" s="7"/>
      <c r="B462" s="7"/>
      <c r="C462" s="75">
        <v>18.0</v>
      </c>
      <c r="D462" s="58" t="str">
        <f t="shared" si="86"/>
        <v>PrimalItemArmor_MegalosaurusSaddle</v>
      </c>
      <c r="E462" s="59" t="s">
        <v>2805</v>
      </c>
      <c r="F462" s="59" t="s">
        <v>2806</v>
      </c>
      <c r="G462" s="76" t="str">
        <f t="shared" si="79"/>
        <v>cheat gfi PrimalItemArmor_MegalosaurusSaddle_Alpha_C 1 100 0</v>
      </c>
      <c r="H462" s="59" t="s">
        <v>2807</v>
      </c>
      <c r="I462" s="46" t="str">
        <f t="shared" si="80"/>
        <v>EngramEntry_MegalosaurusSaddle_Alpha_C</v>
      </c>
      <c r="J462" s="76" t="str">
        <f t="shared" si="81"/>
        <v>OverrideNamedEngramEntries=(EngramEntry_MegalosaurusSaddle_Alpha_C,EngramHidden=true)</v>
      </c>
      <c r="K462" s="1"/>
    </row>
    <row r="463">
      <c r="A463" s="7"/>
      <c r="B463" s="7"/>
      <c r="C463" s="77">
        <v>18.0</v>
      </c>
      <c r="D463" s="61" t="str">
        <f t="shared" si="86"/>
        <v>PrimalItemArmor_MegalosaurusSaddle</v>
      </c>
      <c r="E463" s="62" t="s">
        <v>2808</v>
      </c>
      <c r="F463" s="62" t="s">
        <v>2809</v>
      </c>
      <c r="G463" s="78" t="str">
        <f t="shared" si="79"/>
        <v>cheat gfi PrimalItemArmor_MegalosaurusSaddle_Apex_C 1 100 0</v>
      </c>
      <c r="H463" s="62" t="s">
        <v>2810</v>
      </c>
      <c r="I463" s="45" t="str">
        <f t="shared" si="80"/>
        <v>EngramEntry_MegalosaurusSaddle_Apex_C</v>
      </c>
      <c r="J463" s="78" t="str">
        <f t="shared" si="81"/>
        <v>OverrideNamedEngramEntries=(EngramEntry_MegalosaurusSaddle_Apex_C,EngramHidden=true)</v>
      </c>
      <c r="K463" s="1"/>
    </row>
    <row r="464">
      <c r="A464" s="7"/>
      <c r="B464" s="7"/>
      <c r="C464" s="75">
        <v>18.0</v>
      </c>
      <c r="D464" s="58" t="str">
        <f t="shared" si="86"/>
        <v>PrimalItemSaddle</v>
      </c>
      <c r="E464" s="59" t="s">
        <v>2811</v>
      </c>
      <c r="F464" s="59" t="s">
        <v>2812</v>
      </c>
      <c r="G464" s="76" t="str">
        <f t="shared" si="79"/>
        <v>cheat gfi PrimalItemSaddle_Megatherium_Bionic_C 1 100 0</v>
      </c>
      <c r="H464" s="79" t="s">
        <v>2813</v>
      </c>
      <c r="I464" s="46" t="str">
        <f t="shared" si="80"/>
        <v>EngramEntry_Megatherium_Bionic_C</v>
      </c>
      <c r="J464" s="76" t="str">
        <f t="shared" si="81"/>
        <v>OverrideNamedEngramEntries=(EngramEntry_Megatherium_Bionic_C,EngramHidden=true)</v>
      </c>
      <c r="K464" s="1"/>
    </row>
    <row r="465">
      <c r="A465" s="7"/>
      <c r="B465" s="7"/>
      <c r="C465" s="77">
        <v>18.0</v>
      </c>
      <c r="D465" s="61" t="str">
        <f t="shared" si="86"/>
        <v>PrimalItemArmor_MegatheriumSaddle</v>
      </c>
      <c r="E465" s="62" t="s">
        <v>2814</v>
      </c>
      <c r="F465" s="62" t="s">
        <v>2815</v>
      </c>
      <c r="G465" s="78" t="str">
        <f t="shared" si="79"/>
        <v>cheat gfi PrimalItemArmor_MegatheriumSaddle_Alpha_C 1 100 0</v>
      </c>
      <c r="H465" s="80" t="s">
        <v>2816</v>
      </c>
      <c r="I465" s="45" t="str">
        <f t="shared" si="80"/>
        <v>EngramEntry_MegatheriumSaddle_Alpha_C</v>
      </c>
      <c r="J465" s="78" t="str">
        <f t="shared" si="81"/>
        <v>OverrideNamedEngramEntries=(EngramEntry_MegatheriumSaddle_Alpha_C,EngramHidden=true)</v>
      </c>
      <c r="K465" s="1"/>
    </row>
    <row r="466">
      <c r="A466" s="7"/>
      <c r="B466" s="7"/>
      <c r="C466" s="75">
        <v>18.0</v>
      </c>
      <c r="D466" s="58" t="str">
        <f t="shared" si="86"/>
        <v>PrimalItemArmor_MegatheriumSaddle</v>
      </c>
      <c r="E466" s="59" t="s">
        <v>2817</v>
      </c>
      <c r="F466" s="59" t="s">
        <v>2818</v>
      </c>
      <c r="G466" s="76" t="str">
        <f t="shared" si="79"/>
        <v>cheat gfi PrimalItemArmor_MegatheriumSaddle_Apex_C 1 100 0</v>
      </c>
      <c r="H466" s="59" t="s">
        <v>2819</v>
      </c>
      <c r="I466" s="46" t="str">
        <f t="shared" si="80"/>
        <v>EngramEntry_MegatheriumSaddle_Apex_C</v>
      </c>
      <c r="J466" s="76" t="str">
        <f t="shared" si="81"/>
        <v>OverrideNamedEngramEntries=(EngramEntry_MegatheriumSaddle_Apex_C,EngramHidden=true)</v>
      </c>
      <c r="K466" s="1"/>
    </row>
    <row r="467">
      <c r="A467" s="7"/>
      <c r="B467" s="7"/>
      <c r="C467" s="77">
        <v>18.0</v>
      </c>
      <c r="D467" s="61" t="str">
        <f t="shared" si="86"/>
        <v>PrimalItemSaddle</v>
      </c>
      <c r="E467" s="62" t="s">
        <v>2820</v>
      </c>
      <c r="F467" s="62" t="s">
        <v>2821</v>
      </c>
      <c r="G467" s="78" t="str">
        <f t="shared" si="79"/>
        <v>cheat gfi PrimalItemSaddle_Monkey_Alpha_C 1 100 0</v>
      </c>
      <c r="H467" s="62" t="s">
        <v>2822</v>
      </c>
      <c r="I467" s="45" t="str">
        <f t="shared" si="80"/>
        <v>EngramEntry_Monkey_Alpha_C</v>
      </c>
      <c r="J467" s="78" t="str">
        <f t="shared" si="81"/>
        <v>OverrideNamedEngramEntries=(EngramEntry_Monkey_Alpha_C,EngramHidden=true)</v>
      </c>
      <c r="K467" s="1"/>
    </row>
    <row r="468">
      <c r="A468" s="7"/>
      <c r="B468" s="7"/>
      <c r="C468" s="75">
        <v>18.0</v>
      </c>
      <c r="D468" s="58" t="str">
        <f t="shared" si="86"/>
        <v>PrimalItemSaddle</v>
      </c>
      <c r="E468" s="59" t="s">
        <v>2823</v>
      </c>
      <c r="F468" s="59" t="s">
        <v>2824</v>
      </c>
      <c r="G468" s="76" t="str">
        <f t="shared" si="79"/>
        <v>cheat gfi PrimalItemSaddle_Monkey_Apex_C 1 100 0</v>
      </c>
      <c r="H468" s="59" t="s">
        <v>2825</v>
      </c>
      <c r="I468" s="46" t="str">
        <f t="shared" si="80"/>
        <v>EngramEntry_Monkey_Apex_C</v>
      </c>
      <c r="J468" s="76" t="str">
        <f t="shared" si="81"/>
        <v>OverrideNamedEngramEntries=(EngramEntry_Monkey_Apex_C,EngramHidden=true)</v>
      </c>
      <c r="K468" s="1"/>
    </row>
    <row r="469">
      <c r="A469" s="7"/>
      <c r="B469" s="7"/>
      <c r="C469" s="77">
        <v>18.0</v>
      </c>
      <c r="D469" s="61" t="str">
        <f t="shared" si="86"/>
        <v>PrimalItemArmor_MosaSaddle</v>
      </c>
      <c r="E469" s="62" t="s">
        <v>2826</v>
      </c>
      <c r="F469" s="62" t="s">
        <v>2827</v>
      </c>
      <c r="G469" s="78" t="str">
        <f t="shared" si="79"/>
        <v>cheat gfi PrimalItemArmor_MosaSaddle_Atlantic_C 1 100 0</v>
      </c>
      <c r="H469" s="62" t="s">
        <v>2828</v>
      </c>
      <c r="I469" s="45" t="str">
        <f t="shared" si="80"/>
        <v>EngramEntry_MosaSaddle_Atlantic_C</v>
      </c>
      <c r="J469" s="78" t="str">
        <f t="shared" si="81"/>
        <v>OverrideNamedEngramEntries=(EngramEntry_MosaSaddle_Atlantic_C,EngramHidden=true)</v>
      </c>
      <c r="K469" s="1"/>
    </row>
    <row r="470">
      <c r="A470" s="7"/>
      <c r="B470" s="7"/>
      <c r="C470" s="75">
        <v>18.0</v>
      </c>
      <c r="D470" s="58" t="str">
        <f t="shared" si="86"/>
        <v>PrimalItemArmor_MosaSaddle</v>
      </c>
      <c r="E470" s="59" t="s">
        <v>2829</v>
      </c>
      <c r="F470" s="59" t="s">
        <v>2830</v>
      </c>
      <c r="G470" s="76" t="str">
        <f t="shared" si="79"/>
        <v>cheat gfi PrimalItemArmor_MosaSaddle_Pacific_C 1 100 0</v>
      </c>
      <c r="H470" s="59" t="s">
        <v>2831</v>
      </c>
      <c r="I470" s="46" t="str">
        <f t="shared" si="80"/>
        <v>EngramEntry_MosaSaddle_Pacific_C</v>
      </c>
      <c r="J470" s="76" t="str">
        <f t="shared" si="81"/>
        <v>OverrideNamedEngramEntries=(EngramEntry_MosaSaddle_Pacific_C,EngramHidden=true)</v>
      </c>
      <c r="K470" s="1"/>
    </row>
    <row r="471">
      <c r="A471" s="7"/>
      <c r="B471" s="7"/>
      <c r="C471" s="77">
        <v>18.0</v>
      </c>
      <c r="D471" s="61" t="str">
        <f t="shared" si="86"/>
        <v>PrimalItemSaddle</v>
      </c>
      <c r="E471" s="62" t="s">
        <v>2832</v>
      </c>
      <c r="F471" s="62" t="s">
        <v>2833</v>
      </c>
      <c r="G471" s="78" t="str">
        <f t="shared" si="79"/>
        <v>cheat gfi PrimalItemSaddle_Moschops_Alpha_C 1 100 0</v>
      </c>
      <c r="H471" s="62" t="s">
        <v>2834</v>
      </c>
      <c r="I471" s="45" t="str">
        <f t="shared" si="80"/>
        <v>EngramEntry_Moschops_Alpha_C</v>
      </c>
      <c r="J471" s="78" t="str">
        <f t="shared" si="81"/>
        <v>OverrideNamedEngramEntries=(EngramEntry_Moschops_Alpha_C,EngramHidden=true)</v>
      </c>
      <c r="K471" s="1"/>
    </row>
    <row r="472">
      <c r="A472" s="7"/>
      <c r="B472" s="7"/>
      <c r="C472" s="75">
        <v>18.0</v>
      </c>
      <c r="D472" s="58" t="str">
        <f t="shared" si="86"/>
        <v>PrimalItemSaddle</v>
      </c>
      <c r="E472" s="59" t="s">
        <v>2835</v>
      </c>
      <c r="F472" s="59" t="s">
        <v>2836</v>
      </c>
      <c r="G472" s="76" t="str">
        <f t="shared" si="79"/>
        <v>cheat gfi PrimalItemSaddle_Moschops_Apex_C 1 100 0</v>
      </c>
      <c r="H472" s="59" t="s">
        <v>2837</v>
      </c>
      <c r="I472" s="46" t="str">
        <f t="shared" si="80"/>
        <v>EngramEntry_Moschops_Apex_C</v>
      </c>
      <c r="J472" s="76" t="str">
        <f t="shared" si="81"/>
        <v>OverrideNamedEngramEntries=(EngramEntry_Moschops_Apex_C,EngramHidden=true)</v>
      </c>
      <c r="K472" s="1"/>
    </row>
    <row r="473">
      <c r="A473" s="7"/>
      <c r="B473" s="7"/>
      <c r="C473" s="77">
        <v>18.0</v>
      </c>
      <c r="D473" s="61" t="str">
        <f t="shared" si="86"/>
        <v>PrimalItemArmor_MothSaddle</v>
      </c>
      <c r="E473" s="62" t="s">
        <v>2838</v>
      </c>
      <c r="F473" s="62" t="s">
        <v>2839</v>
      </c>
      <c r="G473" s="78" t="str">
        <f t="shared" si="79"/>
        <v>cheat gfi PrimalItemArmor_MothSaddle_Nature_C 1 100 0</v>
      </c>
      <c r="H473" s="62" t="s">
        <v>2840</v>
      </c>
      <c r="I473" s="45" t="str">
        <f t="shared" si="80"/>
        <v>EngramEntry_MothSaddle_Nature_C</v>
      </c>
      <c r="J473" s="78" t="str">
        <f t="shared" si="81"/>
        <v>OverrideNamedEngramEntries=(EngramEntry_MothSaddle_Nature_C,EngramHidden=true)</v>
      </c>
      <c r="K473" s="1"/>
    </row>
    <row r="474">
      <c r="A474" s="7"/>
      <c r="B474" s="7"/>
      <c r="C474" s="75">
        <v>18.0</v>
      </c>
      <c r="D474" s="58" t="str">
        <f t="shared" si="86"/>
        <v>PrimalItemSaddle</v>
      </c>
      <c r="E474" s="59" t="s">
        <v>2841</v>
      </c>
      <c r="F474" s="59" t="s">
        <v>2842</v>
      </c>
      <c r="G474" s="76" t="str">
        <f t="shared" si="79"/>
        <v>cheat gfi PrimalItemSaddle_Onyc_Alpha_C 1 100 0</v>
      </c>
      <c r="H474" s="59" t="s">
        <v>2843</v>
      </c>
      <c r="I474" s="46" t="str">
        <f t="shared" si="80"/>
        <v>EngramEntry_Onyc_Alpha_C</v>
      </c>
      <c r="J474" s="76" t="str">
        <f t="shared" si="81"/>
        <v>OverrideNamedEngramEntries=(EngramEntry_Onyc_Alpha_C,EngramHidden=true)</v>
      </c>
      <c r="K474" s="1"/>
    </row>
    <row r="475">
      <c r="A475" s="7"/>
      <c r="B475" s="7"/>
      <c r="C475" s="77">
        <v>18.0</v>
      </c>
      <c r="D475" s="61" t="str">
        <f t="shared" si="86"/>
        <v>PrimalItemSaddle</v>
      </c>
      <c r="E475" s="62" t="s">
        <v>2844</v>
      </c>
      <c r="F475" s="62" t="s">
        <v>2845</v>
      </c>
      <c r="G475" s="78" t="str">
        <f t="shared" si="79"/>
        <v>cheat gfi PrimalItemSaddle_Onyc_Apex_C 1 100 0</v>
      </c>
      <c r="H475" s="62" t="s">
        <v>2846</v>
      </c>
      <c r="I475" s="45" t="str">
        <f t="shared" si="80"/>
        <v>EngramEntry_Onyc_Apex_C</v>
      </c>
      <c r="J475" s="78" t="str">
        <f t="shared" si="81"/>
        <v>OverrideNamedEngramEntries=(EngramEntry_Onyc_Apex_C,EngramHidden=true)</v>
      </c>
      <c r="K475" s="1"/>
    </row>
    <row r="476">
      <c r="A476" s="7"/>
      <c r="B476" s="7"/>
      <c r="C476" s="75">
        <v>18.0</v>
      </c>
      <c r="D476" s="58" t="str">
        <f t="shared" si="86"/>
        <v>PrimalItemSaddle</v>
      </c>
      <c r="E476" s="59" t="s">
        <v>2847</v>
      </c>
      <c r="F476" s="59" t="s">
        <v>2848</v>
      </c>
      <c r="G476" s="76" t="str">
        <f t="shared" si="79"/>
        <v>cheat gfi PrimalItemSaddle_Otter_Alpha_C 1 100 0</v>
      </c>
      <c r="H476" s="59" t="s">
        <v>2849</v>
      </c>
      <c r="I476" s="46" t="str">
        <f t="shared" si="80"/>
        <v>EngramEntry_Otter_Alpha_C</v>
      </c>
      <c r="J476" s="76" t="str">
        <f t="shared" si="81"/>
        <v>OverrideNamedEngramEntries=(EngramEntry_Otter_Alpha_C,EngramHidden=true)</v>
      </c>
      <c r="K476" s="1"/>
    </row>
    <row r="477">
      <c r="A477" s="7"/>
      <c r="B477" s="7"/>
      <c r="C477" s="77">
        <v>18.0</v>
      </c>
      <c r="D477" s="61" t="str">
        <f t="shared" si="86"/>
        <v>PrimalItemSaddle</v>
      </c>
      <c r="E477" s="62" t="s">
        <v>2850</v>
      </c>
      <c r="F477" s="62" t="s">
        <v>2851</v>
      </c>
      <c r="G477" s="78" t="str">
        <f t="shared" si="79"/>
        <v>cheat gfi PrimalItemSaddle_Otter_Apex_C 1 100 0</v>
      </c>
      <c r="H477" s="62" t="s">
        <v>2852</v>
      </c>
      <c r="I477" s="45" t="str">
        <f t="shared" si="80"/>
        <v>EngramEntry_Otter_Apex_C</v>
      </c>
      <c r="J477" s="78" t="str">
        <f t="shared" si="81"/>
        <v>OverrideNamedEngramEntries=(EngramEntry_Otter_Apex_C,EngramHidden=true)</v>
      </c>
      <c r="K477" s="1"/>
    </row>
    <row r="478">
      <c r="A478" s="7"/>
      <c r="B478" s="7"/>
      <c r="C478" s="75">
        <v>18.0</v>
      </c>
      <c r="D478" s="58" t="str">
        <f t="shared" si="86"/>
        <v>PrimalItemSaddle</v>
      </c>
      <c r="E478" s="59" t="s">
        <v>2853</v>
      </c>
      <c r="F478" s="59" t="s">
        <v>2854</v>
      </c>
      <c r="G478" s="76" t="str">
        <f t="shared" si="79"/>
        <v>cheat gfi PrimalItemSaddle_Otter_Hydro_C 1 100 0</v>
      </c>
      <c r="H478" s="59" t="s">
        <v>2855</v>
      </c>
      <c r="I478" s="46" t="str">
        <f t="shared" si="80"/>
        <v>EngramEntry_Otter_Hydro_C</v>
      </c>
      <c r="J478" s="76" t="str">
        <f t="shared" si="81"/>
        <v>OverrideNamedEngramEntries=(EngramEntry_Otter_Hydro_C,EngramHidden=true)</v>
      </c>
      <c r="K478" s="1"/>
    </row>
    <row r="479">
      <c r="A479" s="7"/>
      <c r="B479" s="7"/>
      <c r="C479" s="77">
        <v>18.0</v>
      </c>
      <c r="D479" s="61" t="str">
        <f t="shared" si="86"/>
        <v>PrimalItemSaddle</v>
      </c>
      <c r="E479" s="62" t="s">
        <v>2856</v>
      </c>
      <c r="F479" s="62" t="s">
        <v>2857</v>
      </c>
      <c r="G479" s="78" t="str">
        <f t="shared" si="79"/>
        <v>cheat gfi PrimalItemSaddle_Oviraptor_Alpha_C 1 100 0</v>
      </c>
      <c r="H479" s="62" t="s">
        <v>2858</v>
      </c>
      <c r="I479" s="45" t="str">
        <f t="shared" si="80"/>
        <v>EngramEntry_Oviraptor_Alpha_C</v>
      </c>
      <c r="J479" s="78" t="str">
        <f t="shared" si="81"/>
        <v>OverrideNamedEngramEntries=(EngramEntry_Oviraptor_Alpha_C,EngramHidden=true)</v>
      </c>
      <c r="K479" s="1"/>
    </row>
    <row r="480">
      <c r="A480" s="7"/>
      <c r="B480" s="7"/>
      <c r="C480" s="75">
        <v>18.0</v>
      </c>
      <c r="D480" s="58" t="str">
        <f t="shared" si="86"/>
        <v>PrimalItemSaddle</v>
      </c>
      <c r="E480" s="59" t="s">
        <v>2859</v>
      </c>
      <c r="F480" s="59" t="s">
        <v>2860</v>
      </c>
      <c r="G480" s="76" t="str">
        <f t="shared" si="79"/>
        <v>cheat gfi PrimalItemSaddle_Oviraptor_Apex_C 1 100 0</v>
      </c>
      <c r="H480" s="59" t="s">
        <v>2861</v>
      </c>
      <c r="I480" s="46" t="str">
        <f t="shared" si="80"/>
        <v>EngramEntry_Oviraptor_Apex_C</v>
      </c>
      <c r="J480" s="76" t="str">
        <f t="shared" si="81"/>
        <v>OverrideNamedEngramEntries=(EngramEntry_Oviraptor_Apex_C,EngramHidden=true)</v>
      </c>
      <c r="K480" s="1"/>
    </row>
    <row r="481">
      <c r="A481" s="7"/>
      <c r="B481" s="7"/>
      <c r="C481" s="77">
        <v>18.0</v>
      </c>
      <c r="D481" s="61" t="str">
        <f t="shared" si="86"/>
        <v>PrimalItemSaddle</v>
      </c>
      <c r="E481" s="62" t="s">
        <v>2862</v>
      </c>
      <c r="F481" s="62" t="s">
        <v>2863</v>
      </c>
      <c r="G481" s="78" t="str">
        <f t="shared" si="79"/>
        <v>cheat gfi PrimalItemSaddle_Ovis_Alpha_C 1 100 0</v>
      </c>
      <c r="H481" s="62" t="s">
        <v>2864</v>
      </c>
      <c r="I481" s="45" t="str">
        <f t="shared" si="80"/>
        <v>EngramEntry_Ovis_Alpha_C</v>
      </c>
      <c r="J481" s="78" t="str">
        <f t="shared" si="81"/>
        <v>OverrideNamedEngramEntries=(EngramEntry_Ovis_Alpha_C,EngramHidden=true)</v>
      </c>
      <c r="K481" s="1"/>
    </row>
    <row r="482">
      <c r="A482" s="7"/>
      <c r="B482" s="7"/>
      <c r="C482" s="75">
        <v>18.0</v>
      </c>
      <c r="D482" s="58" t="str">
        <f t="shared" si="86"/>
        <v>PrimalItemSaddle</v>
      </c>
      <c r="E482" s="59" t="s">
        <v>2865</v>
      </c>
      <c r="F482" s="59" t="s">
        <v>2866</v>
      </c>
      <c r="G482" s="76" t="str">
        <f t="shared" si="79"/>
        <v>cheat gfi PrimalItemSaddle_Ovis_Apex_C 1 100 0</v>
      </c>
      <c r="H482" s="59" t="s">
        <v>2867</v>
      </c>
      <c r="I482" s="46" t="str">
        <f t="shared" si="80"/>
        <v>EngramEntry_Ovis_Apex_C</v>
      </c>
      <c r="J482" s="76" t="str">
        <f t="shared" si="81"/>
        <v>OverrideNamedEngramEntries=(EngramEntry_Ovis_Apex_C,EngramHidden=true)</v>
      </c>
      <c r="K482" s="1"/>
    </row>
    <row r="483">
      <c r="A483" s="7"/>
      <c r="B483" s="7"/>
      <c r="C483" s="77">
        <v>18.0</v>
      </c>
      <c r="D483" s="61" t="str">
        <f t="shared" ref="D483:D487" si="87">Left(F483,find("Armor",F483)+4)</f>
        <v>PrimalItemArmor</v>
      </c>
      <c r="E483" s="62" t="s">
        <v>2868</v>
      </c>
      <c r="F483" s="62" t="s">
        <v>2869</v>
      </c>
      <c r="G483" s="78" t="str">
        <f t="shared" si="79"/>
        <v>cheat gfi PrimalItemArmor_PachySaddle_Alpha_C 1 100 0</v>
      </c>
      <c r="H483" s="62" t="s">
        <v>2870</v>
      </c>
      <c r="I483" s="45" t="str">
        <f t="shared" si="80"/>
        <v>EngramEntry_PachySaddle_Alpha_C</v>
      </c>
      <c r="J483" s="78" t="str">
        <f t="shared" si="81"/>
        <v>OverrideNamedEngramEntries=(EngramEntry_PachySaddle_Alpha_C,EngramHidden=true)</v>
      </c>
      <c r="K483" s="1"/>
    </row>
    <row r="484">
      <c r="A484" s="7"/>
      <c r="B484" s="7"/>
      <c r="C484" s="75">
        <v>18.0</v>
      </c>
      <c r="D484" s="58" t="str">
        <f t="shared" si="87"/>
        <v>PrimalItemArmor</v>
      </c>
      <c r="E484" s="59" t="s">
        <v>2871</v>
      </c>
      <c r="F484" s="59" t="s">
        <v>2872</v>
      </c>
      <c r="G484" s="76" t="str">
        <f t="shared" si="79"/>
        <v>cheat gfi PrimalItemArmor_PachySaddle_Apex_C 1 100 0</v>
      </c>
      <c r="H484" s="59" t="s">
        <v>2873</v>
      </c>
      <c r="I484" s="46" t="str">
        <f t="shared" si="80"/>
        <v>EngramEntry_PachySaddle_Apex_C</v>
      </c>
      <c r="J484" s="76" t="str">
        <f t="shared" si="81"/>
        <v>OverrideNamedEngramEntries=(EngramEntry_PachySaddle_Apex_C,EngramHidden=true)</v>
      </c>
      <c r="K484" s="1"/>
    </row>
    <row r="485">
      <c r="A485" s="7"/>
      <c r="B485" s="7"/>
      <c r="C485" s="77">
        <v>18.0</v>
      </c>
      <c r="D485" s="61" t="str">
        <f t="shared" si="87"/>
        <v>PrimalItemArmor</v>
      </c>
      <c r="E485" s="62" t="s">
        <v>2874</v>
      </c>
      <c r="F485" s="62" t="s">
        <v>2875</v>
      </c>
      <c r="G485" s="78" t="str">
        <f t="shared" si="79"/>
        <v>cheat gfi PrimalItemArmor_PachySaddle_Earth_C 1 100 0</v>
      </c>
      <c r="H485" s="62" t="s">
        <v>2876</v>
      </c>
      <c r="I485" s="45" t="str">
        <f t="shared" si="80"/>
        <v>EngramEntry_PachySaddle_Earth_C</v>
      </c>
      <c r="J485" s="78" t="str">
        <f t="shared" si="81"/>
        <v>OverrideNamedEngramEntries=(EngramEntry_PachySaddle_Earth_C,EngramHidden=true)</v>
      </c>
      <c r="K485" s="1"/>
    </row>
    <row r="486">
      <c r="A486" s="7"/>
      <c r="B486" s="7"/>
      <c r="C486" s="75">
        <v>18.0</v>
      </c>
      <c r="D486" s="58" t="str">
        <f t="shared" si="87"/>
        <v>PrimalItemArmor</v>
      </c>
      <c r="E486" s="59" t="s">
        <v>2877</v>
      </c>
      <c r="F486" s="59" t="s">
        <v>2878</v>
      </c>
      <c r="G486" s="76" t="str">
        <f t="shared" si="79"/>
        <v>cheat gfi PrimalItemArmor_PachyrhinoSaddle_Alpha_C 1 100 0</v>
      </c>
      <c r="H486" s="59" t="s">
        <v>2879</v>
      </c>
      <c r="I486" s="46" t="str">
        <f t="shared" si="80"/>
        <v>EngramEntry_PachyrhinoSaddle_Alpha_C</v>
      </c>
      <c r="J486" s="76" t="str">
        <f t="shared" si="81"/>
        <v>OverrideNamedEngramEntries=(EngramEntry_PachyrhinoSaddle_Alpha_C,EngramHidden=true)</v>
      </c>
      <c r="K486" s="1"/>
    </row>
    <row r="487">
      <c r="A487" s="7"/>
      <c r="B487" s="7"/>
      <c r="C487" s="77">
        <v>18.0</v>
      </c>
      <c r="D487" s="61" t="str">
        <f t="shared" si="87"/>
        <v>PrimalItemArmor</v>
      </c>
      <c r="E487" s="62" t="s">
        <v>2880</v>
      </c>
      <c r="F487" s="62" t="s">
        <v>2881</v>
      </c>
      <c r="G487" s="78" t="str">
        <f t="shared" si="79"/>
        <v>cheat gfi PrimalItemArmor_PachyrhinoSaddle_Apex_C 1 100 0</v>
      </c>
      <c r="H487" s="62" t="s">
        <v>2882</v>
      </c>
      <c r="I487" s="45" t="str">
        <f t="shared" si="80"/>
        <v>EngramEntry_PachyrhinoSaddle_Apex_C</v>
      </c>
      <c r="J487" s="78" t="str">
        <f t="shared" si="81"/>
        <v>OverrideNamedEngramEntries=(EngramEntry_PachyrhinoSaddle_Apex_C,EngramHidden=true)</v>
      </c>
      <c r="K487" s="1"/>
    </row>
    <row r="488">
      <c r="A488" s="7"/>
      <c r="B488" s="7"/>
      <c r="C488" s="75"/>
      <c r="D488" s="58"/>
      <c r="E488" s="59" t="s">
        <v>2883</v>
      </c>
      <c r="F488" s="59" t="s">
        <v>2884</v>
      </c>
      <c r="G488" s="76" t="str">
        <f t="shared" si="79"/>
        <v>cheat gfi PrimalItemSaddle_Para_Demonic_C 1 100 0</v>
      </c>
      <c r="H488" s="59" t="s">
        <v>2885</v>
      </c>
      <c r="I488" s="46" t="str">
        <f t="shared" si="80"/>
        <v>EngramEntry_Para_Demonic_C</v>
      </c>
      <c r="J488" s="76" t="str">
        <f t="shared" si="81"/>
        <v>OverrideNamedEngramEntries=(EngramEntry_Para_Demonic_C,EngramHidden=true)</v>
      </c>
      <c r="K488" s="1"/>
    </row>
    <row r="489">
      <c r="A489" s="7"/>
      <c r="B489" s="7"/>
      <c r="C489" s="77">
        <v>18.0</v>
      </c>
      <c r="D489" s="61" t="str">
        <f t="shared" ref="D489:D492" si="88">Left(F489,find("Armor",F489)+4)</f>
        <v>PrimalItemArmor</v>
      </c>
      <c r="E489" s="62" t="s">
        <v>2886</v>
      </c>
      <c r="F489" s="62" t="s">
        <v>2887</v>
      </c>
      <c r="G489" s="78" t="str">
        <f t="shared" si="79"/>
        <v>cheat gfi PrimalItemArmor_ParaSaddle_Alpha_C 1 100 0</v>
      </c>
      <c r="H489" s="62" t="s">
        <v>2888</v>
      </c>
      <c r="I489" s="45" t="str">
        <f t="shared" si="80"/>
        <v>EngramEntry_ParaSaddle_Alpha_C</v>
      </c>
      <c r="J489" s="78" t="str">
        <f t="shared" si="81"/>
        <v>OverrideNamedEngramEntries=(EngramEntry_ParaSaddle_Alpha_C,EngramHidden=true)</v>
      </c>
      <c r="K489" s="1"/>
    </row>
    <row r="490">
      <c r="A490" s="7"/>
      <c r="B490" s="7"/>
      <c r="C490" s="75">
        <v>18.0</v>
      </c>
      <c r="D490" s="58" t="str">
        <f t="shared" si="88"/>
        <v>PrimalItemArmor</v>
      </c>
      <c r="E490" s="59" t="s">
        <v>2889</v>
      </c>
      <c r="F490" s="59" t="s">
        <v>2890</v>
      </c>
      <c r="G490" s="76" t="str">
        <f t="shared" si="79"/>
        <v>cheat gfi PrimalItemArmor_ParaSaddle_Apex_C 1 100 0</v>
      </c>
      <c r="H490" s="59" t="s">
        <v>2891</v>
      </c>
      <c r="I490" s="46" t="str">
        <f t="shared" si="80"/>
        <v>EngramEntry_ParaSaddle_Apex_C</v>
      </c>
      <c r="J490" s="76" t="str">
        <f t="shared" si="81"/>
        <v>OverrideNamedEngramEntries=(EngramEntry_ParaSaddle_Apex_C,EngramHidden=true)</v>
      </c>
      <c r="K490" s="1"/>
    </row>
    <row r="491">
      <c r="A491" s="7"/>
      <c r="B491" s="7"/>
      <c r="C491" s="77">
        <v>18.0</v>
      </c>
      <c r="D491" s="61" t="str">
        <f t="shared" si="88"/>
        <v>PrimalItemArmor</v>
      </c>
      <c r="E491" s="62" t="s">
        <v>2892</v>
      </c>
      <c r="F491" s="62" t="s">
        <v>2893</v>
      </c>
      <c r="G491" s="78" t="str">
        <f t="shared" si="79"/>
        <v>cheat gfi PrimalItemArmor_Paracer_Saddle_Alpha_C 1 100 0</v>
      </c>
      <c r="H491" s="62" t="s">
        <v>2894</v>
      </c>
      <c r="I491" s="45" t="str">
        <f t="shared" si="80"/>
        <v>EngramEntry_Paracer_Saddle_Alpha_C</v>
      </c>
      <c r="J491" s="78" t="str">
        <f t="shared" si="81"/>
        <v>OverrideNamedEngramEntries=(EngramEntry_Paracer_Saddle_Alpha_C,EngramHidden=true)</v>
      </c>
      <c r="K491" s="1"/>
    </row>
    <row r="492">
      <c r="A492" s="7"/>
      <c r="B492" s="7"/>
      <c r="C492" s="75">
        <v>18.0</v>
      </c>
      <c r="D492" s="58" t="str">
        <f t="shared" si="88"/>
        <v>PrimalItemArmor</v>
      </c>
      <c r="E492" s="59" t="s">
        <v>2895</v>
      </c>
      <c r="F492" s="59" t="s">
        <v>2896</v>
      </c>
      <c r="G492" s="76" t="str">
        <f t="shared" si="79"/>
        <v>cheat gfi PrimalItemArmor_Paracer_Saddle_Apex_C 1 100 0</v>
      </c>
      <c r="H492" s="59" t="s">
        <v>2897</v>
      </c>
      <c r="I492" s="46" t="str">
        <f t="shared" si="80"/>
        <v>EngramEntry_Paracer_Saddle_Apex_C</v>
      </c>
      <c r="J492" s="76" t="str">
        <f t="shared" si="81"/>
        <v>OverrideNamedEngramEntries=(EngramEntry_Paracer_Saddle_Apex_C,EngramHidden=true)</v>
      </c>
      <c r="K492" s="1"/>
    </row>
    <row r="493">
      <c r="A493" s="7"/>
      <c r="B493" s="7"/>
      <c r="C493" s="77">
        <v>18.0</v>
      </c>
      <c r="D493" s="61" t="str">
        <f t="shared" ref="D493:D500" si="89">Left(F493,find("Saddle",F493)+5)</f>
        <v>PrimalItemArmor_Paracer_Saddle</v>
      </c>
      <c r="E493" s="62" t="s">
        <v>2898</v>
      </c>
      <c r="F493" s="62" t="s">
        <v>2899</v>
      </c>
      <c r="G493" s="78" t="str">
        <f t="shared" si="79"/>
        <v>cheat gfi PrimalItemArmor_Paracer_Saddle_Earth_C 1 100 0</v>
      </c>
      <c r="H493" s="62" t="s">
        <v>2900</v>
      </c>
      <c r="I493" s="45" t="str">
        <f t="shared" si="80"/>
        <v>EngramEntry_Paracer_Saddle_Earth_C</v>
      </c>
      <c r="J493" s="78" t="str">
        <f t="shared" si="81"/>
        <v>OverrideNamedEngramEntries=(EngramEntry_Paracer_Saddle_Earth_C,EngramHidden=true)</v>
      </c>
      <c r="K493" s="1"/>
    </row>
    <row r="494">
      <c r="A494" s="7"/>
      <c r="B494" s="7"/>
      <c r="C494" s="75">
        <v>18.0</v>
      </c>
      <c r="D494" s="58" t="str">
        <f t="shared" si="89"/>
        <v>PrimalItemSaddle</v>
      </c>
      <c r="E494" s="59" t="s">
        <v>2901</v>
      </c>
      <c r="F494" s="59" t="s">
        <v>2902</v>
      </c>
      <c r="G494" s="76" t="str">
        <f t="shared" si="79"/>
        <v>cheat gfi PrimalItemSaddle_Pegasus_Celestial_C 1 100 0</v>
      </c>
      <c r="H494" s="59" t="s">
        <v>2903</v>
      </c>
      <c r="I494" s="46" t="str">
        <f t="shared" si="80"/>
        <v>EngramEntry_Pegasus_Celestial_C</v>
      </c>
      <c r="J494" s="76" t="str">
        <f t="shared" si="81"/>
        <v>OverrideNamedEngramEntries=(EngramEntry_Pegasus_Celestial_C,EngramHidden=true)</v>
      </c>
      <c r="K494" s="1"/>
    </row>
    <row r="495">
      <c r="A495" s="7"/>
      <c r="B495" s="7"/>
      <c r="C495" s="77">
        <v>18.0</v>
      </c>
      <c r="D495" s="61" t="str">
        <f t="shared" si="89"/>
        <v>PrimalItemSaddle</v>
      </c>
      <c r="E495" s="62" t="s">
        <v>2904</v>
      </c>
      <c r="F495" s="62" t="s">
        <v>2905</v>
      </c>
      <c r="G495" s="78" t="str">
        <f t="shared" si="79"/>
        <v>cheat gfi PrimalItemSaddle_Pegomastax_Alpha_C 1 100 0</v>
      </c>
      <c r="H495" s="62" t="s">
        <v>2906</v>
      </c>
      <c r="I495" s="45" t="str">
        <f t="shared" si="80"/>
        <v>EngramEntry_Pegomastax_Alpha_C</v>
      </c>
      <c r="J495" s="78" t="str">
        <f t="shared" si="81"/>
        <v>OverrideNamedEngramEntries=(EngramEntry_Pegomastax_Alpha_C,EngramHidden=true)</v>
      </c>
      <c r="K495" s="1"/>
    </row>
    <row r="496">
      <c r="A496" s="7"/>
      <c r="B496" s="7"/>
      <c r="C496" s="75">
        <v>18.0</v>
      </c>
      <c r="D496" s="58" t="str">
        <f t="shared" si="89"/>
        <v>PrimalItemSaddle</v>
      </c>
      <c r="E496" s="59" t="s">
        <v>2907</v>
      </c>
      <c r="F496" s="59" t="s">
        <v>2908</v>
      </c>
      <c r="G496" s="76" t="str">
        <f t="shared" si="79"/>
        <v>cheat gfi PrimalItemSaddle_Pegomastax_Apex_C 1 100 0</v>
      </c>
      <c r="H496" s="59" t="s">
        <v>2909</v>
      </c>
      <c r="I496" s="46" t="str">
        <f t="shared" si="80"/>
        <v>EngramEntry_Pegomastax_Apex_C</v>
      </c>
      <c r="J496" s="76" t="str">
        <f t="shared" si="81"/>
        <v>OverrideNamedEngramEntries=(EngramEntry_Pegomastax_Apex_C,EngramHidden=true)</v>
      </c>
      <c r="K496" s="1"/>
    </row>
    <row r="497">
      <c r="A497" s="7"/>
      <c r="B497" s="7"/>
      <c r="C497" s="77">
        <v>18.0</v>
      </c>
      <c r="D497" s="61" t="str">
        <f t="shared" si="89"/>
        <v>PrimalItemArmor_PelaSaddle</v>
      </c>
      <c r="E497" s="62" t="s">
        <v>2910</v>
      </c>
      <c r="F497" s="62" t="s">
        <v>2911</v>
      </c>
      <c r="G497" s="78" t="str">
        <f t="shared" si="79"/>
        <v>cheat gfi PrimalItemArmor_PelaSaddle_Alpha_C 1 100 0</v>
      </c>
      <c r="H497" s="62" t="s">
        <v>2912</v>
      </c>
      <c r="I497" s="45" t="str">
        <f t="shared" si="80"/>
        <v>EngramEntry_PelaSaddle_Alpha_C</v>
      </c>
      <c r="J497" s="78" t="str">
        <f t="shared" si="81"/>
        <v>OverrideNamedEngramEntries=(EngramEntry_PelaSaddle_Alpha_C,EngramHidden=true)</v>
      </c>
      <c r="K497" s="1"/>
    </row>
    <row r="498">
      <c r="A498" s="7"/>
      <c r="B498" s="7"/>
      <c r="C498" s="75">
        <v>18.0</v>
      </c>
      <c r="D498" s="58" t="str">
        <f t="shared" si="89"/>
        <v>PrimalItemArmor_PelaSaddle</v>
      </c>
      <c r="E498" s="59" t="s">
        <v>2913</v>
      </c>
      <c r="F498" s="59" t="s">
        <v>2914</v>
      </c>
      <c r="G498" s="76" t="str">
        <f t="shared" si="79"/>
        <v>cheat gfi PrimalItemArmor_PelaSaddle_Apex_C 1 100 0</v>
      </c>
      <c r="H498" s="59" t="s">
        <v>2915</v>
      </c>
      <c r="I498" s="46" t="str">
        <f t="shared" si="80"/>
        <v>EngramEntry_PelaSaddle_Apex_C</v>
      </c>
      <c r="J498" s="76" t="str">
        <f t="shared" si="81"/>
        <v>OverrideNamedEngramEntries=(EngramEntry_PelaSaddle_Apex_C,EngramHidden=true)</v>
      </c>
      <c r="K498" s="1"/>
    </row>
    <row r="499">
      <c r="A499" s="7"/>
      <c r="B499" s="7"/>
      <c r="C499" s="77">
        <v>18.0</v>
      </c>
      <c r="D499" s="61" t="str">
        <f t="shared" si="89"/>
        <v>PrimalItemArmor_PhiomiaSaddle</v>
      </c>
      <c r="E499" s="62" t="s">
        <v>2916</v>
      </c>
      <c r="F499" s="62" t="s">
        <v>2917</v>
      </c>
      <c r="G499" s="78" t="str">
        <f t="shared" si="79"/>
        <v>cheat gfi PrimalItemArmor_PhiomiaSaddle_Alpha_C 1 100 0</v>
      </c>
      <c r="H499" s="62" t="s">
        <v>2918</v>
      </c>
      <c r="I499" s="45" t="str">
        <f t="shared" si="80"/>
        <v>EngramEntry_PhiomiaSaddle_Alpha_C</v>
      </c>
      <c r="J499" s="78" t="str">
        <f t="shared" si="81"/>
        <v>OverrideNamedEngramEntries=(EngramEntry_PhiomiaSaddle_Alpha_C,EngramHidden=true)</v>
      </c>
      <c r="K499" s="1"/>
    </row>
    <row r="500">
      <c r="A500" s="7"/>
      <c r="B500" s="7"/>
      <c r="C500" s="75">
        <v>18.0</v>
      </c>
      <c r="D500" s="58" t="str">
        <f t="shared" si="89"/>
        <v>PrimalItemArmor_PhiomiaSaddle</v>
      </c>
      <c r="E500" s="59" t="s">
        <v>2919</v>
      </c>
      <c r="F500" s="59" t="s">
        <v>2920</v>
      </c>
      <c r="G500" s="76" t="str">
        <f t="shared" si="79"/>
        <v>cheat gfi PrimalItemArmor_PhiomiaSaddle_Apex_C 1 100 0</v>
      </c>
      <c r="H500" s="59" t="s">
        <v>2921</v>
      </c>
      <c r="I500" s="46" t="str">
        <f t="shared" si="80"/>
        <v>EngramEntry_PhiomiaSaddle_Apex_C</v>
      </c>
      <c r="J500" s="76" t="str">
        <f t="shared" si="81"/>
        <v>OverrideNamedEngramEntries=(EngramEntry_PhiomiaSaddle_Apex_C,EngramHidden=true)</v>
      </c>
      <c r="K500" s="1"/>
    </row>
    <row r="501">
      <c r="A501" s="7"/>
      <c r="B501" s="7"/>
      <c r="C501" s="77"/>
      <c r="D501" s="61"/>
      <c r="E501" s="62" t="s">
        <v>2922</v>
      </c>
      <c r="F501" s="62" t="s">
        <v>2923</v>
      </c>
      <c r="G501" s="78" t="str">
        <f t="shared" si="79"/>
        <v>cheat gfi PrimalItemSaddle_Phoenix_Celestial_C 1 100 0</v>
      </c>
      <c r="H501" s="62" t="s">
        <v>2924</v>
      </c>
      <c r="I501" s="45" t="str">
        <f t="shared" si="80"/>
        <v>EngramEntry_Phoenix_Celestial_C</v>
      </c>
      <c r="J501" s="78" t="str">
        <f t="shared" si="81"/>
        <v>OverrideNamedEngramEntries=(EngramEntry_Phoenix_Celestial_C,EngramHidden=true)</v>
      </c>
      <c r="K501" s="1"/>
    </row>
    <row r="502">
      <c r="A502" s="7"/>
      <c r="B502" s="7"/>
      <c r="C502" s="75">
        <v>18.0</v>
      </c>
      <c r="D502" s="58" t="str">
        <f t="shared" ref="D502:D554" si="90">Left(F502,find("Saddle",F502)+5)</f>
        <v>PrimalItemSaddle</v>
      </c>
      <c r="E502" s="59" t="s">
        <v>2925</v>
      </c>
      <c r="F502" s="59" t="s">
        <v>2926</v>
      </c>
      <c r="G502" s="76" t="str">
        <f t="shared" si="79"/>
        <v>cheat gfi PrimalItemSaddle_Piranha_Atlantic_C 1 100 0</v>
      </c>
      <c r="H502" s="59" t="s">
        <v>2927</v>
      </c>
      <c r="I502" s="46" t="str">
        <f t="shared" si="80"/>
        <v>EngramEntry_Piranha_Atlantic_C</v>
      </c>
      <c r="J502" s="76" t="str">
        <f t="shared" si="81"/>
        <v>OverrideNamedEngramEntries=(EngramEntry_Piranha_Atlantic_C,EngramHidden=true)</v>
      </c>
      <c r="K502" s="1"/>
    </row>
    <row r="503">
      <c r="A503" s="7"/>
      <c r="B503" s="7"/>
      <c r="C503" s="77">
        <v>18.0</v>
      </c>
      <c r="D503" s="61" t="str">
        <f t="shared" si="90"/>
        <v>PrimalItemSaddle</v>
      </c>
      <c r="E503" s="62" t="s">
        <v>2928</v>
      </c>
      <c r="F503" s="62" t="s">
        <v>2929</v>
      </c>
      <c r="G503" s="78" t="str">
        <f t="shared" si="79"/>
        <v>cheat gfi PrimalItemSaddle_Piranha_Pacific_C 1 100 0</v>
      </c>
      <c r="H503" s="62" t="s">
        <v>2930</v>
      </c>
      <c r="I503" s="45" t="str">
        <f t="shared" si="80"/>
        <v>EngramEntry_Piranha_Pacific_C</v>
      </c>
      <c r="J503" s="78" t="str">
        <f t="shared" si="81"/>
        <v>OverrideNamedEngramEntries=(EngramEntry_Piranha_Pacific_C,EngramHidden=true)</v>
      </c>
      <c r="K503" s="1"/>
    </row>
    <row r="504">
      <c r="A504" s="7"/>
      <c r="B504" s="7"/>
      <c r="C504" s="75">
        <v>18.0</v>
      </c>
      <c r="D504" s="58" t="str">
        <f t="shared" si="90"/>
        <v>PrimalItemArmor_PlesiaSaddle</v>
      </c>
      <c r="E504" s="59" t="s">
        <v>2931</v>
      </c>
      <c r="F504" s="59" t="s">
        <v>2932</v>
      </c>
      <c r="G504" s="76" t="str">
        <f t="shared" si="79"/>
        <v>cheat gfi PrimalItemArmor_PlesiaSaddle_Atlantic_C 1 100 0</v>
      </c>
      <c r="H504" s="59" t="s">
        <v>2933</v>
      </c>
      <c r="I504" s="46" t="str">
        <f t="shared" si="80"/>
        <v>EngramEntry_PlesiaSaddle_Atlantic_C</v>
      </c>
      <c r="J504" s="76" t="str">
        <f t="shared" si="81"/>
        <v>OverrideNamedEngramEntries=(EngramEntry_PlesiaSaddle_Atlantic_C,EngramHidden=true)</v>
      </c>
      <c r="K504" s="1"/>
    </row>
    <row r="505">
      <c r="A505" s="7"/>
      <c r="B505" s="7"/>
      <c r="C505" s="77">
        <v>18.0</v>
      </c>
      <c r="D505" s="61" t="str">
        <f t="shared" si="90"/>
        <v>PrimalItemArmor_PlesiaSaddle</v>
      </c>
      <c r="E505" s="62" t="s">
        <v>2934</v>
      </c>
      <c r="F505" s="62" t="s">
        <v>2935</v>
      </c>
      <c r="G505" s="78" t="str">
        <f t="shared" si="79"/>
        <v>cheat gfi PrimalItemArmor_PlesiaSaddle_Pacific_C 1 100 0</v>
      </c>
      <c r="H505" s="62" t="s">
        <v>2936</v>
      </c>
      <c r="I505" s="45" t="str">
        <f t="shared" si="80"/>
        <v>EngramEntry_PlesiaSaddle_Pacific_C</v>
      </c>
      <c r="J505" s="78" t="str">
        <f t="shared" si="81"/>
        <v>OverrideNamedEngramEntries=(EngramEntry_PlesiaSaddle_Pacific_C,EngramHidden=true)</v>
      </c>
      <c r="K505" s="1"/>
    </row>
    <row r="506">
      <c r="A506" s="7"/>
      <c r="B506" s="7"/>
      <c r="C506" s="75">
        <v>18.0</v>
      </c>
      <c r="D506" s="58" t="str">
        <f t="shared" si="90"/>
        <v>PrimalItemSaddle</v>
      </c>
      <c r="E506" s="59" t="s">
        <v>2937</v>
      </c>
      <c r="F506" s="59" t="s">
        <v>2938</v>
      </c>
      <c r="G506" s="76" t="str">
        <f t="shared" si="79"/>
        <v>cheat gfi PrimalItemSaddle_Procoptodon_Bionic_C 1 100 0</v>
      </c>
      <c r="H506" s="59" t="s">
        <v>2939</v>
      </c>
      <c r="I506" s="46" t="str">
        <f t="shared" si="80"/>
        <v>EngramEntry_Procoptodon_Bionic_C</v>
      </c>
      <c r="J506" s="76" t="str">
        <f t="shared" si="81"/>
        <v>OverrideNamedEngramEntries=(EngramEntry_Procoptodon_Bionic_C,EngramHidden=true)</v>
      </c>
      <c r="K506" s="1"/>
    </row>
    <row r="507">
      <c r="A507" s="7"/>
      <c r="B507" s="7"/>
      <c r="C507" s="77">
        <v>18.0</v>
      </c>
      <c r="D507" s="61" t="str">
        <f t="shared" si="90"/>
        <v>PrimalItemArmor_ProcoptodonSaddle</v>
      </c>
      <c r="E507" s="62" t="s">
        <v>2940</v>
      </c>
      <c r="F507" s="62" t="s">
        <v>2941</v>
      </c>
      <c r="G507" s="78" t="str">
        <f t="shared" si="79"/>
        <v>cheat gfi PrimalItemArmor_ProcoptodonSaddle_Alpha_C 1 100 0</v>
      </c>
      <c r="H507" s="62" t="s">
        <v>2942</v>
      </c>
      <c r="I507" s="45" t="str">
        <f t="shared" si="80"/>
        <v>EngramEntry_ProcoptodonSaddle_Alpha_C</v>
      </c>
      <c r="J507" s="78" t="str">
        <f t="shared" si="81"/>
        <v>OverrideNamedEngramEntries=(EngramEntry_ProcoptodonSaddle_Alpha_C,EngramHidden=true)</v>
      </c>
      <c r="K507" s="1"/>
    </row>
    <row r="508">
      <c r="A508" s="7"/>
      <c r="B508" s="7"/>
      <c r="C508" s="75">
        <v>18.0</v>
      </c>
      <c r="D508" s="58" t="str">
        <f t="shared" si="90"/>
        <v>PrimalItemArmor_ProcoptodonSaddle</v>
      </c>
      <c r="E508" s="59" t="s">
        <v>2943</v>
      </c>
      <c r="F508" s="59" t="s">
        <v>2944</v>
      </c>
      <c r="G508" s="76" t="str">
        <f t="shared" si="79"/>
        <v>cheat gfi PrimalItemArmor_ProcoptodonSaddle_Apex_C 1 100 0</v>
      </c>
      <c r="H508" s="59" t="s">
        <v>2945</v>
      </c>
      <c r="I508" s="46" t="str">
        <f t="shared" si="80"/>
        <v>EngramEntry_ProcoptodonSaddle_Apex_C</v>
      </c>
      <c r="J508" s="76" t="str">
        <f t="shared" si="81"/>
        <v>OverrideNamedEngramEntries=(EngramEntry_ProcoptodonSaddle_Apex_C,EngramHidden=true)</v>
      </c>
      <c r="K508" s="1"/>
    </row>
    <row r="509">
      <c r="A509" s="7"/>
      <c r="B509" s="7"/>
      <c r="C509" s="77">
        <v>18.0</v>
      </c>
      <c r="D509" s="61" t="str">
        <f t="shared" si="90"/>
        <v>PrimalItemArmor_PteroSaddle</v>
      </c>
      <c r="E509" s="62" t="s">
        <v>2946</v>
      </c>
      <c r="F509" s="62" t="s">
        <v>2947</v>
      </c>
      <c r="G509" s="78" t="str">
        <f t="shared" si="79"/>
        <v>cheat gfi PrimalItemArmor_PteroSaddle_Alpha_C 1 100 0</v>
      </c>
      <c r="H509" s="62" t="s">
        <v>2948</v>
      </c>
      <c r="I509" s="45" t="str">
        <f t="shared" si="80"/>
        <v>EngramEntry_PteroSaddle_Alpha_C</v>
      </c>
      <c r="J509" s="78" t="str">
        <f t="shared" si="81"/>
        <v>OverrideNamedEngramEntries=(EngramEntry_PteroSaddle_Alpha_C,EngramHidden=true)</v>
      </c>
      <c r="K509" s="1"/>
    </row>
    <row r="510">
      <c r="A510" s="7"/>
      <c r="B510" s="7"/>
      <c r="C510" s="75">
        <v>18.0</v>
      </c>
      <c r="D510" s="58" t="str">
        <f t="shared" si="90"/>
        <v>PrimalItemArmor_PteroSaddle</v>
      </c>
      <c r="E510" s="59" t="s">
        <v>2949</v>
      </c>
      <c r="F510" s="59" t="s">
        <v>2950</v>
      </c>
      <c r="G510" s="76" t="str">
        <f t="shared" si="79"/>
        <v>cheat gfi PrimalItemArmor_PteroSaddle_Apex_C 1 100 0</v>
      </c>
      <c r="H510" s="59" t="s">
        <v>2951</v>
      </c>
      <c r="I510" s="46" t="str">
        <f t="shared" si="80"/>
        <v>EngramEntry_PteroSaddle_Apex_C</v>
      </c>
      <c r="J510" s="76" t="str">
        <f t="shared" si="81"/>
        <v>OverrideNamedEngramEntries=(EngramEntry_PteroSaddle_Apex_C,EngramHidden=true)</v>
      </c>
      <c r="K510" s="1"/>
    </row>
    <row r="511">
      <c r="A511" s="7"/>
      <c r="B511" s="7"/>
      <c r="C511" s="77">
        <v>18.0</v>
      </c>
      <c r="D511" s="61" t="str">
        <f t="shared" si="90"/>
        <v>PrimalItemArmor_PteroSaddle</v>
      </c>
      <c r="E511" s="62" t="s">
        <v>2952</v>
      </c>
      <c r="F511" s="62" t="s">
        <v>2953</v>
      </c>
      <c r="G511" s="78" t="str">
        <f t="shared" si="79"/>
        <v>cheat gfi PrimalItemArmor_PteroSaddle_Nature_C 1 100 0</v>
      </c>
      <c r="H511" s="62" t="s">
        <v>2954</v>
      </c>
      <c r="I511" s="45" t="str">
        <f t="shared" si="80"/>
        <v>EngramEntry_PteroSaddle_Nature_C</v>
      </c>
      <c r="J511" s="78" t="str">
        <f t="shared" si="81"/>
        <v>OverrideNamedEngramEntries=(EngramEntry_PteroSaddle_Nature_C,EngramHidden=true)</v>
      </c>
      <c r="K511" s="1"/>
    </row>
    <row r="512">
      <c r="A512" s="7"/>
      <c r="B512" s="7"/>
      <c r="C512" s="75">
        <v>18.0</v>
      </c>
      <c r="D512" s="58" t="str">
        <f t="shared" si="90"/>
        <v>PrimalItemSaddle</v>
      </c>
      <c r="E512" s="59" t="s">
        <v>2955</v>
      </c>
      <c r="F512" s="59" t="s">
        <v>2956</v>
      </c>
      <c r="G512" s="76" t="str">
        <f t="shared" si="79"/>
        <v>cheat gfi PrimalItemSaddle_Purlovia_Alpha_C 1 100 0</v>
      </c>
      <c r="H512" s="59" t="s">
        <v>2957</v>
      </c>
      <c r="I512" s="46" t="str">
        <f t="shared" si="80"/>
        <v>EngramEntry_Purlovia_Alpha_C</v>
      </c>
      <c r="J512" s="76" t="str">
        <f t="shared" si="81"/>
        <v>OverrideNamedEngramEntries=(EngramEntry_Purlovia_Alpha_C,EngramHidden=true)</v>
      </c>
      <c r="K512" s="1"/>
    </row>
    <row r="513">
      <c r="A513" s="7"/>
      <c r="B513" s="7"/>
      <c r="C513" s="77">
        <v>18.0</v>
      </c>
      <c r="D513" s="61" t="str">
        <f t="shared" si="90"/>
        <v>PrimalItemSaddle</v>
      </c>
      <c r="E513" s="62" t="s">
        <v>2958</v>
      </c>
      <c r="F513" s="62" t="s">
        <v>2959</v>
      </c>
      <c r="G513" s="78" t="str">
        <f t="shared" si="79"/>
        <v>cheat gfi PrimalItemSaddle_Purlovia_Apex_C 1 100 0</v>
      </c>
      <c r="H513" s="62" t="s">
        <v>2960</v>
      </c>
      <c r="I513" s="45" t="str">
        <f t="shared" si="80"/>
        <v>EngramEntry_Purlovia_Apex_C</v>
      </c>
      <c r="J513" s="78" t="str">
        <f t="shared" si="81"/>
        <v>OverrideNamedEngramEntries=(EngramEntry_Purlovia_Apex_C,EngramHidden=true)</v>
      </c>
      <c r="K513" s="1"/>
    </row>
    <row r="514">
      <c r="A514" s="7"/>
      <c r="B514" s="7"/>
      <c r="C514" s="75">
        <v>18.0</v>
      </c>
      <c r="D514" s="58" t="str">
        <f t="shared" si="90"/>
        <v>PrimalItemArmor_QuetzSaddle</v>
      </c>
      <c r="E514" s="59" t="s">
        <v>2961</v>
      </c>
      <c r="F514" s="59" t="s">
        <v>2962</v>
      </c>
      <c r="G514" s="76" t="str">
        <f t="shared" si="79"/>
        <v>cheat gfi PrimalItemArmor_QuetzSaddle_Alpha_C 1 100 0</v>
      </c>
      <c r="H514" s="59" t="s">
        <v>2963</v>
      </c>
      <c r="I514" s="46" t="str">
        <f t="shared" si="80"/>
        <v>EngramEntry_QuetzSaddle_Alpha_C</v>
      </c>
      <c r="J514" s="76" t="str">
        <f t="shared" si="81"/>
        <v>OverrideNamedEngramEntries=(EngramEntry_QuetzSaddle_Alpha_C,EngramHidden=true)</v>
      </c>
      <c r="K514" s="1"/>
    </row>
    <row r="515">
      <c r="A515" s="7"/>
      <c r="B515" s="7"/>
      <c r="C515" s="77">
        <v>18.0</v>
      </c>
      <c r="D515" s="61" t="str">
        <f t="shared" si="90"/>
        <v>PrimalItemArmor_QuetzSaddle</v>
      </c>
      <c r="E515" s="62" t="s">
        <v>2964</v>
      </c>
      <c r="F515" s="62" t="s">
        <v>2965</v>
      </c>
      <c r="G515" s="78" t="str">
        <f t="shared" si="79"/>
        <v>cheat gfi PrimalItemArmor_QuetzSaddle_Apex_C 1 100 0</v>
      </c>
      <c r="H515" s="62" t="s">
        <v>2966</v>
      </c>
      <c r="I515" s="45" t="str">
        <f t="shared" si="80"/>
        <v>EngramEntry_QuetzSaddle_Apex_C</v>
      </c>
      <c r="J515" s="78" t="str">
        <f t="shared" si="81"/>
        <v>OverrideNamedEngramEntries=(EngramEntry_QuetzSaddle_Apex_C,EngramHidden=true)</v>
      </c>
      <c r="K515" s="1"/>
    </row>
    <row r="516">
      <c r="A516" s="7"/>
      <c r="B516" s="7"/>
      <c r="C516" s="75">
        <v>18.0</v>
      </c>
      <c r="D516" s="58" t="str">
        <f t="shared" si="90"/>
        <v>PrimalItemArmor_RaptorSaddle</v>
      </c>
      <c r="E516" s="59" t="s">
        <v>2967</v>
      </c>
      <c r="F516" s="59" t="s">
        <v>2968</v>
      </c>
      <c r="G516" s="76" t="str">
        <f t="shared" si="79"/>
        <v>cheat gfi PrimalItemArmor_RaptorSaddle_Alpha_C 1 100 0</v>
      </c>
      <c r="H516" s="59" t="s">
        <v>2969</v>
      </c>
      <c r="I516" s="46" t="str">
        <f t="shared" si="80"/>
        <v>EngramEntry_RaptorSaddle_Alpha_C</v>
      </c>
      <c r="J516" s="76" t="str">
        <f t="shared" si="81"/>
        <v>OverrideNamedEngramEntries=(EngramEntry_RaptorSaddle_Alpha_C,EngramHidden=true)</v>
      </c>
      <c r="K516" s="1"/>
    </row>
    <row r="517">
      <c r="A517" s="7"/>
      <c r="B517" s="7"/>
      <c r="C517" s="77">
        <v>18.0</v>
      </c>
      <c r="D517" s="61" t="str">
        <f t="shared" si="90"/>
        <v>PrimalItemArmor_RaptorSaddle</v>
      </c>
      <c r="E517" s="62" t="s">
        <v>2970</v>
      </c>
      <c r="F517" s="62" t="s">
        <v>2971</v>
      </c>
      <c r="G517" s="78" t="str">
        <f t="shared" si="79"/>
        <v>cheat gfi PrimalItemArmor_RaptorSaddle_Apex_C 1 100 0</v>
      </c>
      <c r="H517" s="62" t="s">
        <v>2972</v>
      </c>
      <c r="I517" s="45" t="str">
        <f t="shared" si="80"/>
        <v>EngramEntry_RaptorSaddle_Apex_C</v>
      </c>
      <c r="J517" s="78" t="str">
        <f t="shared" si="81"/>
        <v>OverrideNamedEngramEntries=(EngramEntry_RaptorSaddle_Apex_C,EngramHidden=true)</v>
      </c>
      <c r="K517" s="1"/>
    </row>
    <row r="518">
      <c r="A518" s="7"/>
      <c r="B518" s="7"/>
      <c r="C518" s="75">
        <v>18.0</v>
      </c>
      <c r="D518" s="58" t="str">
        <f t="shared" si="90"/>
        <v>PrimalItemArmor_RaptorSaddle</v>
      </c>
      <c r="E518" s="59" t="s">
        <v>2973</v>
      </c>
      <c r="F518" s="59" t="s">
        <v>2974</v>
      </c>
      <c r="G518" s="76" t="str">
        <f t="shared" si="79"/>
        <v>cheat gfi PrimalItemArmor_RaptorSaddle_Storm_C 1 100 0</v>
      </c>
      <c r="H518" s="59" t="s">
        <v>2975</v>
      </c>
      <c r="I518" s="46" t="str">
        <f t="shared" si="80"/>
        <v>EngramEntry_RaptorSaddle_Storm_C</v>
      </c>
      <c r="J518" s="76" t="str">
        <f t="shared" si="81"/>
        <v>OverrideNamedEngramEntries=(EngramEntry_RaptorSaddle_Storm_C,EngramHidden=true)</v>
      </c>
      <c r="K518" s="1"/>
    </row>
    <row r="519">
      <c r="A519" s="7"/>
      <c r="B519" s="7"/>
      <c r="C519" s="77">
        <v>18.0</v>
      </c>
      <c r="D519" s="61" t="str">
        <f t="shared" si="90"/>
        <v>PrimalItemArmor_RaptorSaddle</v>
      </c>
      <c r="E519" s="62" t="s">
        <v>2976</v>
      </c>
      <c r="F519" s="62" t="s">
        <v>2977</v>
      </c>
      <c r="G519" s="78" t="str">
        <f t="shared" si="79"/>
        <v>cheat gfi PrimalItemArmor_RaptorSaddle_Volcanic_C 1 100 0</v>
      </c>
      <c r="H519" s="62" t="s">
        <v>2978</v>
      </c>
      <c r="I519" s="45" t="str">
        <f t="shared" si="80"/>
        <v>EngramEntry_RaptorSaddle_Volcanic_C</v>
      </c>
      <c r="J519" s="78" t="str">
        <f t="shared" si="81"/>
        <v>OverrideNamedEngramEntries=(EngramEntry_RaptorSaddle_Volcanic_C,EngramHidden=true)</v>
      </c>
      <c r="K519" s="1"/>
    </row>
    <row r="520">
      <c r="A520" s="7"/>
      <c r="B520" s="7"/>
      <c r="C520" s="75">
        <v>18.0</v>
      </c>
      <c r="D520" s="58" t="str">
        <f t="shared" si="90"/>
        <v>PrimalItemSaddle</v>
      </c>
      <c r="E520" s="59" t="s">
        <v>2979</v>
      </c>
      <c r="F520" s="59" t="s">
        <v>2980</v>
      </c>
      <c r="G520" s="76" t="str">
        <f t="shared" si="79"/>
        <v>cheat gfi PrimalItemSaddle_Rex_Bionic_C 1 100 0</v>
      </c>
      <c r="H520" s="59" t="s">
        <v>2981</v>
      </c>
      <c r="I520" s="46" t="str">
        <f t="shared" si="80"/>
        <v>EngramEntry_Rex_Bionic_C</v>
      </c>
      <c r="J520" s="76" t="str">
        <f t="shared" si="81"/>
        <v>OverrideNamedEngramEntries=(EngramEntry_Rex_Bionic_C,EngramHidden=true)</v>
      </c>
      <c r="K520" s="1"/>
    </row>
    <row r="521">
      <c r="A521" s="7"/>
      <c r="B521" s="7"/>
      <c r="C521" s="77">
        <v>18.0</v>
      </c>
      <c r="D521" s="61" t="str">
        <f t="shared" si="90"/>
        <v>PrimalItemArmor_RexSaddle</v>
      </c>
      <c r="E521" s="62" t="s">
        <v>2982</v>
      </c>
      <c r="F521" s="62" t="s">
        <v>2983</v>
      </c>
      <c r="G521" s="78" t="str">
        <f t="shared" si="79"/>
        <v>cheat gfi PrimalItemArmor_RexSaddle_Alpha_C 1 100 0</v>
      </c>
      <c r="H521" s="62" t="s">
        <v>2984</v>
      </c>
      <c r="I521" s="45" t="str">
        <f t="shared" si="80"/>
        <v>EngramEntry_RexSaddle_Alpha_C</v>
      </c>
      <c r="J521" s="78" t="str">
        <f t="shared" si="81"/>
        <v>OverrideNamedEngramEntries=(EngramEntry_RexSaddle_Alpha_C,EngramHidden=true)</v>
      </c>
      <c r="K521" s="1"/>
    </row>
    <row r="522">
      <c r="A522" s="7"/>
      <c r="B522" s="7"/>
      <c r="C522" s="75">
        <v>18.0</v>
      </c>
      <c r="D522" s="58" t="str">
        <f t="shared" si="90"/>
        <v>PrimalItemArmor_RexSaddle</v>
      </c>
      <c r="E522" s="59" t="s">
        <v>2985</v>
      </c>
      <c r="F522" s="59" t="s">
        <v>2986</v>
      </c>
      <c r="G522" s="76" t="str">
        <f t="shared" si="79"/>
        <v>cheat gfi PrimalItemArmor_RexSaddle_Apex_C 1 100 0</v>
      </c>
      <c r="H522" s="59" t="s">
        <v>2987</v>
      </c>
      <c r="I522" s="46" t="str">
        <f t="shared" si="80"/>
        <v>EngramEntry_RexSaddle_Apex_C</v>
      </c>
      <c r="J522" s="76" t="str">
        <f t="shared" si="81"/>
        <v>OverrideNamedEngramEntries=(EngramEntry_RexSaddle_Apex_C,EngramHidden=true)</v>
      </c>
      <c r="K522" s="1"/>
    </row>
    <row r="523">
      <c r="A523" s="7"/>
      <c r="B523" s="7"/>
      <c r="C523" s="77">
        <v>18.0</v>
      </c>
      <c r="D523" s="61" t="str">
        <f t="shared" si="90"/>
        <v>PrimalItemArmor_RexSaddle</v>
      </c>
      <c r="E523" s="62" t="s">
        <v>2988</v>
      </c>
      <c r="F523" s="62" t="s">
        <v>2989</v>
      </c>
      <c r="G523" s="78" t="str">
        <f t="shared" si="79"/>
        <v>cheat gfi PrimalItemArmor_RexSaddle_Hydro_C 1 100 0</v>
      </c>
      <c r="H523" s="62" t="s">
        <v>2990</v>
      </c>
      <c r="I523" s="45" t="str">
        <f t="shared" si="80"/>
        <v>EngramEntry_RexSaddle_Hydro_C</v>
      </c>
      <c r="J523" s="78" t="str">
        <f t="shared" si="81"/>
        <v>OverrideNamedEngramEntries=(EngramEntry_RexSaddle_Hydro_C,EngramHidden=true)</v>
      </c>
      <c r="K523" s="1"/>
    </row>
    <row r="524">
      <c r="A524" s="7"/>
      <c r="B524" s="7"/>
      <c r="C524" s="75">
        <v>18.0</v>
      </c>
      <c r="D524" s="58" t="str">
        <f t="shared" si="90"/>
        <v>PrimalItemArmor_RexSaddle</v>
      </c>
      <c r="E524" s="59" t="s">
        <v>2991</v>
      </c>
      <c r="F524" s="59" t="s">
        <v>2992</v>
      </c>
      <c r="G524" s="76" t="str">
        <f t="shared" si="79"/>
        <v>cheat gfi PrimalItemArmor_RexSaddle_Storm_C 1 100 0</v>
      </c>
      <c r="H524" s="59" t="s">
        <v>2993</v>
      </c>
      <c r="I524" s="46" t="str">
        <f t="shared" si="80"/>
        <v>EngramEntry_RexSaddle_Storm_C</v>
      </c>
      <c r="J524" s="76" t="str">
        <f t="shared" si="81"/>
        <v>OverrideNamedEngramEntries=(EngramEntry_RexSaddle_Storm_C,EngramHidden=true)</v>
      </c>
      <c r="K524" s="1"/>
    </row>
    <row r="525">
      <c r="A525" s="7"/>
      <c r="B525" s="7"/>
      <c r="C525" s="77">
        <v>18.0</v>
      </c>
      <c r="D525" s="61" t="str">
        <f t="shared" si="90"/>
        <v>PrimalItemArmor_RexSaddle</v>
      </c>
      <c r="E525" s="62" t="s">
        <v>2994</v>
      </c>
      <c r="F525" s="62" t="s">
        <v>2995</v>
      </c>
      <c r="G525" s="78" t="str">
        <f t="shared" si="79"/>
        <v>cheat gfi PrimalItemArmor_RexSaddle_Volcanic_C 1 100 0</v>
      </c>
      <c r="H525" s="62" t="s">
        <v>2996</v>
      </c>
      <c r="I525" s="45" t="str">
        <f t="shared" si="80"/>
        <v>EngramEntry_RexSaddle_Volcanic_C</v>
      </c>
      <c r="J525" s="78" t="str">
        <f>"OverrideNamedEngramEntries=("&amp;I496&amp;",EngramHidden=true)"</f>
        <v>OverrideNamedEngramEntries=(EngramEntry_Pegomastax_Apex_C,EngramHidden=true)</v>
      </c>
      <c r="K525" s="1"/>
    </row>
    <row r="526">
      <c r="A526" s="7"/>
      <c r="B526" s="7"/>
      <c r="C526" s="75">
        <v>18.0</v>
      </c>
      <c r="D526" s="58" t="str">
        <f t="shared" si="90"/>
        <v>PrimalItemArmor_RhinoSaddle</v>
      </c>
      <c r="E526" s="59" t="s">
        <v>2997</v>
      </c>
      <c r="F526" s="59" t="s">
        <v>2998</v>
      </c>
      <c r="G526" s="76" t="str">
        <f t="shared" si="79"/>
        <v>cheat gfi PrimalItemArmor_RhinoSaddle_Alpha_C 1 100 0</v>
      </c>
      <c r="H526" s="59" t="s">
        <v>2999</v>
      </c>
      <c r="I526" s="46" t="str">
        <f t="shared" si="80"/>
        <v>EngramEntry_RhinoSaddle_Alpha_C</v>
      </c>
      <c r="J526" s="76" t="str">
        <f t="shared" ref="J526:J614" si="91">"OverrideNamedEngramEntries=("&amp;I526&amp;",EngramHidden=true)"</f>
        <v>OverrideNamedEngramEntries=(EngramEntry_RhinoSaddle_Alpha_C,EngramHidden=true)</v>
      </c>
      <c r="K526" s="1"/>
    </row>
    <row r="527">
      <c r="A527" s="7"/>
      <c r="B527" s="7"/>
      <c r="C527" s="77">
        <v>18.0</v>
      </c>
      <c r="D527" s="61" t="str">
        <f t="shared" si="90"/>
        <v>PrimalItemArmor_RhinoSaddle</v>
      </c>
      <c r="E527" s="62" t="s">
        <v>3000</v>
      </c>
      <c r="F527" s="62" t="s">
        <v>3001</v>
      </c>
      <c r="G527" s="78" t="str">
        <f t="shared" si="79"/>
        <v>cheat gfi PrimalItemArmor_RhinoSaddle_Apex_C 1 100 0</v>
      </c>
      <c r="H527" s="62" t="s">
        <v>3002</v>
      </c>
      <c r="I527" s="45" t="str">
        <f t="shared" si="80"/>
        <v>EngramEntry_RhinoSaddle_Apex_C</v>
      </c>
      <c r="J527" s="78" t="str">
        <f t="shared" si="91"/>
        <v>OverrideNamedEngramEntries=(EngramEntry_RhinoSaddle_Apex_C,EngramHidden=true)</v>
      </c>
      <c r="K527" s="1"/>
    </row>
    <row r="528">
      <c r="A528" s="7"/>
      <c r="B528" s="7"/>
      <c r="C528" s="75">
        <v>18.0</v>
      </c>
      <c r="D528" s="58" t="str">
        <f t="shared" si="90"/>
        <v>PrimalItemArmor_RhynioSaddle</v>
      </c>
      <c r="E528" s="59" t="s">
        <v>3003</v>
      </c>
      <c r="F528" s="59" t="s">
        <v>3004</v>
      </c>
      <c r="G528" s="76" t="str">
        <f t="shared" si="79"/>
        <v>cheat gfi PrimalItemArmor_RhynioSaddle_Alpha_C 1 100 0</v>
      </c>
      <c r="H528" s="59" t="s">
        <v>3005</v>
      </c>
      <c r="I528" s="46" t="str">
        <f t="shared" si="80"/>
        <v>EngramEntry_RhynioSaddle_Alpha_C</v>
      </c>
      <c r="J528" s="76" t="str">
        <f t="shared" si="91"/>
        <v>OverrideNamedEngramEntries=(EngramEntry_RhynioSaddle_Alpha_C,EngramHidden=true)</v>
      </c>
      <c r="K528" s="1"/>
    </row>
    <row r="529">
      <c r="A529" s="7"/>
      <c r="B529" s="7"/>
      <c r="C529" s="77">
        <v>18.0</v>
      </c>
      <c r="D529" s="61" t="str">
        <f t="shared" si="90"/>
        <v>PrimalItemArmor_RhynioSaddle</v>
      </c>
      <c r="E529" s="62" t="s">
        <v>3006</v>
      </c>
      <c r="F529" s="62" t="s">
        <v>3007</v>
      </c>
      <c r="G529" s="78" t="str">
        <f t="shared" si="79"/>
        <v>cheat gfi PrimalItemArmor_RhynioSaddle_Apex_C 1 100 0</v>
      </c>
      <c r="H529" s="62" t="s">
        <v>3008</v>
      </c>
      <c r="I529" s="45" t="str">
        <f t="shared" si="80"/>
        <v>EngramEntry_RhynioSaddle_Apex_C</v>
      </c>
      <c r="J529" s="78" t="str">
        <f t="shared" si="91"/>
        <v>OverrideNamedEngramEntries=(EngramEntry_RhynioSaddle_Apex_C,EngramHidden=true)</v>
      </c>
      <c r="K529" s="1"/>
    </row>
    <row r="530">
      <c r="A530" s="7"/>
      <c r="B530" s="7"/>
      <c r="C530" s="75">
        <v>18.0</v>
      </c>
      <c r="D530" s="58" t="str">
        <f t="shared" si="90"/>
        <v>PrimalItemArmor_RockGolemSaddle</v>
      </c>
      <c r="E530" s="59" t="s">
        <v>3009</v>
      </c>
      <c r="F530" s="59" t="s">
        <v>3010</v>
      </c>
      <c r="G530" s="76" t="str">
        <f t="shared" si="79"/>
        <v>cheat gfi PrimalItemArmor_RockGolemSaddle_Demonic_C 1 100 0</v>
      </c>
      <c r="H530" s="59" t="s">
        <v>3011</v>
      </c>
      <c r="I530" s="46" t="str">
        <f t="shared" si="80"/>
        <v>EngramEntry_RockGolemSaddle_Demonic_C</v>
      </c>
      <c r="J530" s="76" t="str">
        <f t="shared" si="91"/>
        <v>OverrideNamedEngramEntries=(EngramEntry_RockGolemSaddle_Demonic_C,EngramHidden=true)</v>
      </c>
      <c r="K530" s="1"/>
    </row>
    <row r="531">
      <c r="A531" s="7"/>
      <c r="B531" s="7"/>
      <c r="C531" s="77">
        <v>18.0</v>
      </c>
      <c r="D531" s="61" t="str">
        <f t="shared" si="90"/>
        <v>PrimalItemArmor_SaberSaddle</v>
      </c>
      <c r="E531" s="62" t="s">
        <v>3012</v>
      </c>
      <c r="F531" s="62" t="s">
        <v>3013</v>
      </c>
      <c r="G531" s="78" t="str">
        <f t="shared" si="79"/>
        <v>cheat gfi PrimalItemArmor_SaberSaddle_Alpha_C 1 100 0</v>
      </c>
      <c r="H531" s="62" t="s">
        <v>3014</v>
      </c>
      <c r="I531" s="45" t="str">
        <f t="shared" si="80"/>
        <v>EngramEntry_SaberSaddle_Alpha_C</v>
      </c>
      <c r="J531" s="78" t="str">
        <f t="shared" si="91"/>
        <v>OverrideNamedEngramEntries=(EngramEntry_SaberSaddle_Alpha_C,EngramHidden=true)</v>
      </c>
      <c r="K531" s="1"/>
    </row>
    <row r="532">
      <c r="A532" s="7"/>
      <c r="B532" s="7"/>
      <c r="C532" s="75">
        <v>18.0</v>
      </c>
      <c r="D532" s="58" t="str">
        <f t="shared" si="90"/>
        <v>PrimalItemArmor_SaberSaddle</v>
      </c>
      <c r="E532" s="59" t="s">
        <v>3015</v>
      </c>
      <c r="F532" s="59" t="s">
        <v>3016</v>
      </c>
      <c r="G532" s="76" t="str">
        <f t="shared" si="79"/>
        <v>cheat gfi PrimalItemArmor_SaberSaddle_Apex_C 1 100 0</v>
      </c>
      <c r="H532" s="59" t="s">
        <v>3017</v>
      </c>
      <c r="I532" s="46" t="str">
        <f t="shared" si="80"/>
        <v>EngramEntry_SaberSaddle_Apex_C</v>
      </c>
      <c r="J532" s="76" t="str">
        <f t="shared" si="91"/>
        <v>OverrideNamedEngramEntries=(EngramEntry_SaberSaddle_Apex_C,EngramHidden=true)</v>
      </c>
      <c r="K532" s="1"/>
    </row>
    <row r="533">
      <c r="A533" s="7"/>
      <c r="B533" s="7"/>
      <c r="C533" s="77">
        <v>18.0</v>
      </c>
      <c r="D533" s="61" t="str">
        <f t="shared" si="90"/>
        <v>PrimalItemArmor_SaberSaddle</v>
      </c>
      <c r="E533" s="62" t="s">
        <v>3018</v>
      </c>
      <c r="F533" s="62" t="s">
        <v>3019</v>
      </c>
      <c r="G533" s="78" t="str">
        <f t="shared" si="79"/>
        <v>cheat gfi PrimalItemArmor_SaberSaddle_Storm_C 1 100 0</v>
      </c>
      <c r="H533" s="62" t="s">
        <v>3020</v>
      </c>
      <c r="I533" s="45" t="str">
        <f t="shared" si="80"/>
        <v>EngramEntry_SaberSaddle_Storm_C</v>
      </c>
      <c r="J533" s="78" t="str">
        <f t="shared" si="91"/>
        <v>OverrideNamedEngramEntries=(EngramEntry_SaberSaddle_Storm_C,EngramHidden=true)</v>
      </c>
      <c r="K533" s="1"/>
    </row>
    <row r="534">
      <c r="A534" s="7"/>
      <c r="B534" s="7"/>
      <c r="C534" s="75">
        <v>18.0</v>
      </c>
      <c r="D534" s="58" t="str">
        <f t="shared" si="90"/>
        <v>PrimalItemSaddle</v>
      </c>
      <c r="E534" s="59" t="s">
        <v>3021</v>
      </c>
      <c r="F534" s="59" t="s">
        <v>3022</v>
      </c>
      <c r="G534" s="76" t="str">
        <f t="shared" si="79"/>
        <v>cheat gfi PrimalItemSaddle_Salmon_Atlantic_C 1 100 0</v>
      </c>
      <c r="H534" s="59" t="s">
        <v>3023</v>
      </c>
      <c r="I534" s="46" t="str">
        <f t="shared" si="80"/>
        <v>EngramEntry_Salmon_Atlantic_C</v>
      </c>
      <c r="J534" s="76" t="str">
        <f t="shared" si="91"/>
        <v>OverrideNamedEngramEntries=(EngramEntry_Salmon_Atlantic_C,EngramHidden=true)</v>
      </c>
      <c r="K534" s="1"/>
    </row>
    <row r="535">
      <c r="A535" s="7"/>
      <c r="B535" s="7"/>
      <c r="C535" s="77">
        <v>18.0</v>
      </c>
      <c r="D535" s="61" t="str">
        <f t="shared" si="90"/>
        <v>PrimalItemSaddle</v>
      </c>
      <c r="E535" s="62" t="s">
        <v>3024</v>
      </c>
      <c r="F535" s="62" t="s">
        <v>3025</v>
      </c>
      <c r="G535" s="78" t="str">
        <f t="shared" si="79"/>
        <v>cheat gfi PrimalItemSaddle_Salmon_Pacific_C 1 100 0</v>
      </c>
      <c r="H535" s="62" t="s">
        <v>3026</v>
      </c>
      <c r="I535" s="45" t="str">
        <f t="shared" si="80"/>
        <v>EngramEntry_Salmon_Pacific_C</v>
      </c>
      <c r="J535" s="78" t="str">
        <f t="shared" si="91"/>
        <v>OverrideNamedEngramEntries=(EngramEntry_Salmon_Pacific_C,EngramHidden=true)</v>
      </c>
      <c r="K535" s="1"/>
    </row>
    <row r="536">
      <c r="A536" s="7"/>
      <c r="B536" s="7"/>
      <c r="C536" s="75">
        <v>18.0</v>
      </c>
      <c r="D536" s="58" t="str">
        <f t="shared" si="90"/>
        <v>PrimalItemArmor_SarcoSaddle</v>
      </c>
      <c r="E536" s="59" t="s">
        <v>3027</v>
      </c>
      <c r="F536" s="59" t="s">
        <v>3028</v>
      </c>
      <c r="G536" s="76" t="str">
        <f t="shared" si="79"/>
        <v>cheat gfi PrimalItemArmor_SarcoSaddle_Alpha_C 1 100 0</v>
      </c>
      <c r="H536" s="59" t="s">
        <v>3029</v>
      </c>
      <c r="I536" s="46" t="str">
        <f t="shared" si="80"/>
        <v>EngramEntry_SarcoSaddle_Alpha_C</v>
      </c>
      <c r="J536" s="76" t="str">
        <f t="shared" si="91"/>
        <v>OverrideNamedEngramEntries=(EngramEntry_SarcoSaddle_Alpha_C,EngramHidden=true)</v>
      </c>
      <c r="K536" s="1"/>
    </row>
    <row r="537">
      <c r="A537" s="7"/>
      <c r="B537" s="7"/>
      <c r="C537" s="77">
        <v>18.0</v>
      </c>
      <c r="D537" s="61" t="str">
        <f t="shared" si="90"/>
        <v>PrimalItemArmor_SarcoSaddle</v>
      </c>
      <c r="E537" s="62" t="s">
        <v>3030</v>
      </c>
      <c r="F537" s="62" t="s">
        <v>3031</v>
      </c>
      <c r="G537" s="78" t="str">
        <f t="shared" si="79"/>
        <v>cheat gfi PrimalItemArmor_SarcoSaddle_Apex_C 1 100 0</v>
      </c>
      <c r="H537" s="62" t="s">
        <v>3032</v>
      </c>
      <c r="I537" s="45" t="str">
        <f t="shared" si="80"/>
        <v>EngramEntry_SarcoSaddle_Apex_C</v>
      </c>
      <c r="J537" s="78" t="str">
        <f t="shared" si="91"/>
        <v>OverrideNamedEngramEntries=(EngramEntry_SarcoSaddle_Apex_C,EngramHidden=true)</v>
      </c>
      <c r="K537" s="1"/>
    </row>
    <row r="538">
      <c r="A538" s="7"/>
      <c r="B538" s="7"/>
      <c r="C538" s="75">
        <v>18.0</v>
      </c>
      <c r="D538" s="58" t="str">
        <f t="shared" si="90"/>
        <v>PrimalItemArmor_SarcoSaddle</v>
      </c>
      <c r="E538" s="59" t="s">
        <v>3033</v>
      </c>
      <c r="F538" s="59" t="s">
        <v>3034</v>
      </c>
      <c r="G538" s="76" t="str">
        <f t="shared" si="79"/>
        <v>cheat gfi PrimalItemArmor_SarcoSaddle_Atlantic_C 1 100 0</v>
      </c>
      <c r="H538" s="59" t="s">
        <v>3035</v>
      </c>
      <c r="I538" s="46" t="str">
        <f t="shared" si="80"/>
        <v>EngramEntry_SarcoSaddle_Atlantic_C</v>
      </c>
      <c r="J538" s="76" t="str">
        <f t="shared" si="91"/>
        <v>OverrideNamedEngramEntries=(EngramEntry_SarcoSaddle_Atlantic_C,EngramHidden=true)</v>
      </c>
      <c r="K538" s="1"/>
    </row>
    <row r="539">
      <c r="A539" s="7"/>
      <c r="B539" s="7"/>
      <c r="C539" s="77">
        <v>18.0</v>
      </c>
      <c r="D539" s="61" t="str">
        <f t="shared" si="90"/>
        <v>PrimalItemArmor_SarcoSaddle</v>
      </c>
      <c r="E539" s="62" t="s">
        <v>3036</v>
      </c>
      <c r="F539" s="62" t="s">
        <v>3037</v>
      </c>
      <c r="G539" s="78" t="str">
        <f t="shared" si="79"/>
        <v>cheat gfi PrimalItemArmor_SarcoSaddle_Hydro_C 1 100 0</v>
      </c>
      <c r="H539" s="62" t="s">
        <v>3038</v>
      </c>
      <c r="I539" s="45" t="str">
        <f t="shared" si="80"/>
        <v>EngramEntry_SarcoSaddle_Hydro_C</v>
      </c>
      <c r="J539" s="78" t="str">
        <f t="shared" si="91"/>
        <v>OverrideNamedEngramEntries=(EngramEntry_SarcoSaddle_Hydro_C,EngramHidden=true)</v>
      </c>
      <c r="K539" s="1"/>
    </row>
    <row r="540">
      <c r="A540" s="7"/>
      <c r="B540" s="7"/>
      <c r="C540" s="75">
        <v>18.0</v>
      </c>
      <c r="D540" s="58" t="str">
        <f t="shared" si="90"/>
        <v>PrimalItemArmor_SarcoSaddle</v>
      </c>
      <c r="E540" s="59" t="s">
        <v>3039</v>
      </c>
      <c r="F540" s="59" t="s">
        <v>3040</v>
      </c>
      <c r="G540" s="76" t="str">
        <f t="shared" si="79"/>
        <v>cheat gfi PrimalItemArmor_SarcoSaddle_Pacific_C 1 100 0</v>
      </c>
      <c r="H540" s="59" t="s">
        <v>3041</v>
      </c>
      <c r="I540" s="46" t="str">
        <f t="shared" si="80"/>
        <v>EngramEntry_SarcoSaddle_Pacific_C</v>
      </c>
      <c r="J540" s="76" t="str">
        <f t="shared" si="91"/>
        <v>OverrideNamedEngramEntries=(EngramEntry_SarcoSaddle_Pacific_C,EngramHidden=true)</v>
      </c>
      <c r="K540" s="1"/>
    </row>
    <row r="541">
      <c r="A541" s="7"/>
      <c r="B541" s="7"/>
      <c r="C541" s="77">
        <v>18.0</v>
      </c>
      <c r="D541" s="61" t="str">
        <f t="shared" si="90"/>
        <v>PrimalItemArmor_SauroSaddle</v>
      </c>
      <c r="E541" s="62" t="s">
        <v>3042</v>
      </c>
      <c r="F541" s="62" t="s">
        <v>3043</v>
      </c>
      <c r="G541" s="78" t="str">
        <f t="shared" si="79"/>
        <v>cheat gfi PrimalItemArmor_SauroSaddle_Alpha_C 1 100 0</v>
      </c>
      <c r="H541" s="62" t="s">
        <v>3044</v>
      </c>
      <c r="I541" s="45" t="str">
        <f t="shared" si="80"/>
        <v>EngramEntry_SauroSaddle_Alpha_C</v>
      </c>
      <c r="J541" s="78" t="str">
        <f t="shared" si="91"/>
        <v>OverrideNamedEngramEntries=(EngramEntry_SauroSaddle_Alpha_C,EngramHidden=true)</v>
      </c>
      <c r="K541" s="1"/>
    </row>
    <row r="542">
      <c r="A542" s="7"/>
      <c r="B542" s="7"/>
      <c r="C542" s="75">
        <v>18.0</v>
      </c>
      <c r="D542" s="58" t="str">
        <f t="shared" si="90"/>
        <v>PrimalItemArmor_SauroSaddle</v>
      </c>
      <c r="E542" s="59" t="s">
        <v>3045</v>
      </c>
      <c r="F542" s="59" t="s">
        <v>3046</v>
      </c>
      <c r="G542" s="76" t="str">
        <f t="shared" si="79"/>
        <v>cheat gfi PrimalItemArmor_SauroSaddle_Apex_C 1 100 0</v>
      </c>
      <c r="H542" s="59" t="s">
        <v>3047</v>
      </c>
      <c r="I542" s="46" t="str">
        <f t="shared" si="80"/>
        <v>EngramEntry_SauroSaddle_Apex_C</v>
      </c>
      <c r="J542" s="76" t="str">
        <f t="shared" si="91"/>
        <v>OverrideNamedEngramEntries=(EngramEntry_SauroSaddle_Apex_C,EngramHidden=true)</v>
      </c>
      <c r="K542" s="1"/>
    </row>
    <row r="543">
      <c r="A543" s="7"/>
      <c r="B543" s="7"/>
      <c r="C543" s="77">
        <v>18.0</v>
      </c>
      <c r="D543" s="61" t="str">
        <f t="shared" si="90"/>
        <v>PrimalItemArmor_SauroSaddle</v>
      </c>
      <c r="E543" s="62" t="s">
        <v>3048</v>
      </c>
      <c r="F543" s="62" t="s">
        <v>3049</v>
      </c>
      <c r="G543" s="78" t="str">
        <f t="shared" si="79"/>
        <v>cheat gfi PrimalItemArmor_SauroSaddle_Earth_C 1 100 0</v>
      </c>
      <c r="H543" s="62" t="s">
        <v>3050</v>
      </c>
      <c r="I543" s="45" t="str">
        <f t="shared" si="80"/>
        <v>EngramEntry_SauroSaddle_Earth_C</v>
      </c>
      <c r="J543" s="78" t="str">
        <f t="shared" si="91"/>
        <v>OverrideNamedEngramEntries=(EngramEntry_SauroSaddle_Earth_C,EngramHidden=true)</v>
      </c>
      <c r="K543" s="1"/>
    </row>
    <row r="544">
      <c r="A544" s="7"/>
      <c r="B544" s="7"/>
      <c r="C544" s="75">
        <v>18.0</v>
      </c>
      <c r="D544" s="58" t="str">
        <f t="shared" si="90"/>
        <v>PrimalItemArmor_ScorpionSaddle</v>
      </c>
      <c r="E544" s="59" t="s">
        <v>3051</v>
      </c>
      <c r="F544" s="59" t="s">
        <v>3052</v>
      </c>
      <c r="G544" s="76" t="str">
        <f t="shared" si="79"/>
        <v>cheat gfi PrimalItemArmor_ScorpionSaddle_Alpha_C 1 100 0</v>
      </c>
      <c r="H544" s="59" t="s">
        <v>3053</v>
      </c>
      <c r="I544" s="46" t="str">
        <f t="shared" si="80"/>
        <v>EngramEntry_ScorpionSaddle_Alpha_C</v>
      </c>
      <c r="J544" s="76" t="str">
        <f t="shared" si="91"/>
        <v>OverrideNamedEngramEntries=(EngramEntry_ScorpionSaddle_Alpha_C,EngramHidden=true)</v>
      </c>
      <c r="K544" s="1"/>
    </row>
    <row r="545">
      <c r="A545" s="7"/>
      <c r="B545" s="7"/>
      <c r="C545" s="77">
        <v>18.0</v>
      </c>
      <c r="D545" s="61" t="str">
        <f t="shared" si="90"/>
        <v>PrimalItemArmor_ScorpionSaddle</v>
      </c>
      <c r="E545" s="62" t="s">
        <v>3054</v>
      </c>
      <c r="F545" s="62" t="s">
        <v>3055</v>
      </c>
      <c r="G545" s="78" t="str">
        <f t="shared" si="79"/>
        <v>cheat gfi PrimalItemArmor_ScorpionSaddle_Apex_C 1 100 0</v>
      </c>
      <c r="H545" s="62" t="s">
        <v>3056</v>
      </c>
      <c r="I545" s="45" t="str">
        <f t="shared" si="80"/>
        <v>EngramEntry_ScorpionSaddle_Apex_C</v>
      </c>
      <c r="J545" s="78" t="str">
        <f t="shared" si="91"/>
        <v>OverrideNamedEngramEntries=(EngramEntry_ScorpionSaddle_Apex_C,EngramHidden=true)</v>
      </c>
      <c r="K545" s="1"/>
    </row>
    <row r="546">
      <c r="A546" s="7"/>
      <c r="B546" s="7"/>
      <c r="C546" s="75">
        <v>18.0</v>
      </c>
      <c r="D546" s="58" t="str">
        <f t="shared" si="90"/>
        <v>PrimalItemArmor_ShastaSaddle</v>
      </c>
      <c r="E546" s="59" t="s">
        <v>3057</v>
      </c>
      <c r="F546" s="59" t="s">
        <v>3058</v>
      </c>
      <c r="G546" s="76" t="str">
        <f t="shared" si="79"/>
        <v>cheat gfi PrimalItemArmor_ShastaSaddle_Submarine_Atlantic_C 1 100 0</v>
      </c>
      <c r="H546" s="59" t="s">
        <v>3059</v>
      </c>
      <c r="I546" s="46" t="str">
        <f t="shared" si="80"/>
        <v>EngramEntry_ShastaSaddle_Submarine_Atlantic_C</v>
      </c>
      <c r="J546" s="76" t="str">
        <f t="shared" si="91"/>
        <v>OverrideNamedEngramEntries=(EngramEntry_ShastaSaddle_Submarine_Atlantic_C,EngramHidden=true)</v>
      </c>
      <c r="K546" s="1"/>
    </row>
    <row r="547">
      <c r="A547" s="7"/>
      <c r="B547" s="7"/>
      <c r="C547" s="77">
        <v>18.0</v>
      </c>
      <c r="D547" s="61" t="str">
        <f t="shared" si="90"/>
        <v>PrimalItemArmor_ShastaSaddle</v>
      </c>
      <c r="E547" s="62" t="s">
        <v>3060</v>
      </c>
      <c r="F547" s="62" t="s">
        <v>3061</v>
      </c>
      <c r="G547" s="78" t="str">
        <f t="shared" si="79"/>
        <v>cheat gfi PrimalItemArmor_ShastaSaddle_Submarine_Pacific_C 1 100 0</v>
      </c>
      <c r="H547" s="62" t="s">
        <v>3062</v>
      </c>
      <c r="I547" s="45" t="str">
        <f t="shared" si="80"/>
        <v>EngramEntry_ShastaSaddle_Submarine_Pacific_C</v>
      </c>
      <c r="J547" s="78" t="str">
        <f t="shared" si="91"/>
        <v>OverrideNamedEngramEntries=(EngramEntry_ShastaSaddle_Submarine_Pacific_C,EngramHidden=true)</v>
      </c>
      <c r="K547" s="1"/>
    </row>
    <row r="548">
      <c r="A548" s="7"/>
      <c r="B548" s="7"/>
      <c r="C548" s="75">
        <v>18.0</v>
      </c>
      <c r="D548" s="58" t="str">
        <f t="shared" si="90"/>
        <v>PrimalItemSaddle</v>
      </c>
      <c r="E548" s="59" t="s">
        <v>3063</v>
      </c>
      <c r="F548" s="59" t="s">
        <v>3064</v>
      </c>
      <c r="G548" s="76" t="str">
        <f t="shared" si="79"/>
        <v>cheat gfi PrimalItemSaddle_Snake_Alpha_C 1 100 0</v>
      </c>
      <c r="H548" s="59" t="s">
        <v>3065</v>
      </c>
      <c r="I548" s="46" t="str">
        <f t="shared" si="80"/>
        <v>EngramEntry_Snake_Alpha_C</v>
      </c>
      <c r="J548" s="76" t="str">
        <f t="shared" si="91"/>
        <v>OverrideNamedEngramEntries=(EngramEntry_Snake_Alpha_C,EngramHidden=true)</v>
      </c>
      <c r="K548" s="1"/>
    </row>
    <row r="549">
      <c r="A549" s="7"/>
      <c r="B549" s="7"/>
      <c r="C549" s="77">
        <v>18.0</v>
      </c>
      <c r="D549" s="61" t="str">
        <f t="shared" si="90"/>
        <v>PrimalItemSaddle</v>
      </c>
      <c r="E549" s="62" t="s">
        <v>3066</v>
      </c>
      <c r="F549" s="62" t="s">
        <v>3067</v>
      </c>
      <c r="G549" s="78" t="str">
        <f t="shared" si="79"/>
        <v>cheat gfi PrimalItemSaddle_Snake_Apex_C 1 100 0</v>
      </c>
      <c r="H549" s="62" t="s">
        <v>3068</v>
      </c>
      <c r="I549" s="45" t="str">
        <f t="shared" si="80"/>
        <v>EngramEntry_Snake_Apex_C</v>
      </c>
      <c r="J549" s="78" t="str">
        <f t="shared" si="91"/>
        <v>OverrideNamedEngramEntries=(EngramEntry_Snake_Apex_C,EngramHidden=true)</v>
      </c>
      <c r="K549" s="1"/>
    </row>
    <row r="550">
      <c r="A550" s="7"/>
      <c r="B550" s="7"/>
      <c r="C550" s="75">
        <v>18.0</v>
      </c>
      <c r="D550" s="58" t="str">
        <f t="shared" si="90"/>
        <v>PrimalItemArmor_SpiderSaddle</v>
      </c>
      <c r="E550" s="59" t="s">
        <v>3069</v>
      </c>
      <c r="F550" s="59" t="s">
        <v>3070</v>
      </c>
      <c r="G550" s="76" t="str">
        <f t="shared" si="79"/>
        <v>cheat gfi PrimalItemArmor_SpiderSaddle_Alpha_C 1 100 0</v>
      </c>
      <c r="H550" s="59" t="s">
        <v>3071</v>
      </c>
      <c r="I550" s="46" t="str">
        <f t="shared" si="80"/>
        <v>EngramEntry_SpiderSaddle_Alpha_C</v>
      </c>
      <c r="J550" s="76" t="str">
        <f t="shared" si="91"/>
        <v>OverrideNamedEngramEntries=(EngramEntry_SpiderSaddle_Alpha_C,EngramHidden=true)</v>
      </c>
      <c r="K550" s="1"/>
    </row>
    <row r="551">
      <c r="A551" s="7"/>
      <c r="B551" s="7"/>
      <c r="C551" s="77">
        <v>18.0</v>
      </c>
      <c r="D551" s="61" t="str">
        <f t="shared" si="90"/>
        <v>PrimalItemArmor_SpiderSaddle</v>
      </c>
      <c r="E551" s="62" t="s">
        <v>3072</v>
      </c>
      <c r="F551" s="62" t="s">
        <v>3073</v>
      </c>
      <c r="G551" s="78" t="str">
        <f t="shared" si="79"/>
        <v>cheat gfi PrimalItemArmor_SpiderSaddle_Apex_C 1 100 0</v>
      </c>
      <c r="H551" s="62" t="s">
        <v>3074</v>
      </c>
      <c r="I551" s="45" t="str">
        <f t="shared" si="80"/>
        <v>EngramEntry_SpiderSaddle_Apex_C</v>
      </c>
      <c r="J551" s="78" t="str">
        <f t="shared" si="91"/>
        <v>OverrideNamedEngramEntries=(EngramEntry_SpiderSaddle_Apex_C,EngramHidden=true)</v>
      </c>
      <c r="K551" s="1"/>
    </row>
    <row r="552">
      <c r="A552" s="7"/>
      <c r="B552" s="7"/>
      <c r="C552" s="75">
        <v>18.0</v>
      </c>
      <c r="D552" s="58" t="str">
        <f t="shared" si="90"/>
        <v>PrimalItemArmor_SpiderSaddle</v>
      </c>
      <c r="E552" s="59" t="s">
        <v>3075</v>
      </c>
      <c r="F552" s="59" t="s">
        <v>3076</v>
      </c>
      <c r="G552" s="76" t="str">
        <f t="shared" si="79"/>
        <v>cheat gfi PrimalItemArmor_SpiderSaddle_Storm_C 1 100 0</v>
      </c>
      <c r="H552" s="59" t="s">
        <v>3077</v>
      </c>
      <c r="I552" s="46" t="str">
        <f t="shared" si="80"/>
        <v>EngramEntry_SpiderSaddle_Storm_C</v>
      </c>
      <c r="J552" s="76" t="str">
        <f t="shared" si="91"/>
        <v>OverrideNamedEngramEntries=(EngramEntry_SpiderSaddle_Storm_C,EngramHidden=true)</v>
      </c>
      <c r="K552" s="1"/>
    </row>
    <row r="553">
      <c r="A553" s="7"/>
      <c r="B553" s="7"/>
      <c r="C553" s="77">
        <v>18.0</v>
      </c>
      <c r="D553" s="61" t="str">
        <f t="shared" si="90"/>
        <v>PrimalItemArmor_SpineCrocSaddle</v>
      </c>
      <c r="E553" s="62" t="s">
        <v>3078</v>
      </c>
      <c r="F553" s="62" t="s">
        <v>3079</v>
      </c>
      <c r="G553" s="78" t="str">
        <f t="shared" si="79"/>
        <v>cheat gfi PrimalItemArmor_SpineCrocSaddle_Atlantic_C 1 100 0</v>
      </c>
      <c r="H553" s="62" t="s">
        <v>3080</v>
      </c>
      <c r="I553" s="45" t="str">
        <f t="shared" si="80"/>
        <v>EngramEntry_SpineCrocSaddle_Atlantic_C</v>
      </c>
      <c r="J553" s="78" t="str">
        <f t="shared" si="91"/>
        <v>OverrideNamedEngramEntries=(EngramEntry_SpineCrocSaddle_Atlantic_C,EngramHidden=true)</v>
      </c>
      <c r="K553" s="1"/>
    </row>
    <row r="554">
      <c r="A554" s="7"/>
      <c r="B554" s="7"/>
      <c r="C554" s="75">
        <v>18.0</v>
      </c>
      <c r="D554" s="58" t="str">
        <f t="shared" si="90"/>
        <v>PrimalItemArmor_SpineCrocSaddle</v>
      </c>
      <c r="E554" s="59" t="s">
        <v>3081</v>
      </c>
      <c r="F554" s="59" t="s">
        <v>3082</v>
      </c>
      <c r="G554" s="76" t="str">
        <f t="shared" si="79"/>
        <v>cheat gfi PrimalItemArmor_SpineCrocSaddle_Pacific_C 1 100 0</v>
      </c>
      <c r="H554" s="59" t="s">
        <v>3083</v>
      </c>
      <c r="I554" s="46" t="str">
        <f t="shared" si="80"/>
        <v>EngramEntry_SpineCrocSaddle_Pacific_C</v>
      </c>
      <c r="J554" s="76" t="str">
        <f t="shared" si="91"/>
        <v>OverrideNamedEngramEntries=(EngramEntry_SpineCrocSaddle_Pacific_C,EngramHidden=true)</v>
      </c>
      <c r="K554" s="1"/>
    </row>
    <row r="555">
      <c r="A555" s="7"/>
      <c r="B555" s="7"/>
      <c r="C555" s="77"/>
      <c r="D555" s="61"/>
      <c r="E555" s="62" t="s">
        <v>3084</v>
      </c>
      <c r="F555" s="62" t="s">
        <v>3085</v>
      </c>
      <c r="G555" s="78" t="str">
        <f t="shared" si="79"/>
        <v>cheat gfi PrimalItemArmor_SpineyLizardSaddle_Celestial_C 1 100 0</v>
      </c>
      <c r="H555" s="62" t="s">
        <v>3086</v>
      </c>
      <c r="I555" s="45" t="str">
        <f t="shared" si="80"/>
        <v>EngramEntry_SpineyLizardSaddle_Celestial_C</v>
      </c>
      <c r="J555" s="78" t="str">
        <f t="shared" si="91"/>
        <v>OverrideNamedEngramEntries=(EngramEntry_SpineyLizardSaddle_Celestial_C,EngramHidden=true)</v>
      </c>
      <c r="K555" s="1"/>
    </row>
    <row r="556">
      <c r="A556" s="7"/>
      <c r="B556" s="7"/>
      <c r="C556" s="75">
        <v>18.0</v>
      </c>
      <c r="D556" s="58" t="str">
        <f t="shared" ref="D556:D579" si="92">Left(F556,find("Saddle",F556)+5)</f>
        <v>PrimalItemArmor_SpineyLizardSaddle</v>
      </c>
      <c r="E556" s="59" t="s">
        <v>3087</v>
      </c>
      <c r="F556" s="59" t="s">
        <v>3088</v>
      </c>
      <c r="G556" s="76" t="str">
        <f t="shared" si="79"/>
        <v>cheat gfi PrimalItemArmor_SpineyLizardSaddle_Volcanic_C 1 100 0</v>
      </c>
      <c r="H556" s="59" t="s">
        <v>3089</v>
      </c>
      <c r="I556" s="46" t="str">
        <f t="shared" si="80"/>
        <v>EngramEntry_SpineyLizardSaddle_Volcanic_C</v>
      </c>
      <c r="J556" s="76" t="str">
        <f t="shared" si="91"/>
        <v>OverrideNamedEngramEntries=(EngramEntry_SpineyLizardSaddle_Volcanic_C,EngramHidden=true)</v>
      </c>
      <c r="K556" s="1"/>
    </row>
    <row r="557">
      <c r="A557" s="7"/>
      <c r="B557" s="7"/>
      <c r="C557" s="77">
        <v>18.0</v>
      </c>
      <c r="D557" s="61" t="str">
        <f t="shared" si="92"/>
        <v>PrimalItemArmor_SpinoSaddle</v>
      </c>
      <c r="E557" s="62" t="s">
        <v>3090</v>
      </c>
      <c r="F557" s="62" t="s">
        <v>3091</v>
      </c>
      <c r="G557" s="78" t="str">
        <f t="shared" si="79"/>
        <v>cheat gfi PrimalItemArmor_SpinoSaddle_Alpha_C 1 100 0</v>
      </c>
      <c r="H557" s="62" t="s">
        <v>3092</v>
      </c>
      <c r="I557" s="45" t="str">
        <f t="shared" si="80"/>
        <v>EngramEntry_SpinoSaddle_Alpha_C</v>
      </c>
      <c r="J557" s="78" t="str">
        <f t="shared" si="91"/>
        <v>OverrideNamedEngramEntries=(EngramEntry_SpinoSaddle_Alpha_C,EngramHidden=true)</v>
      </c>
      <c r="K557" s="1"/>
    </row>
    <row r="558">
      <c r="A558" s="7"/>
      <c r="B558" s="7"/>
      <c r="C558" s="75">
        <v>18.0</v>
      </c>
      <c r="D558" s="58" t="str">
        <f t="shared" si="92"/>
        <v>PrimalItemArmor_SpinoSaddle</v>
      </c>
      <c r="E558" s="59" t="s">
        <v>3093</v>
      </c>
      <c r="F558" s="59" t="s">
        <v>3094</v>
      </c>
      <c r="G558" s="76" t="str">
        <f t="shared" si="79"/>
        <v>cheat gfi PrimalItemArmor_SpinoSaddle_Apex_C 1 100 0</v>
      </c>
      <c r="H558" s="59" t="s">
        <v>3095</v>
      </c>
      <c r="I558" s="46" t="str">
        <f t="shared" si="80"/>
        <v>EngramEntry_SpinoSaddle_Apex_C</v>
      </c>
      <c r="J558" s="76" t="str">
        <f t="shared" si="91"/>
        <v>OverrideNamedEngramEntries=(EngramEntry_SpinoSaddle_Apex_C,EngramHidden=true)</v>
      </c>
      <c r="K558" s="1"/>
    </row>
    <row r="559">
      <c r="A559" s="7"/>
      <c r="B559" s="7"/>
      <c r="C559" s="77">
        <v>18.0</v>
      </c>
      <c r="D559" s="61" t="str">
        <f t="shared" si="92"/>
        <v>PrimalItemArmor_SpinoSaddle</v>
      </c>
      <c r="E559" s="62" t="s">
        <v>3096</v>
      </c>
      <c r="F559" s="62" t="s">
        <v>3097</v>
      </c>
      <c r="G559" s="78" t="str">
        <f t="shared" si="79"/>
        <v>cheat gfi PrimalItemArmor_SpinoSaddle_Hydro_C 1 100 0</v>
      </c>
      <c r="H559" s="62" t="s">
        <v>3098</v>
      </c>
      <c r="I559" s="45" t="str">
        <f t="shared" si="80"/>
        <v>EngramEntry_SpinoSaddle_Hydro_C</v>
      </c>
      <c r="J559" s="78" t="str">
        <f t="shared" si="91"/>
        <v>OverrideNamedEngramEntries=(EngramEntry_SpinoSaddle_Hydro_C,EngramHidden=true)</v>
      </c>
      <c r="K559" s="1"/>
    </row>
    <row r="560">
      <c r="A560" s="7"/>
      <c r="B560" s="7"/>
      <c r="C560" s="75">
        <v>18.0</v>
      </c>
      <c r="D560" s="58" t="str">
        <f t="shared" si="92"/>
        <v>PrimalItemArmor_SpinoSaddle</v>
      </c>
      <c r="E560" s="59" t="s">
        <v>3099</v>
      </c>
      <c r="F560" s="59" t="s">
        <v>3100</v>
      </c>
      <c r="G560" s="76" t="str">
        <f t="shared" si="79"/>
        <v>cheat gfi PrimalItemArmor_SpinoSaddle_Volcanic_C 1 100 0</v>
      </c>
      <c r="H560" s="59" t="s">
        <v>3101</v>
      </c>
      <c r="I560" s="46" t="str">
        <f t="shared" si="80"/>
        <v>EngramEntry_SpinoSaddle_Volcanic_C</v>
      </c>
      <c r="J560" s="76" t="str">
        <f t="shared" si="91"/>
        <v>OverrideNamedEngramEntries=(EngramEntry_SpinoSaddle_Volcanic_C,EngramHidden=true)</v>
      </c>
      <c r="K560" s="1"/>
    </row>
    <row r="561">
      <c r="A561" s="7"/>
      <c r="B561" s="7"/>
      <c r="C561" s="77">
        <v>18.0</v>
      </c>
      <c r="D561" s="61" t="str">
        <f t="shared" si="92"/>
        <v>PrimalItemArmor_SquidSaddle</v>
      </c>
      <c r="E561" s="62" t="s">
        <v>3102</v>
      </c>
      <c r="F561" s="62" t="s">
        <v>3103</v>
      </c>
      <c r="G561" s="78" t="str">
        <f t="shared" si="79"/>
        <v>cheat gfi PrimalItemArmor_SquidSaddle_Atlantic_C 1 100 0</v>
      </c>
      <c r="H561" s="62" t="s">
        <v>3104</v>
      </c>
      <c r="I561" s="45" t="str">
        <f t="shared" si="80"/>
        <v>EngramEntry_SquidSaddle_Atlantic_C</v>
      </c>
      <c r="J561" s="78" t="str">
        <f t="shared" si="91"/>
        <v>OverrideNamedEngramEntries=(EngramEntry_SquidSaddle_Atlantic_C,EngramHidden=true)</v>
      </c>
      <c r="K561" s="1"/>
    </row>
    <row r="562">
      <c r="A562" s="7"/>
      <c r="B562" s="7"/>
      <c r="C562" s="75">
        <v>18.0</v>
      </c>
      <c r="D562" s="58" t="str">
        <f t="shared" si="92"/>
        <v>PrimalItemArmor_SquidSaddle</v>
      </c>
      <c r="E562" s="59" t="s">
        <v>3105</v>
      </c>
      <c r="F562" s="59" t="s">
        <v>3106</v>
      </c>
      <c r="G562" s="76" t="str">
        <f t="shared" si="79"/>
        <v>cheat gfi PrimalItemArmor_SquidSaddle_Pacific_C 1 100 0</v>
      </c>
      <c r="H562" s="59" t="s">
        <v>3107</v>
      </c>
      <c r="I562" s="46" t="str">
        <f t="shared" si="80"/>
        <v>EngramEntry_SquidSaddle_Pacific_C</v>
      </c>
      <c r="J562" s="76" t="str">
        <f t="shared" si="91"/>
        <v>OverrideNamedEngramEntries=(EngramEntry_SquidSaddle_Pacific_C,EngramHidden=true)</v>
      </c>
      <c r="K562" s="1"/>
    </row>
    <row r="563">
      <c r="A563" s="7"/>
      <c r="B563" s="7"/>
      <c r="C563" s="77">
        <v>18.0</v>
      </c>
      <c r="D563" s="61" t="str">
        <f t="shared" si="92"/>
        <v>PrimalItemArmor_StegoSaddle</v>
      </c>
      <c r="E563" s="62" t="s">
        <v>3108</v>
      </c>
      <c r="F563" s="62" t="s">
        <v>3109</v>
      </c>
      <c r="G563" s="78" t="str">
        <f t="shared" si="79"/>
        <v>cheat gfi PrimalItemArmor_StegoSaddle_Alpha_C 1 100 0</v>
      </c>
      <c r="H563" s="62" t="s">
        <v>3110</v>
      </c>
      <c r="I563" s="45" t="str">
        <f t="shared" si="80"/>
        <v>EngramEntry_StegoSaddle_Alpha_C</v>
      </c>
      <c r="J563" s="78" t="str">
        <f t="shared" si="91"/>
        <v>OverrideNamedEngramEntries=(EngramEntry_StegoSaddle_Alpha_C,EngramHidden=true)</v>
      </c>
      <c r="K563" s="1"/>
    </row>
    <row r="564">
      <c r="A564" s="7"/>
      <c r="B564" s="7"/>
      <c r="C564" s="75">
        <v>18.0</v>
      </c>
      <c r="D564" s="58" t="str">
        <f t="shared" si="92"/>
        <v>PrimalItemArmor_StegoSaddle</v>
      </c>
      <c r="E564" s="59" t="s">
        <v>3111</v>
      </c>
      <c r="F564" s="59" t="s">
        <v>3112</v>
      </c>
      <c r="G564" s="76" t="str">
        <f t="shared" si="79"/>
        <v>cheat gfi PrimalItemArmor_StegoSaddle_Apex_C 1 100 0</v>
      </c>
      <c r="H564" s="59" t="s">
        <v>3113</v>
      </c>
      <c r="I564" s="46" t="str">
        <f t="shared" si="80"/>
        <v>EngramEntry_StegoSaddle_Apex_C</v>
      </c>
      <c r="J564" s="76" t="str">
        <f t="shared" si="91"/>
        <v>OverrideNamedEngramEntries=(EngramEntry_StegoSaddle_Apex_C,EngramHidden=true)</v>
      </c>
      <c r="K564" s="1"/>
    </row>
    <row r="565">
      <c r="A565" s="7"/>
      <c r="B565" s="7"/>
      <c r="C565" s="77">
        <v>18.0</v>
      </c>
      <c r="D565" s="61" t="str">
        <f t="shared" si="92"/>
        <v>PrimalItemSaddle</v>
      </c>
      <c r="E565" s="62" t="s">
        <v>3114</v>
      </c>
      <c r="F565" s="62" t="s">
        <v>3115</v>
      </c>
      <c r="G565" s="78" t="str">
        <f t="shared" si="79"/>
        <v>cheat gfi PrimalItemSaddle_SwordFish_Atlantic_C 1 100 0</v>
      </c>
      <c r="H565" s="62" t="s">
        <v>3116</v>
      </c>
      <c r="I565" s="45" t="str">
        <f t="shared" si="80"/>
        <v>EngramEntry_SwordFish_Atlantic_C</v>
      </c>
      <c r="J565" s="78" t="str">
        <f t="shared" si="91"/>
        <v>OverrideNamedEngramEntries=(EngramEntry_SwordFish_Atlantic_C,EngramHidden=true)</v>
      </c>
      <c r="K565" s="1"/>
    </row>
    <row r="566">
      <c r="A566" s="7"/>
      <c r="B566" s="7"/>
      <c r="C566" s="75">
        <v>18.0</v>
      </c>
      <c r="D566" s="58" t="str">
        <f t="shared" si="92"/>
        <v>PrimalItemSaddle</v>
      </c>
      <c r="E566" s="59" t="s">
        <v>3117</v>
      </c>
      <c r="F566" s="59" t="s">
        <v>3118</v>
      </c>
      <c r="G566" s="76" t="str">
        <f t="shared" si="79"/>
        <v>cheat gfi PrimalItemSaddle_SwordFish_Pacific_C 1 100 0</v>
      </c>
      <c r="H566" s="59" t="s">
        <v>3119</v>
      </c>
      <c r="I566" s="46" t="str">
        <f t="shared" si="80"/>
        <v>EngramEntry_SwordFish_Pacific_C</v>
      </c>
      <c r="J566" s="76" t="str">
        <f t="shared" si="91"/>
        <v>OverrideNamedEngramEntries=(EngramEntry_SwordFish_Pacific_C,EngramHidden=true)</v>
      </c>
      <c r="K566" s="1"/>
    </row>
    <row r="567">
      <c r="A567" s="7"/>
      <c r="B567" s="7"/>
      <c r="C567" s="77">
        <v>18.0</v>
      </c>
      <c r="D567" s="61" t="str">
        <f t="shared" si="92"/>
        <v>PrimalItemArmor_TapejaraSaddle</v>
      </c>
      <c r="E567" s="62" t="s">
        <v>3120</v>
      </c>
      <c r="F567" s="62" t="s">
        <v>3121</v>
      </c>
      <c r="G567" s="78" t="str">
        <f t="shared" si="79"/>
        <v>cheat gfi PrimalItemArmor_TapejaraSaddle_Alpha_C 1 100 0</v>
      </c>
      <c r="H567" s="62" t="s">
        <v>3122</v>
      </c>
      <c r="I567" s="45" t="str">
        <f t="shared" si="80"/>
        <v>EngramEntry_TapejaraSaddle_Alpha_C</v>
      </c>
      <c r="J567" s="78" t="str">
        <f t="shared" si="91"/>
        <v>OverrideNamedEngramEntries=(EngramEntry_TapejaraSaddle_Alpha_C,EngramHidden=true)</v>
      </c>
      <c r="K567" s="1"/>
    </row>
    <row r="568">
      <c r="A568" s="7"/>
      <c r="B568" s="7"/>
      <c r="C568" s="75">
        <v>18.0</v>
      </c>
      <c r="D568" s="58" t="str">
        <f t="shared" si="92"/>
        <v>PrimalItemArmor_TapejaraSaddle</v>
      </c>
      <c r="E568" s="59" t="s">
        <v>3123</v>
      </c>
      <c r="F568" s="59" t="s">
        <v>3124</v>
      </c>
      <c r="G568" s="76" t="str">
        <f t="shared" si="79"/>
        <v>cheat gfi PrimalItemArmor_TapejaraSaddle_Apex_C 1 100 0</v>
      </c>
      <c r="H568" s="59" t="s">
        <v>3125</v>
      </c>
      <c r="I568" s="46" t="str">
        <f t="shared" si="80"/>
        <v>EngramEntry_TapejaraSaddle_Apex_C</v>
      </c>
      <c r="J568" s="76" t="str">
        <f t="shared" si="91"/>
        <v>OverrideNamedEngramEntries=(EngramEntry_TapejaraSaddle_Apex_C,EngramHidden=true)</v>
      </c>
      <c r="K568" s="1"/>
    </row>
    <row r="569">
      <c r="A569" s="7"/>
      <c r="B569" s="7"/>
      <c r="C569" s="77">
        <v>18.0</v>
      </c>
      <c r="D569" s="61" t="str">
        <f t="shared" si="92"/>
        <v>PrimalItemArmor_TapejaraSaddle</v>
      </c>
      <c r="E569" s="62" t="s">
        <v>3126</v>
      </c>
      <c r="F569" s="62" t="s">
        <v>3127</v>
      </c>
      <c r="G569" s="78" t="str">
        <f t="shared" si="79"/>
        <v>cheat gfi PrimalItemArmor_TapejaraSaddle_Volcanic_C 1 100 0</v>
      </c>
      <c r="H569" s="62" t="s">
        <v>3128</v>
      </c>
      <c r="I569" s="45" t="str">
        <f t="shared" si="80"/>
        <v>EngramEntry_TapejaraSaddle_Volcanic_C</v>
      </c>
      <c r="J569" s="78" t="str">
        <f t="shared" si="91"/>
        <v>OverrideNamedEngramEntries=(EngramEntry_TapejaraSaddle_Volcanic_C,EngramHidden=true)</v>
      </c>
      <c r="K569" s="1"/>
    </row>
    <row r="570">
      <c r="A570" s="7"/>
      <c r="B570" s="7"/>
      <c r="C570" s="75">
        <v>18.0</v>
      </c>
      <c r="D570" s="58" t="str">
        <f t="shared" si="92"/>
        <v>PrimalItemArmor_TerrorBirdSaddle</v>
      </c>
      <c r="E570" s="59" t="s">
        <v>3129</v>
      </c>
      <c r="F570" s="59" t="s">
        <v>3130</v>
      </c>
      <c r="G570" s="76" t="str">
        <f t="shared" si="79"/>
        <v>cheat gfi PrimalItemArmor_TerrorBirdSaddle_Alpha_C 1 100 0</v>
      </c>
      <c r="H570" s="59" t="s">
        <v>3131</v>
      </c>
      <c r="I570" s="46" t="str">
        <f t="shared" si="80"/>
        <v>EngramEntry_TerrorBirdSaddle_Alpha_C</v>
      </c>
      <c r="J570" s="76" t="str">
        <f t="shared" si="91"/>
        <v>OverrideNamedEngramEntries=(EngramEntry_TerrorBirdSaddle_Alpha_C,EngramHidden=true)</v>
      </c>
      <c r="K570" s="1"/>
    </row>
    <row r="571">
      <c r="A571" s="7"/>
      <c r="B571" s="7"/>
      <c r="C571" s="77">
        <v>18.0</v>
      </c>
      <c r="D571" s="61" t="str">
        <f t="shared" si="92"/>
        <v>PrimalItemArmor_TerrorBirdSaddle</v>
      </c>
      <c r="E571" s="62" t="s">
        <v>3132</v>
      </c>
      <c r="F571" s="62" t="s">
        <v>3133</v>
      </c>
      <c r="G571" s="78" t="str">
        <f t="shared" si="79"/>
        <v>cheat gfi PrimalItemArmor_TerrorBirdSaddle_Apex_C 1 100 0</v>
      </c>
      <c r="H571" s="62" t="s">
        <v>3134</v>
      </c>
      <c r="I571" s="45" t="str">
        <f t="shared" si="80"/>
        <v>EngramEntry_TerrorBirdSaddle_Apex_C</v>
      </c>
      <c r="J571" s="78" t="str">
        <f t="shared" si="91"/>
        <v>OverrideNamedEngramEntries=(EngramEntry_TerrorBirdSaddle_Apex_C,EngramHidden=true)</v>
      </c>
      <c r="K571" s="1"/>
    </row>
    <row r="572">
      <c r="A572" s="7"/>
      <c r="B572" s="7"/>
      <c r="C572" s="75">
        <v>18.0</v>
      </c>
      <c r="D572" s="58" t="str">
        <f t="shared" si="92"/>
        <v>PrimalItemArmor_TerrorBirdSaddle</v>
      </c>
      <c r="E572" s="59" t="s">
        <v>3135</v>
      </c>
      <c r="F572" s="59" t="s">
        <v>3136</v>
      </c>
      <c r="G572" s="76" t="str">
        <f t="shared" si="79"/>
        <v>cheat gfi PrimalItemArmor_TerrorBirdSaddle_Storm_C 1 100 0</v>
      </c>
      <c r="H572" s="59" t="s">
        <v>3137</v>
      </c>
      <c r="I572" s="46" t="str">
        <f t="shared" si="80"/>
        <v>EngramEntry_TerrorBirdSaddle_Storm_C</v>
      </c>
      <c r="J572" s="76" t="str">
        <f t="shared" si="91"/>
        <v>OverrideNamedEngramEntries=(EngramEntry_TerrorBirdSaddle_Storm_C,EngramHidden=true)</v>
      </c>
      <c r="K572" s="1"/>
    </row>
    <row r="573">
      <c r="A573" s="7"/>
      <c r="B573" s="7"/>
      <c r="C573" s="77">
        <v>18.0</v>
      </c>
      <c r="D573" s="61" t="str">
        <f t="shared" si="92"/>
        <v>PrimalItemArmor_TherizinosaurusSaddle</v>
      </c>
      <c r="E573" s="62" t="s">
        <v>3138</v>
      </c>
      <c r="F573" s="62" t="s">
        <v>3139</v>
      </c>
      <c r="G573" s="78" t="str">
        <f t="shared" si="79"/>
        <v>cheat gfi PrimalItemArmor_TherizinosaurusSaddle_Alpha_C 1 100 0</v>
      </c>
      <c r="H573" s="62" t="s">
        <v>3140</v>
      </c>
      <c r="I573" s="45" t="str">
        <f t="shared" si="80"/>
        <v>EngramEntry_TherizinosaurusSaddle_Alpha_C</v>
      </c>
      <c r="J573" s="78" t="str">
        <f t="shared" si="91"/>
        <v>OverrideNamedEngramEntries=(EngramEntry_TherizinosaurusSaddle_Alpha_C,EngramHidden=true)</v>
      </c>
      <c r="K573" s="1"/>
    </row>
    <row r="574">
      <c r="A574" s="7"/>
      <c r="B574" s="7"/>
      <c r="C574" s="75">
        <v>18.0</v>
      </c>
      <c r="D574" s="58" t="str">
        <f t="shared" si="92"/>
        <v>PrimalItemArmor_TherizinosaurusSaddle</v>
      </c>
      <c r="E574" s="59" t="s">
        <v>3141</v>
      </c>
      <c r="F574" s="59" t="s">
        <v>3142</v>
      </c>
      <c r="G574" s="76" t="str">
        <f t="shared" si="79"/>
        <v>cheat gfi PrimalItemArmor_TherizinosaurusSaddle_Apex_C 1 100 0</v>
      </c>
      <c r="H574" s="59" t="s">
        <v>3143</v>
      </c>
      <c r="I574" s="46" t="str">
        <f t="shared" si="80"/>
        <v>EngramEntry_TherizinosaurusSaddle_Apex_C</v>
      </c>
      <c r="J574" s="76" t="str">
        <f t="shared" si="91"/>
        <v>OverrideNamedEngramEntries=(EngramEntry_TherizinosaurusSaddle_Apex_C,EngramHidden=true)</v>
      </c>
      <c r="K574" s="1"/>
    </row>
    <row r="575">
      <c r="A575" s="7"/>
      <c r="B575" s="7"/>
      <c r="C575" s="77">
        <v>18.0</v>
      </c>
      <c r="D575" s="61" t="str">
        <f t="shared" si="92"/>
        <v>PrimalItemArmor_ThylacoSaddle</v>
      </c>
      <c r="E575" s="62" t="s">
        <v>3144</v>
      </c>
      <c r="F575" s="62" t="s">
        <v>3145</v>
      </c>
      <c r="G575" s="78" t="str">
        <f t="shared" si="79"/>
        <v>cheat gfi PrimalItemArmor_ThylacoSaddle_Alpha_C 1 100 0</v>
      </c>
      <c r="H575" s="62" t="s">
        <v>3146</v>
      </c>
      <c r="I575" s="45" t="str">
        <f t="shared" si="80"/>
        <v>EngramEntry_ThylacoSaddle_Alpha_C</v>
      </c>
      <c r="J575" s="78" t="str">
        <f t="shared" si="91"/>
        <v>OverrideNamedEngramEntries=(EngramEntry_ThylacoSaddle_Alpha_C,EngramHidden=true)</v>
      </c>
      <c r="K575" s="1"/>
    </row>
    <row r="576">
      <c r="A576" s="7"/>
      <c r="B576" s="7"/>
      <c r="C576" s="75">
        <v>18.0</v>
      </c>
      <c r="D576" s="58" t="str">
        <f t="shared" si="92"/>
        <v>PrimalItemArmor_ThylacoSaddle</v>
      </c>
      <c r="E576" s="59" t="s">
        <v>3147</v>
      </c>
      <c r="F576" s="59" t="s">
        <v>3148</v>
      </c>
      <c r="G576" s="76" t="str">
        <f t="shared" si="79"/>
        <v>cheat gfi PrimalItemArmor_ThylacoSaddle_Apex_C 1 100 0</v>
      </c>
      <c r="H576" s="59" t="s">
        <v>3149</v>
      </c>
      <c r="I576" s="46" t="str">
        <f t="shared" si="80"/>
        <v>EngramEntry_ThylacoSaddle_Apex_C</v>
      </c>
      <c r="J576" s="76" t="str">
        <f t="shared" si="91"/>
        <v>OverrideNamedEngramEntries=(EngramEntry_ThylacoSaddle_Apex_C,EngramHidden=true)</v>
      </c>
      <c r="K576" s="1"/>
    </row>
    <row r="577">
      <c r="A577" s="7"/>
      <c r="B577" s="7"/>
      <c r="C577" s="77">
        <v>18.0</v>
      </c>
      <c r="D577" s="61" t="str">
        <f t="shared" si="92"/>
        <v>PrimalItemArmor_ThylacoSaddle</v>
      </c>
      <c r="E577" s="62" t="s">
        <v>3150</v>
      </c>
      <c r="F577" s="62" t="s">
        <v>3151</v>
      </c>
      <c r="G577" s="78" t="str">
        <f t="shared" si="79"/>
        <v>cheat gfi PrimalItemArmor_ThylacoSaddle_Demonic_C 1 100 0</v>
      </c>
      <c r="H577" s="62" t="s">
        <v>3152</v>
      </c>
      <c r="I577" s="45" t="str">
        <f t="shared" si="80"/>
        <v>EngramEntry_ThylacoSaddle_Demonic_C</v>
      </c>
      <c r="J577" s="78" t="str">
        <f t="shared" si="91"/>
        <v>OverrideNamedEngramEntries=(EngramEntry_ThylacoSaddle_Demonic_C,EngramHidden=true)</v>
      </c>
      <c r="K577" s="1"/>
    </row>
    <row r="578">
      <c r="A578" s="7"/>
      <c r="B578" s="7"/>
      <c r="C578" s="75">
        <v>18.0</v>
      </c>
      <c r="D578" s="58" t="str">
        <f t="shared" si="92"/>
        <v>PrimalItemArmor_ThylacoSaddle</v>
      </c>
      <c r="E578" s="59" t="s">
        <v>3153</v>
      </c>
      <c r="F578" s="59" t="s">
        <v>3154</v>
      </c>
      <c r="G578" s="76" t="str">
        <f t="shared" si="79"/>
        <v>cheat gfi PrimalItemArmor_ThylacoSaddle_Storm_C 1 100 0</v>
      </c>
      <c r="H578" s="59" t="s">
        <v>3155</v>
      </c>
      <c r="I578" s="46" t="str">
        <f t="shared" si="80"/>
        <v>EngramEntry_ThylacoSaddle_Storm_C</v>
      </c>
      <c r="J578" s="76" t="str">
        <f t="shared" si="91"/>
        <v>OverrideNamedEngramEntries=(EngramEntry_ThylacoSaddle_Storm_C,EngramHidden=true)</v>
      </c>
      <c r="K578" s="1"/>
    </row>
    <row r="579">
      <c r="A579" s="7"/>
      <c r="B579" s="7"/>
      <c r="C579" s="77">
        <v>18.0</v>
      </c>
      <c r="D579" s="61" t="str">
        <f t="shared" si="92"/>
        <v>PrimalItemSaddle</v>
      </c>
      <c r="E579" s="62" t="s">
        <v>3156</v>
      </c>
      <c r="F579" s="62" t="s">
        <v>3157</v>
      </c>
      <c r="G579" s="78" t="str">
        <f t="shared" si="79"/>
        <v>cheat gfi PrimalItemSaddle_Tiger_Godly_C 1 100 0</v>
      </c>
      <c r="H579" s="62" t="s">
        <v>3158</v>
      </c>
      <c r="I579" s="45" t="str">
        <f t="shared" si="80"/>
        <v>EngramEntry_Tiger_Godly_C</v>
      </c>
      <c r="J579" s="78" t="str">
        <f t="shared" si="91"/>
        <v>OverrideNamedEngramEntries=(EngramEntry_Tiger_Godly_C,EngramHidden=true)</v>
      </c>
      <c r="K579" s="1"/>
    </row>
    <row r="580">
      <c r="A580" s="7"/>
      <c r="B580" s="7"/>
      <c r="C580" s="75"/>
      <c r="D580" s="58"/>
      <c r="E580" s="59" t="s">
        <v>3159</v>
      </c>
      <c r="F580" s="59" t="s">
        <v>3160</v>
      </c>
      <c r="G580" s="76" t="str">
        <f t="shared" si="79"/>
        <v>cheat gfi PrimalItemSaddle_Titan_Frost_C 1 100 0</v>
      </c>
      <c r="H580" s="59" t="s">
        <v>3161</v>
      </c>
      <c r="I580" s="46" t="str">
        <f t="shared" si="80"/>
        <v>EngramEntry_Titan_Frost_C</v>
      </c>
      <c r="J580" s="76" t="str">
        <f t="shared" si="91"/>
        <v>OverrideNamedEngramEntries=(EngramEntry_Titan_Frost_C,EngramHidden=true)</v>
      </c>
      <c r="K580" s="1"/>
    </row>
    <row r="581">
      <c r="A581" s="7"/>
      <c r="B581" s="7"/>
      <c r="C581" s="77"/>
      <c r="D581" s="61"/>
      <c r="E581" s="62" t="s">
        <v>3162</v>
      </c>
      <c r="F581" s="62" t="s">
        <v>3163</v>
      </c>
      <c r="G581" s="78" t="str">
        <f t="shared" si="79"/>
        <v>cheat gfi PrimalItemSaddle_Titan_Hydro_C 1 100 0</v>
      </c>
      <c r="H581" s="62" t="s">
        <v>3164</v>
      </c>
      <c r="I581" s="45" t="str">
        <f t="shared" si="80"/>
        <v>EngramEntry_Titan_Hydro_C</v>
      </c>
      <c r="J581" s="78" t="str">
        <f t="shared" si="91"/>
        <v>OverrideNamedEngramEntries=(EngramEntry_Titan_Hydro_C,EngramHidden=true)</v>
      </c>
      <c r="K581" s="1"/>
    </row>
    <row r="582">
      <c r="A582" s="7"/>
      <c r="B582" s="7"/>
      <c r="C582" s="75"/>
      <c r="D582" s="58"/>
      <c r="E582" s="59" t="s">
        <v>3165</v>
      </c>
      <c r="F582" s="59" t="s">
        <v>3166</v>
      </c>
      <c r="G582" s="76" t="str">
        <f t="shared" si="79"/>
        <v>cheat gfi PrimalItemSaddle_Titan_Nature_C 1 100 0</v>
      </c>
      <c r="H582" s="59" t="s">
        <v>3167</v>
      </c>
      <c r="I582" s="46" t="str">
        <f t="shared" si="80"/>
        <v>EngramEntry_Titan_Nature_C</v>
      </c>
      <c r="J582" s="76" t="str">
        <f t="shared" si="91"/>
        <v>OverrideNamedEngramEntries=(EngramEntry_Titan_Nature_C,EngramHidden=true)</v>
      </c>
      <c r="K582" s="1"/>
    </row>
    <row r="583">
      <c r="A583" s="7"/>
      <c r="B583" s="7"/>
      <c r="C583" s="77"/>
      <c r="D583" s="61"/>
      <c r="E583" s="62" t="s">
        <v>3168</v>
      </c>
      <c r="F583" s="62" t="s">
        <v>3169</v>
      </c>
      <c r="G583" s="78" t="str">
        <f t="shared" si="79"/>
        <v>cheat gfi PrimalItemSaddle_Titan_Storm_C 1 100 0</v>
      </c>
      <c r="H583" s="62" t="s">
        <v>3170</v>
      </c>
      <c r="I583" s="45" t="str">
        <f t="shared" si="80"/>
        <v>EngramEntry_Titan_Storm_C</v>
      </c>
      <c r="J583" s="78" t="str">
        <f t="shared" si="91"/>
        <v>OverrideNamedEngramEntries=(EngramEntry_Titan_Storm_C,EngramHidden=true)</v>
      </c>
      <c r="K583" s="1"/>
    </row>
    <row r="584">
      <c r="A584" s="7"/>
      <c r="B584" s="7"/>
      <c r="C584" s="75"/>
      <c r="D584" s="58"/>
      <c r="E584" s="59" t="s">
        <v>3171</v>
      </c>
      <c r="F584" s="59" t="s">
        <v>3172</v>
      </c>
      <c r="G584" s="76" t="str">
        <f t="shared" si="79"/>
        <v>cheat gfi PrimalItemSaddle_Titan_Volcanic_C 1 100 0</v>
      </c>
      <c r="H584" s="59" t="s">
        <v>3173</v>
      </c>
      <c r="I584" s="46" t="str">
        <f t="shared" si="80"/>
        <v>EngramEntry_Titan_Volcanic_C</v>
      </c>
      <c r="J584" s="76" t="str">
        <f t="shared" si="91"/>
        <v>OverrideNamedEngramEntries=(EngramEntry_Titan_Volcanic_C,EngramHidden=true)</v>
      </c>
      <c r="K584" s="1"/>
    </row>
    <row r="585">
      <c r="A585" s="7"/>
      <c r="B585" s="7"/>
      <c r="C585" s="77">
        <v>18.0</v>
      </c>
      <c r="D585" s="61" t="str">
        <f t="shared" ref="D585:D614" si="93">Left(F585,find("Saddle",F585)+5)</f>
        <v>PrimalItemArmor_TitanSaddle</v>
      </c>
      <c r="E585" s="62" t="s">
        <v>3174</v>
      </c>
      <c r="F585" s="62" t="s">
        <v>3175</v>
      </c>
      <c r="G585" s="78" t="str">
        <f t="shared" si="79"/>
        <v>cheat gfi PrimalItemArmor_TitanSaddle_Platform_Alpha_C 1 100 0</v>
      </c>
      <c r="H585" s="62" t="s">
        <v>3176</v>
      </c>
      <c r="I585" s="45" t="str">
        <f t="shared" si="80"/>
        <v>EngramEntry_TitanSaddle_Platform_Alpha_C</v>
      </c>
      <c r="J585" s="78" t="str">
        <f t="shared" si="91"/>
        <v>OverrideNamedEngramEntries=(EngramEntry_TitanSaddle_Platform_Alpha_C,EngramHidden=true)</v>
      </c>
      <c r="K585" s="1"/>
    </row>
    <row r="586">
      <c r="A586" s="7"/>
      <c r="B586" s="7"/>
      <c r="C586" s="75">
        <v>18.0</v>
      </c>
      <c r="D586" s="58" t="str">
        <f t="shared" si="93"/>
        <v>PrimalItemArmor_TitanSaddle</v>
      </c>
      <c r="E586" s="59" t="s">
        <v>3177</v>
      </c>
      <c r="F586" s="59" t="s">
        <v>3178</v>
      </c>
      <c r="G586" s="76" t="str">
        <f t="shared" si="79"/>
        <v>cheat gfi PrimalItemArmor_TitanSaddle_Platform_Apex_C 1 100 0</v>
      </c>
      <c r="H586" s="59" t="s">
        <v>3179</v>
      </c>
      <c r="I586" s="46" t="str">
        <f t="shared" si="80"/>
        <v>EngramEntry_TitanSaddle_Platform_Apex_C</v>
      </c>
      <c r="J586" s="76" t="str">
        <f t="shared" si="91"/>
        <v>OverrideNamedEngramEntries=(EngramEntry_TitanSaddle_Platform_Apex_C,EngramHidden=true)</v>
      </c>
      <c r="K586" s="1"/>
    </row>
    <row r="587">
      <c r="A587" s="7"/>
      <c r="B587" s="7"/>
      <c r="C587" s="77">
        <v>18.0</v>
      </c>
      <c r="D587" s="61" t="str">
        <f t="shared" si="93"/>
        <v>PrimalItemArmor_ToadSaddle</v>
      </c>
      <c r="E587" s="62" t="s">
        <v>3180</v>
      </c>
      <c r="F587" s="62" t="s">
        <v>3181</v>
      </c>
      <c r="G587" s="78" t="str">
        <f t="shared" si="79"/>
        <v>cheat gfi PrimalItemArmor_ToadSaddle_Alpha_C 1 100 0</v>
      </c>
      <c r="H587" s="62" t="s">
        <v>3182</v>
      </c>
      <c r="I587" s="45" t="str">
        <f t="shared" si="80"/>
        <v>EngramEntry_ToadSaddle_Alpha_C</v>
      </c>
      <c r="J587" s="78" t="str">
        <f t="shared" si="91"/>
        <v>OverrideNamedEngramEntries=(EngramEntry_ToadSaddle_Alpha_C,EngramHidden=true)</v>
      </c>
      <c r="K587" s="1"/>
    </row>
    <row r="588">
      <c r="A588" s="7"/>
      <c r="B588" s="7"/>
      <c r="C588" s="75">
        <v>18.0</v>
      </c>
      <c r="D588" s="58" t="str">
        <f t="shared" si="93"/>
        <v>PrimalItemArmor_ToadSaddle</v>
      </c>
      <c r="E588" s="59" t="s">
        <v>3183</v>
      </c>
      <c r="F588" s="59" t="s">
        <v>3184</v>
      </c>
      <c r="G588" s="76" t="str">
        <f t="shared" si="79"/>
        <v>cheat gfi PrimalItemArmor_ToadSaddle_Apex_C 1 100 0</v>
      </c>
      <c r="H588" s="59" t="s">
        <v>3185</v>
      </c>
      <c r="I588" s="46" t="str">
        <f t="shared" si="80"/>
        <v>EngramEntry_ToadSaddle_Apex_C</v>
      </c>
      <c r="J588" s="76" t="str">
        <f t="shared" si="91"/>
        <v>OverrideNamedEngramEntries=(EngramEntry_ToadSaddle_Apex_C,EngramHidden=true)</v>
      </c>
      <c r="K588" s="1"/>
    </row>
    <row r="589">
      <c r="A589" s="7"/>
      <c r="B589" s="7"/>
      <c r="C589" s="77">
        <v>18.0</v>
      </c>
      <c r="D589" s="61" t="str">
        <f t="shared" si="93"/>
        <v>PrimalItemArmor_ToadSaddle</v>
      </c>
      <c r="E589" s="62" t="s">
        <v>3186</v>
      </c>
      <c r="F589" s="62" t="s">
        <v>3187</v>
      </c>
      <c r="G589" s="78" t="str">
        <f t="shared" si="79"/>
        <v>cheat gfi PrimalItemArmor_ToadSaddle_Hydro_C 1 100 0</v>
      </c>
      <c r="H589" s="62" t="s">
        <v>3188</v>
      </c>
      <c r="I589" s="45" t="str">
        <f t="shared" si="80"/>
        <v>EngramEntry_ToadSaddle_Hydro_C</v>
      </c>
      <c r="J589" s="78" t="str">
        <f t="shared" si="91"/>
        <v>OverrideNamedEngramEntries=(EngramEntry_ToadSaddle_Hydro_C,EngramHidden=true)</v>
      </c>
      <c r="K589" s="1"/>
    </row>
    <row r="590">
      <c r="A590" s="7"/>
      <c r="B590" s="7"/>
      <c r="C590" s="75">
        <v>18.0</v>
      </c>
      <c r="D590" s="58" t="str">
        <f t="shared" si="93"/>
        <v>PrimalItemSaddle</v>
      </c>
      <c r="E590" s="59" t="s">
        <v>3189</v>
      </c>
      <c r="F590" s="59" t="s">
        <v>3190</v>
      </c>
      <c r="G590" s="76" t="str">
        <f t="shared" si="79"/>
        <v>cheat gfi PrimalItemSaddle_Trike_Godly_C 1 100 0</v>
      </c>
      <c r="H590" s="59" t="s">
        <v>3191</v>
      </c>
      <c r="I590" s="46" t="str">
        <f t="shared" si="80"/>
        <v>EngramEntry_Trike_Godly_C</v>
      </c>
      <c r="J590" s="76" t="str">
        <f t="shared" si="91"/>
        <v>OverrideNamedEngramEntries=(EngramEntry_Trike_Godly_C,EngramHidden=true)</v>
      </c>
      <c r="K590" s="1"/>
    </row>
    <row r="591">
      <c r="A591" s="7"/>
      <c r="B591" s="7"/>
      <c r="C591" s="77">
        <v>18.0</v>
      </c>
      <c r="D591" s="61" t="str">
        <f t="shared" si="93"/>
        <v>PrimalItemArmor_TrikeSaddle</v>
      </c>
      <c r="E591" s="62" t="s">
        <v>3192</v>
      </c>
      <c r="F591" s="62" t="s">
        <v>3193</v>
      </c>
      <c r="G591" s="78" t="str">
        <f t="shared" si="79"/>
        <v>cheat gfi PrimalItemArmor_TrikeSaddle_Alpha_C 1 100 0</v>
      </c>
      <c r="H591" s="62" t="s">
        <v>3194</v>
      </c>
      <c r="I591" s="45" t="str">
        <f t="shared" si="80"/>
        <v>EngramEntry_TrikeSaddle_Alpha_C</v>
      </c>
      <c r="J591" s="78" t="str">
        <f t="shared" si="91"/>
        <v>OverrideNamedEngramEntries=(EngramEntry_TrikeSaddle_Alpha_C,EngramHidden=true)</v>
      </c>
      <c r="K591" s="1"/>
    </row>
    <row r="592">
      <c r="A592" s="7"/>
      <c r="B592" s="7"/>
      <c r="C592" s="75">
        <v>18.0</v>
      </c>
      <c r="D592" s="58" t="str">
        <f t="shared" si="93"/>
        <v>PrimalItemArmor_TrikeSaddle</v>
      </c>
      <c r="E592" s="59" t="s">
        <v>3195</v>
      </c>
      <c r="F592" s="59" t="s">
        <v>3196</v>
      </c>
      <c r="G592" s="76" t="str">
        <f t="shared" si="79"/>
        <v>cheat gfi PrimalItemArmor_TrikeSaddle_Apex_C 1 100 0</v>
      </c>
      <c r="H592" s="59" t="s">
        <v>3197</v>
      </c>
      <c r="I592" s="46" t="str">
        <f t="shared" si="80"/>
        <v>EngramEntry_TrikeSaddle_Apex_C</v>
      </c>
      <c r="J592" s="76" t="str">
        <f t="shared" si="91"/>
        <v>OverrideNamedEngramEntries=(EngramEntry_TrikeSaddle_Apex_C,EngramHidden=true)</v>
      </c>
      <c r="K592" s="1"/>
    </row>
    <row r="593">
      <c r="A593" s="7"/>
      <c r="B593" s="7"/>
      <c r="C593" s="77">
        <v>18.0</v>
      </c>
      <c r="D593" s="61" t="str">
        <f t="shared" si="93"/>
        <v>PrimalItemArmor_TrikeSaddle</v>
      </c>
      <c r="E593" s="62" t="s">
        <v>3198</v>
      </c>
      <c r="F593" s="62" t="s">
        <v>3199</v>
      </c>
      <c r="G593" s="78" t="str">
        <f t="shared" si="79"/>
        <v>cheat gfi PrimalItemArmor_TrikeSaddle_Volcanic_C 1 100 0</v>
      </c>
      <c r="H593" s="62" t="s">
        <v>3200</v>
      </c>
      <c r="I593" s="45" t="str">
        <f t="shared" si="80"/>
        <v>EngramEntry_TrikeSaddle_Volcanic_C</v>
      </c>
      <c r="J593" s="78" t="str">
        <f t="shared" si="91"/>
        <v>OverrideNamedEngramEntries=(EngramEntry_TrikeSaddle_Volcanic_C,EngramHidden=true)</v>
      </c>
      <c r="K593" s="1"/>
    </row>
    <row r="594">
      <c r="A594" s="7"/>
      <c r="B594" s="7"/>
      <c r="C594" s="75">
        <v>18.0</v>
      </c>
      <c r="D594" s="58" t="str">
        <f t="shared" si="93"/>
        <v>PrimalItemSaddle</v>
      </c>
      <c r="E594" s="59" t="s">
        <v>3201</v>
      </c>
      <c r="F594" s="59" t="s">
        <v>3202</v>
      </c>
      <c r="G594" s="76" t="str">
        <f t="shared" si="79"/>
        <v>cheat gfi PrimalItemSaddle_Trilobite_Atlantic_C 1 100 0</v>
      </c>
      <c r="H594" s="59" t="s">
        <v>3203</v>
      </c>
      <c r="I594" s="46" t="str">
        <f t="shared" si="80"/>
        <v>EngramEntry_Trilobite_Atlantic_C</v>
      </c>
      <c r="J594" s="76" t="str">
        <f t="shared" si="91"/>
        <v>OverrideNamedEngramEntries=(EngramEntry_Trilobite_Atlantic_C,EngramHidden=true)</v>
      </c>
      <c r="K594" s="1"/>
    </row>
    <row r="595">
      <c r="A595" s="7"/>
      <c r="B595" s="7"/>
      <c r="C595" s="77">
        <v>18.0</v>
      </c>
      <c r="D595" s="61" t="str">
        <f t="shared" si="93"/>
        <v>PrimalItemSaddle</v>
      </c>
      <c r="E595" s="62" t="s">
        <v>3204</v>
      </c>
      <c r="F595" s="62" t="s">
        <v>3205</v>
      </c>
      <c r="G595" s="78" t="str">
        <f t="shared" si="79"/>
        <v>cheat gfi PrimalItemSaddle_Trilobite_Pacific_C 1 100 0</v>
      </c>
      <c r="H595" s="62" t="s">
        <v>3206</v>
      </c>
      <c r="I595" s="45" t="str">
        <f t="shared" si="80"/>
        <v>EngramEntry_Trilobite_Pacific_C</v>
      </c>
      <c r="J595" s="78" t="str">
        <f t="shared" si="91"/>
        <v>OverrideNamedEngramEntries=(EngramEntry_Trilobite_Pacific_C,EngramHidden=true)</v>
      </c>
      <c r="K595" s="1"/>
    </row>
    <row r="596">
      <c r="A596" s="7"/>
      <c r="B596" s="7"/>
      <c r="C596" s="75">
        <v>18.0</v>
      </c>
      <c r="D596" s="58" t="str">
        <f t="shared" si="93"/>
        <v>PrimalItemSaddle</v>
      </c>
      <c r="E596" s="59" t="s">
        <v>3207</v>
      </c>
      <c r="F596" s="59" t="s">
        <v>3208</v>
      </c>
      <c r="G596" s="76" t="str">
        <f t="shared" si="79"/>
        <v>cheat gfi PrimalItemSaddle_Troodon_Alpha_C 1 100 0</v>
      </c>
      <c r="H596" s="59" t="s">
        <v>3209</v>
      </c>
      <c r="I596" s="46" t="str">
        <f t="shared" si="80"/>
        <v>EngramEntry_Troodon_Alpha_C</v>
      </c>
      <c r="J596" s="76" t="str">
        <f t="shared" si="91"/>
        <v>OverrideNamedEngramEntries=(EngramEntry_Troodon_Alpha_C,EngramHidden=true)</v>
      </c>
      <c r="K596" s="1"/>
    </row>
    <row r="597">
      <c r="A597" s="7"/>
      <c r="B597" s="7"/>
      <c r="C597" s="77">
        <v>18.0</v>
      </c>
      <c r="D597" s="61" t="str">
        <f t="shared" si="93"/>
        <v>PrimalItemSaddle</v>
      </c>
      <c r="E597" s="62" t="s">
        <v>3210</v>
      </c>
      <c r="F597" s="62" t="s">
        <v>3211</v>
      </c>
      <c r="G597" s="78" t="str">
        <f t="shared" si="79"/>
        <v>cheat gfi PrimalItemSaddle_Troodon_Apex_C 1 100 0</v>
      </c>
      <c r="H597" s="62" t="s">
        <v>3212</v>
      </c>
      <c r="I597" s="45" t="str">
        <f t="shared" si="80"/>
        <v>EngramEntry_Troodon_Apex_C</v>
      </c>
      <c r="J597" s="78" t="str">
        <f t="shared" si="91"/>
        <v>OverrideNamedEngramEntries=(EngramEntry_Troodon_Apex_C,EngramHidden=true)</v>
      </c>
      <c r="K597" s="1"/>
    </row>
    <row r="598">
      <c r="A598" s="7"/>
      <c r="B598" s="7"/>
      <c r="C598" s="75">
        <v>18.0</v>
      </c>
      <c r="D598" s="58" t="str">
        <f t="shared" si="93"/>
        <v>PrimalItemSaddle</v>
      </c>
      <c r="E598" s="59" t="s">
        <v>3213</v>
      </c>
      <c r="F598" s="59" t="s">
        <v>3214</v>
      </c>
      <c r="G598" s="76" t="str">
        <f t="shared" si="79"/>
        <v>cheat gfi PrimalItemSaddle_Tuna_Atlantic_C 1 100 0</v>
      </c>
      <c r="H598" s="59" t="s">
        <v>3215</v>
      </c>
      <c r="I598" s="46" t="str">
        <f t="shared" si="80"/>
        <v>EngramEntry_Tuna_Atlantic_C</v>
      </c>
      <c r="J598" s="76" t="str">
        <f t="shared" si="91"/>
        <v>OverrideNamedEngramEntries=(EngramEntry_Tuna_Atlantic_C,EngramHidden=true)</v>
      </c>
      <c r="K598" s="1"/>
    </row>
    <row r="599">
      <c r="A599" s="7"/>
      <c r="B599" s="7"/>
      <c r="C599" s="77">
        <v>18.0</v>
      </c>
      <c r="D599" s="61" t="str">
        <f t="shared" si="93"/>
        <v>PrimalItemSaddle</v>
      </c>
      <c r="E599" s="62" t="s">
        <v>3216</v>
      </c>
      <c r="F599" s="62" t="s">
        <v>3217</v>
      </c>
      <c r="G599" s="78" t="str">
        <f t="shared" si="79"/>
        <v>cheat gfi PrimalItemSaddle_Tuna_Pacific_C 1 100 0</v>
      </c>
      <c r="H599" s="62" t="s">
        <v>3218</v>
      </c>
      <c r="I599" s="45" t="str">
        <f t="shared" si="80"/>
        <v>EngramEntry_Tuna_Pacific_C</v>
      </c>
      <c r="J599" s="78" t="str">
        <f t="shared" si="91"/>
        <v>OverrideNamedEngramEntries=(EngramEntry_Tuna_Pacific_C,EngramHidden=true)</v>
      </c>
      <c r="K599" s="1"/>
    </row>
    <row r="600">
      <c r="A600" s="7"/>
      <c r="B600" s="7"/>
      <c r="C600" s="75">
        <v>18.0</v>
      </c>
      <c r="D600" s="58" t="str">
        <f t="shared" si="93"/>
        <v>PrimalItemSaddle</v>
      </c>
      <c r="E600" s="59" t="s">
        <v>3219</v>
      </c>
      <c r="F600" s="59" t="s">
        <v>3220</v>
      </c>
      <c r="G600" s="76" t="str">
        <f t="shared" si="79"/>
        <v>cheat gfi PrimalItemSaddle_Turkey_Alpha_C 1 100 0</v>
      </c>
      <c r="H600" s="59" t="s">
        <v>3221</v>
      </c>
      <c r="I600" s="46" t="str">
        <f t="shared" si="80"/>
        <v>EngramEntry_Turkey_Alpha_C</v>
      </c>
      <c r="J600" s="76" t="str">
        <f t="shared" si="91"/>
        <v>OverrideNamedEngramEntries=(EngramEntry_Turkey_Alpha_C,EngramHidden=true)</v>
      </c>
      <c r="K600" s="1"/>
    </row>
    <row r="601">
      <c r="A601" s="7"/>
      <c r="B601" s="7"/>
      <c r="C601" s="77">
        <v>18.0</v>
      </c>
      <c r="D601" s="61" t="str">
        <f t="shared" si="93"/>
        <v>PrimalItemSaddle</v>
      </c>
      <c r="E601" s="62" t="s">
        <v>3222</v>
      </c>
      <c r="F601" s="62" t="s">
        <v>3223</v>
      </c>
      <c r="G601" s="78" t="str">
        <f t="shared" si="79"/>
        <v>cheat gfi PrimalItemSaddle_Turkey_Apex_C 1 100 0</v>
      </c>
      <c r="H601" s="62" t="s">
        <v>3224</v>
      </c>
      <c r="I601" s="45" t="str">
        <f t="shared" si="80"/>
        <v>EngramEntry_Turkey_Apex_C</v>
      </c>
      <c r="J601" s="78" t="str">
        <f t="shared" si="91"/>
        <v>OverrideNamedEngramEntries=(EngramEntry_Turkey_Apex_C,EngramHidden=true)</v>
      </c>
      <c r="K601" s="1"/>
    </row>
    <row r="602">
      <c r="A602" s="7"/>
      <c r="B602" s="7"/>
      <c r="C602" s="75">
        <v>18.0</v>
      </c>
      <c r="D602" s="58" t="str">
        <f t="shared" si="93"/>
        <v>PrimalItemArmor_TurtleSaddle</v>
      </c>
      <c r="E602" s="59" t="s">
        <v>3225</v>
      </c>
      <c r="F602" s="59" t="s">
        <v>3226</v>
      </c>
      <c r="G602" s="76" t="str">
        <f t="shared" si="79"/>
        <v>cheat gfi PrimalItemArmor_TurtleSaddle_Alpha_C 1 100 0</v>
      </c>
      <c r="H602" s="59" t="s">
        <v>3227</v>
      </c>
      <c r="I602" s="46" t="str">
        <f t="shared" si="80"/>
        <v>EngramEntry_TurtleSaddle_Alpha_C</v>
      </c>
      <c r="J602" s="76" t="str">
        <f t="shared" si="91"/>
        <v>OverrideNamedEngramEntries=(EngramEntry_TurtleSaddle_Alpha_C,EngramHidden=true)</v>
      </c>
      <c r="K602" s="1"/>
    </row>
    <row r="603">
      <c r="A603" s="7"/>
      <c r="B603" s="7"/>
      <c r="C603" s="77">
        <v>18.0</v>
      </c>
      <c r="D603" s="61" t="str">
        <f t="shared" si="93"/>
        <v>PrimalItemArmor_TurtleSaddle</v>
      </c>
      <c r="E603" s="62" t="s">
        <v>3228</v>
      </c>
      <c r="F603" s="62" t="s">
        <v>3229</v>
      </c>
      <c r="G603" s="78" t="str">
        <f t="shared" si="79"/>
        <v>cheat gfi PrimalItemArmor_TurtleSaddle_Apex_C 1 100 0</v>
      </c>
      <c r="H603" s="62" t="s">
        <v>3230</v>
      </c>
      <c r="I603" s="45" t="str">
        <f t="shared" si="80"/>
        <v>EngramEntry_TurtleSaddle_Apex_C</v>
      </c>
      <c r="J603" s="78" t="str">
        <f t="shared" si="91"/>
        <v>OverrideNamedEngramEntries=(EngramEntry_TurtleSaddle_Apex_C,EngramHidden=true)</v>
      </c>
      <c r="K603" s="1"/>
    </row>
    <row r="604">
      <c r="A604" s="7"/>
      <c r="B604" s="7"/>
      <c r="C604" s="75">
        <v>18.0</v>
      </c>
      <c r="D604" s="58" t="str">
        <f t="shared" si="93"/>
        <v>PrimalItemArmor_TurtleSaddle</v>
      </c>
      <c r="E604" s="59" t="s">
        <v>3231</v>
      </c>
      <c r="F604" s="59" t="s">
        <v>3232</v>
      </c>
      <c r="G604" s="76" t="str">
        <f t="shared" si="79"/>
        <v>cheat gfi PrimalItemArmor_TurtleSaddle_Hydro_C 1 100 0</v>
      </c>
      <c r="H604" s="59" t="s">
        <v>3233</v>
      </c>
      <c r="I604" s="46" t="str">
        <f t="shared" si="80"/>
        <v>EngramEntry_TurtleSaddle_Hydro_C</v>
      </c>
      <c r="J604" s="76" t="str">
        <f t="shared" si="91"/>
        <v>OverrideNamedEngramEntries=(EngramEntry_TurtleSaddle_Hydro_C,EngramHidden=true)</v>
      </c>
      <c r="K604" s="1"/>
    </row>
    <row r="605">
      <c r="A605" s="7"/>
      <c r="B605" s="7"/>
      <c r="C605" s="77">
        <v>18.0</v>
      </c>
      <c r="D605" s="61" t="str">
        <f t="shared" si="93"/>
        <v>PrimalItemArmor_TusoSaddle</v>
      </c>
      <c r="E605" s="62" t="s">
        <v>3234</v>
      </c>
      <c r="F605" s="62" t="s">
        <v>3235</v>
      </c>
      <c r="G605" s="78" t="str">
        <f t="shared" si="79"/>
        <v>cheat gfi PrimalItemArmor_TusoSaddle_Atlantic_C 1 100 0</v>
      </c>
      <c r="H605" s="62" t="s">
        <v>3236</v>
      </c>
      <c r="I605" s="45" t="str">
        <f t="shared" si="80"/>
        <v>EngramEntry_TusoSaddle_Atlantic_C</v>
      </c>
      <c r="J605" s="78" t="str">
        <f t="shared" si="91"/>
        <v>OverrideNamedEngramEntries=(EngramEntry_TusoSaddle_Atlantic_C,EngramHidden=true)</v>
      </c>
      <c r="K605" s="1"/>
    </row>
    <row r="606">
      <c r="A606" s="7"/>
      <c r="B606" s="7"/>
      <c r="C606" s="75">
        <v>18.0</v>
      </c>
      <c r="D606" s="58" t="str">
        <f t="shared" si="93"/>
        <v>PrimalItemArmor_TusoSaddle</v>
      </c>
      <c r="E606" s="59" t="s">
        <v>3237</v>
      </c>
      <c r="F606" s="59" t="s">
        <v>3238</v>
      </c>
      <c r="G606" s="76" t="str">
        <f t="shared" si="79"/>
        <v>cheat gfi PrimalItemArmor_TusoSaddle_Pacific_C 1 100 0</v>
      </c>
      <c r="H606" s="59" t="s">
        <v>3239</v>
      </c>
      <c r="I606" s="46" t="str">
        <f t="shared" si="80"/>
        <v>EngramEntry_TusoSaddle_Pacific_C</v>
      </c>
      <c r="J606" s="76" t="str">
        <f t="shared" si="91"/>
        <v>OverrideNamedEngramEntries=(EngramEntry_TusoSaddle_Pacific_C,EngramHidden=true)</v>
      </c>
      <c r="K606" s="1"/>
    </row>
    <row r="607">
      <c r="A607" s="7"/>
      <c r="B607" s="7"/>
      <c r="C607" s="77">
        <v>18.0</v>
      </c>
      <c r="D607" s="61" t="str">
        <f t="shared" si="93"/>
        <v>PrimalItemSaddle</v>
      </c>
      <c r="E607" s="62" t="s">
        <v>3240</v>
      </c>
      <c r="F607" s="62" t="s">
        <v>3241</v>
      </c>
      <c r="G607" s="78" t="str">
        <f t="shared" si="79"/>
        <v>cheat gfi PrimalItemSaddle_Wolf_Frost_C 1 100 0</v>
      </c>
      <c r="H607" s="62" t="s">
        <v>3242</v>
      </c>
      <c r="I607" s="45" t="str">
        <f t="shared" si="80"/>
        <v>EngramEntry_Wolf_Frost_C</v>
      </c>
      <c r="J607" s="78" t="str">
        <f t="shared" si="91"/>
        <v>OverrideNamedEngramEntries=(EngramEntry_Wolf_Frost_C,EngramHidden=true)</v>
      </c>
      <c r="K607" s="1"/>
    </row>
    <row r="608">
      <c r="A608" s="7"/>
      <c r="B608" s="7"/>
      <c r="C608" s="75">
        <v>18.0</v>
      </c>
      <c r="D608" s="58" t="str">
        <f t="shared" si="93"/>
        <v>PrimalItemSaddle</v>
      </c>
      <c r="E608" s="59" t="s">
        <v>3243</v>
      </c>
      <c r="F608" s="59" t="s">
        <v>3244</v>
      </c>
      <c r="G608" s="76" t="str">
        <f t="shared" si="79"/>
        <v>cheat gfi PrimalItemSaddle_Wyvern_Demonic_C 1 100 0</v>
      </c>
      <c r="H608" s="59" t="s">
        <v>3245</v>
      </c>
      <c r="I608" s="46" t="str">
        <f t="shared" si="80"/>
        <v>EngramEntry_Wyvern_Demonic_C</v>
      </c>
      <c r="J608" s="76" t="str">
        <f t="shared" si="91"/>
        <v>OverrideNamedEngramEntries=(EngramEntry_Wyvern_Demonic_C,EngramHidden=true)</v>
      </c>
      <c r="K608" s="1"/>
    </row>
    <row r="609">
      <c r="A609" s="7"/>
      <c r="B609" s="7"/>
      <c r="C609" s="77">
        <v>18.0</v>
      </c>
      <c r="D609" s="61" t="str">
        <f t="shared" si="93"/>
        <v>PrimalItemSaddle</v>
      </c>
      <c r="E609" s="62" t="s">
        <v>3246</v>
      </c>
      <c r="F609" s="62" t="s">
        <v>3247</v>
      </c>
      <c r="G609" s="78" t="str">
        <f t="shared" si="79"/>
        <v>cheat gfi PrimalItemSaddle_Wyvern_Frost_C 1 100 0</v>
      </c>
      <c r="H609" s="62" t="s">
        <v>3248</v>
      </c>
      <c r="I609" s="45" t="str">
        <f t="shared" si="80"/>
        <v>EngramEntry_Wyvern_Frost_C</v>
      </c>
      <c r="J609" s="78" t="str">
        <f t="shared" si="91"/>
        <v>OverrideNamedEngramEntries=(EngramEntry_Wyvern_Frost_C,EngramHidden=true)</v>
      </c>
      <c r="K609" s="1"/>
    </row>
    <row r="610">
      <c r="A610" s="7"/>
      <c r="B610" s="7"/>
      <c r="C610" s="75">
        <v>18.0</v>
      </c>
      <c r="D610" s="58" t="str">
        <f t="shared" si="93"/>
        <v>PrimalItemArmor_XiphSaddle</v>
      </c>
      <c r="E610" s="59" t="s">
        <v>3249</v>
      </c>
      <c r="F610" s="59" t="s">
        <v>3250</v>
      </c>
      <c r="G610" s="76" t="str">
        <f t="shared" si="79"/>
        <v>cheat gfi PrimalItemArmor_XiphSaddle_ASA_Atlantic_C 1 100 0</v>
      </c>
      <c r="H610" s="59" t="s">
        <v>3251</v>
      </c>
      <c r="I610" s="46" t="str">
        <f t="shared" si="80"/>
        <v>EngramEntry_XiphSaddle_ASA_Atlantic_C</v>
      </c>
      <c r="J610" s="76" t="str">
        <f t="shared" si="91"/>
        <v>OverrideNamedEngramEntries=(EngramEntry_XiphSaddle_ASA_Atlantic_C,EngramHidden=true)</v>
      </c>
      <c r="K610" s="1"/>
    </row>
    <row r="611">
      <c r="A611" s="7"/>
      <c r="B611" s="7"/>
      <c r="C611" s="77">
        <v>18.0</v>
      </c>
      <c r="D611" s="61" t="str">
        <f t="shared" si="93"/>
        <v>PrimalItemArmor_XiphSaddle</v>
      </c>
      <c r="E611" s="62" t="s">
        <v>3252</v>
      </c>
      <c r="F611" s="62" t="s">
        <v>3253</v>
      </c>
      <c r="G611" s="78" t="str">
        <f t="shared" si="79"/>
        <v>cheat gfi PrimalItemArmor_XiphSaddle_ASA_Pacific_C 1 100 0</v>
      </c>
      <c r="H611" s="62" t="s">
        <v>3254</v>
      </c>
      <c r="I611" s="45" t="str">
        <f t="shared" si="80"/>
        <v>EngramEntry_XiphSaddle_ASA_Pacific_C</v>
      </c>
      <c r="J611" s="78" t="str">
        <f t="shared" si="91"/>
        <v>OverrideNamedEngramEntries=(EngramEntry_XiphSaddle_ASA_Pacific_C,EngramHidden=true)</v>
      </c>
      <c r="K611" s="1"/>
    </row>
    <row r="612">
      <c r="A612" s="7"/>
      <c r="B612" s="7"/>
      <c r="C612" s="75">
        <v>18.0</v>
      </c>
      <c r="D612" s="58" t="str">
        <f t="shared" si="93"/>
        <v>PrimalItemArmor_YutySaddle</v>
      </c>
      <c r="E612" s="59" t="s">
        <v>3255</v>
      </c>
      <c r="F612" s="59" t="s">
        <v>3256</v>
      </c>
      <c r="G612" s="76" t="str">
        <f t="shared" si="79"/>
        <v>cheat gfi PrimalItemArmor_YutySaddle_Alpha_C 1 100 0</v>
      </c>
      <c r="H612" s="59" t="s">
        <v>3257</v>
      </c>
      <c r="I612" s="46" t="str">
        <f t="shared" si="80"/>
        <v>EngramEntry_YutySaddle_Alpha_C</v>
      </c>
      <c r="J612" s="76" t="str">
        <f t="shared" si="91"/>
        <v>OverrideNamedEngramEntries=(EngramEntry_YutySaddle_Alpha_C,EngramHidden=true)</v>
      </c>
      <c r="K612" s="1"/>
    </row>
    <row r="613">
      <c r="A613" s="7"/>
      <c r="B613" s="7"/>
      <c r="C613" s="77">
        <v>18.0</v>
      </c>
      <c r="D613" s="61" t="str">
        <f t="shared" si="93"/>
        <v>PrimalItemArmor_YutySaddle</v>
      </c>
      <c r="E613" s="62" t="s">
        <v>3258</v>
      </c>
      <c r="F613" s="62" t="s">
        <v>3259</v>
      </c>
      <c r="G613" s="78" t="str">
        <f t="shared" si="79"/>
        <v>cheat gfi PrimalItemArmor_YutySaddle_Apex_C 1 100 0</v>
      </c>
      <c r="H613" s="62" t="s">
        <v>3260</v>
      </c>
      <c r="I613" s="45" t="str">
        <f t="shared" si="80"/>
        <v>EngramEntry_YutySaddle_Apex_C</v>
      </c>
      <c r="J613" s="78" t="str">
        <f t="shared" si="91"/>
        <v>OverrideNamedEngramEntries=(EngramEntry_YutySaddle_Apex_C,EngramHidden=true)</v>
      </c>
      <c r="K613" s="1"/>
    </row>
    <row r="614">
      <c r="A614" s="7"/>
      <c r="B614" s="7"/>
      <c r="C614" s="75">
        <v>18.0</v>
      </c>
      <c r="D614" s="58" t="str">
        <f t="shared" si="93"/>
        <v>PrimalItemArmor_YutySaddle</v>
      </c>
      <c r="E614" s="59" t="s">
        <v>3261</v>
      </c>
      <c r="F614" s="59" t="s">
        <v>3262</v>
      </c>
      <c r="G614" s="76" t="str">
        <f t="shared" si="79"/>
        <v>cheat gfi PrimalItemArmor_YutySaddle_Frost_C 1 100 0</v>
      </c>
      <c r="H614" s="59" t="s">
        <v>3263</v>
      </c>
      <c r="I614" s="46" t="str">
        <f t="shared" si="80"/>
        <v>EngramEntry_YutySaddle_Frost_C</v>
      </c>
      <c r="J614" s="76" t="str">
        <f t="shared" si="91"/>
        <v>OverrideNamedEngramEntries=(EngramEntry_YutySaddle_Frost_C,EngramHidden=true)</v>
      </c>
      <c r="K614" s="1"/>
    </row>
    <row r="615">
      <c r="A615" s="7"/>
      <c r="B615" s="18"/>
      <c r="C615" s="19"/>
      <c r="D615" s="19"/>
      <c r="E615" s="19"/>
      <c r="F615" s="19"/>
      <c r="G615" s="19"/>
      <c r="H615" s="19"/>
      <c r="I615" s="19"/>
      <c r="J615" s="19"/>
      <c r="K615" s="2"/>
    </row>
    <row r="616">
      <c r="A616" s="7"/>
      <c r="B616" s="81" t="s">
        <v>3264</v>
      </c>
      <c r="C616" s="46">
        <f t="shared" ref="C616:C632" si="94">IF(D616="PrimalItemConsumable_Blood",1)+IF(D616="PrimalItemConsumable_Narcotic",2)+IF(D616="PrimalItemConsumable_Seed",3)+IF(D616="PrimalItemConsumable_Fruit",4)+IF(D616="PrimalItemConsumable_Egg_Unfertilized",5)+IF(D616="PrimalItemConsumable_Kibble",6)+IF(D616="PrimalItemConsumable_Potion",7)+IF(D616="PrimalItemConsumable_XP",8)+IF(D616="PrimalItemConsumable_Food",9)+IF(D616="PrimalItemResource",10)+IF(D616="PrimalItemResource_Hide",11)+IF(D616="PrimalItemResource_MetalIngot",12)+IF(D616="PrimalItemConsumable_Summon",13)+IF(D616="PrimalItemStructure",14)+IF(D616="PrimalItem_Weapon",15)+IF(D616="PrimalItemAmmo",16)+IF(D616="PrimalItemArmor",17)+IF(D616="PrimalItemSaddle",18)+IF(D616="PrimalItemConsumable_UnderwaterEgg",19)+IF(D616="PrimalItemConsumable_Egg",20)</f>
        <v>19</v>
      </c>
      <c r="D616" s="46" t="str">
        <f t="shared" ref="D616:D632" si="95">Left(F616,find("Egg",F616)+2)</f>
        <v>PrimalItemConsumable_UnderwaterEgg</v>
      </c>
      <c r="E616" s="11" t="s">
        <v>3265</v>
      </c>
      <c r="F616" s="11" t="s">
        <v>3266</v>
      </c>
      <c r="G616" s="46" t="str">
        <f t="shared" ref="G616:G632" si="96">"cheat gfi "&amp;F616&amp;" 1 100 0"</f>
        <v>cheat gfi PrimalItemConsumable_UnderwaterEgg_Diplocaulus_Atlantic_C 1 100 0</v>
      </c>
      <c r="H616" s="11" t="s">
        <v>3267</v>
      </c>
      <c r="I616" s="46" t="str">
        <f t="shared" ref="I616:I632" si="97">CONCATENATE("EngramEntry",RIGHT(F616,LEN(F616) - (FIND("_",F616) - 1)))</f>
        <v>EngramEntry_UnderwaterEgg_Diplocaulus_Atlantic_C</v>
      </c>
      <c r="J616" s="46" t="str">
        <f t="shared" ref="J616:J632" si="98">"OverrideNamedEngramEntries=("&amp;I616&amp;",EngramHidden=true)"</f>
        <v>OverrideNamedEngramEntries=(EngramEntry_UnderwaterEgg_Diplocaulus_Atlantic_C,EngramHidden=true)</v>
      </c>
      <c r="K616" s="2"/>
    </row>
    <row r="617">
      <c r="A617" s="7"/>
      <c r="B617" s="7"/>
      <c r="C617" s="45">
        <f t="shared" si="94"/>
        <v>19</v>
      </c>
      <c r="D617" s="45" t="str">
        <f t="shared" si="95"/>
        <v>PrimalItemConsumable_UnderwaterEgg</v>
      </c>
      <c r="E617" s="8" t="s">
        <v>3268</v>
      </c>
      <c r="F617" s="8" t="s">
        <v>3269</v>
      </c>
      <c r="G617" s="45" t="str">
        <f t="shared" si="96"/>
        <v>cheat gfi PrimalItemConsumable_UnderwaterEgg_Diplocaulus_Hydro_C 1 100 0</v>
      </c>
      <c r="H617" s="8" t="s">
        <v>3270</v>
      </c>
      <c r="I617" s="45" t="str">
        <f t="shared" si="97"/>
        <v>EngramEntry_UnderwaterEgg_Diplocaulus_Hydro_C</v>
      </c>
      <c r="J617" s="45" t="str">
        <f t="shared" si="98"/>
        <v>OverrideNamedEngramEntries=(EngramEntry_UnderwaterEgg_Diplocaulus_Hydro_C,EngramHidden=true)</v>
      </c>
      <c r="K617" s="2"/>
    </row>
    <row r="618">
      <c r="A618" s="7"/>
      <c r="B618" s="7"/>
      <c r="C618" s="46">
        <f t="shared" si="94"/>
        <v>19</v>
      </c>
      <c r="D618" s="46" t="str">
        <f t="shared" si="95"/>
        <v>PrimalItemConsumable_UnderwaterEgg</v>
      </c>
      <c r="E618" s="11" t="s">
        <v>3271</v>
      </c>
      <c r="F618" s="11" t="s">
        <v>3272</v>
      </c>
      <c r="G618" s="46" t="str">
        <f t="shared" si="96"/>
        <v>cheat gfi PrimalItemConsumable_UnderwaterEgg_Diplocaulus_Pacific_C 1 100 0</v>
      </c>
      <c r="H618" s="11" t="s">
        <v>3273</v>
      </c>
      <c r="I618" s="46" t="str">
        <f t="shared" si="97"/>
        <v>EngramEntry_UnderwaterEgg_Diplocaulus_Pacific_C</v>
      </c>
      <c r="J618" s="46" t="str">
        <f t="shared" si="98"/>
        <v>OverrideNamedEngramEntries=(EngramEntry_UnderwaterEgg_Diplocaulus_Pacific_C,EngramHidden=true)</v>
      </c>
      <c r="K618" s="2"/>
    </row>
    <row r="619">
      <c r="A619" s="7"/>
      <c r="B619" s="7"/>
      <c r="C619" s="45">
        <f t="shared" si="94"/>
        <v>19</v>
      </c>
      <c r="D619" s="45" t="str">
        <f t="shared" si="95"/>
        <v>PrimalItemConsumable_UnderwaterEgg</v>
      </c>
      <c r="E619" s="8" t="s">
        <v>3274</v>
      </c>
      <c r="F619" s="8" t="s">
        <v>3275</v>
      </c>
      <c r="G619" s="45" t="str">
        <f t="shared" si="96"/>
        <v>cheat gfi PrimalItemConsumable_UnderwaterEgg_Eel_Atlantic_C 1 100 0</v>
      </c>
      <c r="H619" s="8" t="s">
        <v>3276</v>
      </c>
      <c r="I619" s="45" t="str">
        <f t="shared" si="97"/>
        <v>EngramEntry_UnderwaterEgg_Eel_Atlantic_C</v>
      </c>
      <c r="J619" s="45" t="str">
        <f t="shared" si="98"/>
        <v>OverrideNamedEngramEntries=(EngramEntry_UnderwaterEgg_Eel_Atlantic_C,EngramHidden=true)</v>
      </c>
      <c r="K619" s="2"/>
    </row>
    <row r="620">
      <c r="A620" s="7"/>
      <c r="B620" s="7"/>
      <c r="C620" s="46">
        <f t="shared" si="94"/>
        <v>19</v>
      </c>
      <c r="D620" s="46" t="str">
        <f t="shared" si="95"/>
        <v>PrimalItemConsumable_UnderwaterEgg</v>
      </c>
      <c r="E620" s="11" t="s">
        <v>3277</v>
      </c>
      <c r="F620" s="11" t="s">
        <v>3278</v>
      </c>
      <c r="G620" s="46" t="str">
        <f t="shared" si="96"/>
        <v>cheat gfi PrimalItemConsumable_UnderwaterEgg_Eel_Pacific_C 1 100 0</v>
      </c>
      <c r="H620" s="11" t="s">
        <v>3279</v>
      </c>
      <c r="I620" s="46" t="str">
        <f t="shared" si="97"/>
        <v>EngramEntry_UnderwaterEgg_Eel_Pacific_C</v>
      </c>
      <c r="J620" s="46" t="str">
        <f t="shared" si="98"/>
        <v>OverrideNamedEngramEntries=(EngramEntry_UnderwaterEgg_Eel_Pacific_C,EngramHidden=true)</v>
      </c>
      <c r="K620" s="2"/>
    </row>
    <row r="621">
      <c r="A621" s="7"/>
      <c r="B621" s="7"/>
      <c r="C621" s="45">
        <f t="shared" si="94"/>
        <v>19</v>
      </c>
      <c r="D621" s="45" t="str">
        <f t="shared" si="95"/>
        <v>PrimalItemConsumable_UnderwaterEgg</v>
      </c>
      <c r="E621" s="8" t="s">
        <v>3280</v>
      </c>
      <c r="F621" s="8" t="s">
        <v>3281</v>
      </c>
      <c r="G621" s="45" t="str">
        <f t="shared" si="96"/>
        <v>cheat gfi PrimalItemConsumable_UnderwaterEgg_Squid_Atlantic_C 1 100 0</v>
      </c>
      <c r="H621" s="8" t="s">
        <v>3282</v>
      </c>
      <c r="I621" s="45" t="str">
        <f t="shared" si="97"/>
        <v>EngramEntry_UnderwaterEgg_Squid_Atlantic_C</v>
      </c>
      <c r="J621" s="45" t="str">
        <f t="shared" si="98"/>
        <v>OverrideNamedEngramEntries=(EngramEntry_UnderwaterEgg_Squid_Atlantic_C,EngramHidden=true)</v>
      </c>
      <c r="K621" s="2"/>
    </row>
    <row r="622">
      <c r="A622" s="7"/>
      <c r="B622" s="7"/>
      <c r="C622" s="46">
        <f t="shared" si="94"/>
        <v>19</v>
      </c>
      <c r="D622" s="46" t="str">
        <f t="shared" si="95"/>
        <v>PrimalItemConsumable_UnderwaterEgg</v>
      </c>
      <c r="E622" s="11" t="s">
        <v>3283</v>
      </c>
      <c r="F622" s="11" t="s">
        <v>3284</v>
      </c>
      <c r="G622" s="46" t="str">
        <f t="shared" si="96"/>
        <v>cheat gfi PrimalItemConsumable_UnderwaterEgg_Squid_Pacific_C 1 100 0</v>
      </c>
      <c r="H622" s="11" t="s">
        <v>3285</v>
      </c>
      <c r="I622" s="46" t="str">
        <f t="shared" si="97"/>
        <v>EngramEntry_UnderwaterEgg_Squid_Pacific_C</v>
      </c>
      <c r="J622" s="46" t="str">
        <f t="shared" si="98"/>
        <v>OverrideNamedEngramEntries=(EngramEntry_UnderwaterEgg_Squid_Pacific_C,EngramHidden=true)</v>
      </c>
      <c r="K622" s="2"/>
    </row>
    <row r="623">
      <c r="A623" s="7"/>
      <c r="B623" s="7"/>
      <c r="C623" s="45">
        <f t="shared" si="94"/>
        <v>19</v>
      </c>
      <c r="D623" s="45" t="str">
        <f t="shared" si="95"/>
        <v>PrimalItemConsumable_UnderwaterEgg</v>
      </c>
      <c r="E623" s="8" t="s">
        <v>3286</v>
      </c>
      <c r="F623" s="8" t="s">
        <v>3287</v>
      </c>
      <c r="G623" s="45" t="str">
        <f t="shared" si="96"/>
        <v>cheat gfi PrimalItemConsumable_UnderwaterEgg_Toad_Alpha_C 1 100 0</v>
      </c>
      <c r="H623" s="8" t="s">
        <v>3288</v>
      </c>
      <c r="I623" s="45" t="str">
        <f t="shared" si="97"/>
        <v>EngramEntry_UnderwaterEgg_Toad_Alpha_C</v>
      </c>
      <c r="J623" s="45" t="str">
        <f t="shared" si="98"/>
        <v>OverrideNamedEngramEntries=(EngramEntry_UnderwaterEgg_Toad_Alpha_C,EngramHidden=true)</v>
      </c>
      <c r="K623" s="2"/>
    </row>
    <row r="624">
      <c r="A624" s="7"/>
      <c r="B624" s="7"/>
      <c r="C624" s="46">
        <f t="shared" si="94"/>
        <v>19</v>
      </c>
      <c r="D624" s="46" t="str">
        <f t="shared" si="95"/>
        <v>PrimalItemConsumable_UnderwaterEgg</v>
      </c>
      <c r="E624" s="11" t="s">
        <v>3289</v>
      </c>
      <c r="F624" s="11" t="s">
        <v>3290</v>
      </c>
      <c r="G624" s="46" t="str">
        <f t="shared" si="96"/>
        <v>cheat gfi PrimalItemConsumable_UnderwaterEgg_Toad_Alpha_C_C 1 100 0</v>
      </c>
      <c r="H624" s="11" t="s">
        <v>3291</v>
      </c>
      <c r="I624" s="46" t="str">
        <f t="shared" si="97"/>
        <v>EngramEntry_UnderwaterEgg_Toad_Alpha_C_C</v>
      </c>
      <c r="J624" s="46" t="str">
        <f t="shared" si="98"/>
        <v>OverrideNamedEngramEntries=(EngramEntry_UnderwaterEgg_Toad_Alpha_C_C,EngramHidden=true)</v>
      </c>
      <c r="K624" s="2"/>
    </row>
    <row r="625">
      <c r="A625" s="7"/>
      <c r="B625" s="7"/>
      <c r="C625" s="45">
        <f t="shared" si="94"/>
        <v>19</v>
      </c>
      <c r="D625" s="45" t="str">
        <f t="shared" si="95"/>
        <v>PrimalItemConsumable_UnderwaterEgg</v>
      </c>
      <c r="E625" s="8" t="s">
        <v>3292</v>
      </c>
      <c r="F625" s="8" t="s">
        <v>3293</v>
      </c>
      <c r="G625" s="45" t="str">
        <f t="shared" si="96"/>
        <v>cheat gfi PrimalItemConsumable_UnderwaterEgg_Toad_Alpha_P_C 1 100 0</v>
      </c>
      <c r="H625" s="8" t="s">
        <v>3294</v>
      </c>
      <c r="I625" s="45" t="str">
        <f t="shared" si="97"/>
        <v>EngramEntry_UnderwaterEgg_Toad_Alpha_P_C</v>
      </c>
      <c r="J625" s="45" t="str">
        <f t="shared" si="98"/>
        <v>OverrideNamedEngramEntries=(EngramEntry_UnderwaterEgg_Toad_Alpha_P_C,EngramHidden=true)</v>
      </c>
      <c r="K625" s="2"/>
    </row>
    <row r="626">
      <c r="A626" s="7"/>
      <c r="B626" s="7"/>
      <c r="C626" s="46">
        <f t="shared" si="94"/>
        <v>19</v>
      </c>
      <c r="D626" s="46" t="str">
        <f t="shared" si="95"/>
        <v>PrimalItemConsumable_UnderwaterEgg</v>
      </c>
      <c r="E626" s="11" t="s">
        <v>3295</v>
      </c>
      <c r="F626" s="11" t="s">
        <v>3296</v>
      </c>
      <c r="G626" s="46" t="str">
        <f t="shared" si="96"/>
        <v>cheat gfi PrimalItemConsumable_UnderwaterEgg_Toad_Apex_C 1 100 0</v>
      </c>
      <c r="H626" s="11" t="s">
        <v>3297</v>
      </c>
      <c r="I626" s="46" t="str">
        <f t="shared" si="97"/>
        <v>EngramEntry_UnderwaterEgg_Toad_Apex_C</v>
      </c>
      <c r="J626" s="46" t="str">
        <f t="shared" si="98"/>
        <v>OverrideNamedEngramEntries=(EngramEntry_UnderwaterEgg_Toad_Apex_C,EngramHidden=true)</v>
      </c>
      <c r="K626" s="2"/>
    </row>
    <row r="627">
      <c r="A627" s="7"/>
      <c r="B627" s="7"/>
      <c r="C627" s="45">
        <f t="shared" si="94"/>
        <v>19</v>
      </c>
      <c r="D627" s="45" t="str">
        <f t="shared" si="95"/>
        <v>PrimalItemConsumable_UnderwaterEgg</v>
      </c>
      <c r="E627" s="8" t="s">
        <v>3298</v>
      </c>
      <c r="F627" s="8" t="s">
        <v>3299</v>
      </c>
      <c r="G627" s="45" t="str">
        <f t="shared" si="96"/>
        <v>cheat gfi PrimalItemConsumable_UnderwaterEgg_Toad_Beta_C 1 100 0</v>
      </c>
      <c r="H627" s="8" t="s">
        <v>3300</v>
      </c>
      <c r="I627" s="45" t="str">
        <f t="shared" si="97"/>
        <v>EngramEntry_UnderwaterEgg_Toad_Beta_C</v>
      </c>
      <c r="J627" s="45" t="str">
        <f t="shared" si="98"/>
        <v>OverrideNamedEngramEntries=(EngramEntry_UnderwaterEgg_Toad_Beta_C,EngramHidden=true)</v>
      </c>
      <c r="K627" s="2"/>
    </row>
    <row r="628">
      <c r="A628" s="7"/>
      <c r="B628" s="7"/>
      <c r="C628" s="46">
        <f t="shared" si="94"/>
        <v>19</v>
      </c>
      <c r="D628" s="46" t="str">
        <f t="shared" si="95"/>
        <v>PrimalItemConsumable_UnderwaterEgg</v>
      </c>
      <c r="E628" s="11" t="s">
        <v>3301</v>
      </c>
      <c r="F628" s="11" t="s">
        <v>3302</v>
      </c>
      <c r="G628" s="46" t="str">
        <f t="shared" si="96"/>
        <v>cheat gfi PrimalItemConsumable_UnderwaterEgg_Toad_Hydro_C 1 100 0</v>
      </c>
      <c r="H628" s="11" t="s">
        <v>3303</v>
      </c>
      <c r="I628" s="46" t="str">
        <f t="shared" si="97"/>
        <v>EngramEntry_UnderwaterEgg_Toad_Hydro_C</v>
      </c>
      <c r="J628" s="46" t="str">
        <f t="shared" si="98"/>
        <v>OverrideNamedEngramEntries=(EngramEntry_UnderwaterEgg_Toad_Hydro_C,EngramHidden=true)</v>
      </c>
      <c r="K628" s="2"/>
    </row>
    <row r="629">
      <c r="A629" s="7"/>
      <c r="B629" s="7"/>
      <c r="C629" s="45">
        <f t="shared" si="94"/>
        <v>19</v>
      </c>
      <c r="D629" s="45" t="str">
        <f t="shared" si="95"/>
        <v>PrimalItemConsumable_UnderwaterEgg</v>
      </c>
      <c r="E629" s="8" t="s">
        <v>3304</v>
      </c>
      <c r="F629" s="8" t="s">
        <v>3305</v>
      </c>
      <c r="G629" s="45" t="str">
        <f t="shared" si="96"/>
        <v>cheat gfi PrimalItemConsumable_UnderwaterEgg_Tuso_Atlantic_C 1 100 0</v>
      </c>
      <c r="H629" s="8" t="s">
        <v>3306</v>
      </c>
      <c r="I629" s="45" t="str">
        <f t="shared" si="97"/>
        <v>EngramEntry_UnderwaterEgg_Tuso_Atlantic_C</v>
      </c>
      <c r="J629" s="45" t="str">
        <f t="shared" si="98"/>
        <v>OverrideNamedEngramEntries=(EngramEntry_UnderwaterEgg_Tuso_Atlantic_C,EngramHidden=true)</v>
      </c>
      <c r="K629" s="2"/>
    </row>
    <row r="630">
      <c r="A630" s="7"/>
      <c r="B630" s="7"/>
      <c r="C630" s="46">
        <f t="shared" si="94"/>
        <v>19</v>
      </c>
      <c r="D630" s="46" t="str">
        <f t="shared" si="95"/>
        <v>PrimalItemConsumable_UnderwaterEgg</v>
      </c>
      <c r="E630" s="11" t="s">
        <v>3307</v>
      </c>
      <c r="F630" s="11" t="s">
        <v>3308</v>
      </c>
      <c r="G630" s="46" t="str">
        <f t="shared" si="96"/>
        <v>cheat gfi PrimalItemConsumable_UnderwaterEgg_Tuso_Pacific_C 1 100 0</v>
      </c>
      <c r="H630" s="11" t="s">
        <v>3309</v>
      </c>
      <c r="I630" s="46" t="str">
        <f t="shared" si="97"/>
        <v>EngramEntry_UnderwaterEgg_Tuso_Pacific_C</v>
      </c>
      <c r="J630" s="46" t="str">
        <f t="shared" si="98"/>
        <v>OverrideNamedEngramEntries=(EngramEntry_UnderwaterEgg_Tuso_Pacific_C,EngramHidden=true)</v>
      </c>
      <c r="K630" s="2"/>
    </row>
    <row r="631">
      <c r="A631" s="7"/>
      <c r="B631" s="7"/>
      <c r="C631" s="45">
        <f t="shared" si="94"/>
        <v>19</v>
      </c>
      <c r="D631" s="45" t="str">
        <f t="shared" si="95"/>
        <v>PrimalItemConsumable_UnderwaterEgg</v>
      </c>
      <c r="E631" s="8" t="s">
        <v>3310</v>
      </c>
      <c r="F631" s="8" t="s">
        <v>3311</v>
      </c>
      <c r="G631" s="45" t="str">
        <f t="shared" si="96"/>
        <v>cheat gfi PrimalItemConsumable_UnderwaterEgg_Xiphactinus_ASA_Atlantic_C 1 100 0</v>
      </c>
      <c r="H631" s="8" t="s">
        <v>3312</v>
      </c>
      <c r="I631" s="45" t="str">
        <f t="shared" si="97"/>
        <v>EngramEntry_UnderwaterEgg_Xiphactinus_ASA_Atlantic_C</v>
      </c>
      <c r="J631" s="45" t="str">
        <f t="shared" si="98"/>
        <v>OverrideNamedEngramEntries=(EngramEntry_UnderwaterEgg_Xiphactinus_ASA_Atlantic_C,EngramHidden=true)</v>
      </c>
      <c r="K631" s="2"/>
    </row>
    <row r="632">
      <c r="A632" s="7"/>
      <c r="B632" s="29"/>
      <c r="C632" s="46">
        <f t="shared" si="94"/>
        <v>19</v>
      </c>
      <c r="D632" s="46" t="str">
        <f t="shared" si="95"/>
        <v>PrimalItemConsumable_UnderwaterEgg</v>
      </c>
      <c r="E632" s="11" t="s">
        <v>3313</v>
      </c>
      <c r="F632" s="11" t="s">
        <v>3314</v>
      </c>
      <c r="G632" s="46" t="str">
        <f t="shared" si="96"/>
        <v>cheat gfi PrimalItemConsumable_UnderwaterEgg_Xiphactinus_ASA_Pacific_C 1 100 0</v>
      </c>
      <c r="H632" s="11" t="s">
        <v>3315</v>
      </c>
      <c r="I632" s="46" t="str">
        <f t="shared" si="97"/>
        <v>EngramEntry_UnderwaterEgg_Xiphactinus_ASA_Pacific_C</v>
      </c>
      <c r="J632" s="46" t="str">
        <f t="shared" si="98"/>
        <v>OverrideNamedEngramEntries=(EngramEntry_UnderwaterEgg_Xiphactinus_ASA_Pacific_C,EngramHidden=true)</v>
      </c>
      <c r="K632" s="2"/>
    </row>
    <row r="633">
      <c r="A633" s="7"/>
      <c r="B633" s="18"/>
      <c r="C633" s="19"/>
      <c r="D633" s="19"/>
      <c r="E633" s="19"/>
      <c r="F633" s="19"/>
      <c r="G633" s="19"/>
      <c r="H633" s="19"/>
      <c r="I633" s="19"/>
      <c r="J633" s="19"/>
      <c r="K633" s="2"/>
    </row>
    <row r="634">
      <c r="A634" s="7"/>
      <c r="B634" s="82" t="s">
        <v>3316</v>
      </c>
      <c r="C634" s="46">
        <f t="shared" ref="C634:C865" si="99">IF(D634="PrimalItemConsumable_Blood",1)+IF(D634="PrimalItemConsumable_Narcotic",2)+IF(D634="PrimalItemConsumable_Seed",3)+IF(D634="PrimalItemConsumable_Fruit",4)+IF(D634="PrimalItemConsumable_Egg_Unfertilized",5)+IF(D634="PrimalItemConsumable_Kibble",6)+IF(D634="PrimalItemConsumable_Potion",7)+IF(D634="PrimalItemConsumable_XP",8)+IF(D634="PrimalItemConsumable_Food",9)+IF(D634="PrimalItemResource",10)+IF(D634="PrimalItemResource_Hide",11)+IF(D634="PrimalItemResource_MetalIngot",12)+IF(D634="PrimalItemConsumable_Summon",13)+IF(D634="PrimalItemStructure",14)+IF(D634="PrimalItem_Weapon",15)+IF(D634="PrimalItemAmmo",16)+IF(D634="PrimalItemArmor",17)+IF(D634="PrimalItemSaddle",18)+IF(D634="PrimalItemConsumable_UnderwaterEgg",19)+IF(D634="PrimalItemConsumable_Egg",20)</f>
        <v>20</v>
      </c>
      <c r="D634" s="46" t="str">
        <f t="shared" ref="D634:D865" si="100">Left(F634,find("Egg",F634)+2)</f>
        <v>PrimalItemConsumable_Egg</v>
      </c>
      <c r="E634" s="11" t="s">
        <v>3317</v>
      </c>
      <c r="F634" s="11" t="s">
        <v>3318</v>
      </c>
      <c r="G634" s="46" t="str">
        <f t="shared" ref="G634:G892" si="101">"cheat gfi "&amp;F634&amp;" 1 100 0"</f>
        <v>cheat gfi PrimalItemConsumable_Egg_Allo_Fertilized_Alpha_C 1 100 0</v>
      </c>
      <c r="H634" s="11" t="s">
        <v>3319</v>
      </c>
      <c r="I634" s="46" t="str">
        <f t="shared" ref="I634:I892" si="102">CONCATENATE("EngramEntry",RIGHT(F634,LEN(F634) - (FIND("_",F634) - 1)))</f>
        <v>EngramEntry_Egg_Allo_Fertilized_Alpha_C</v>
      </c>
      <c r="J634" s="46" t="str">
        <f t="shared" ref="J634:J892" si="103">"OverrideNamedEngramEntries=("&amp;I634&amp;",EngramHidden=true)"</f>
        <v>OverrideNamedEngramEntries=(EngramEntry_Egg_Allo_Fertilized_Alpha_C,EngramHidden=true)</v>
      </c>
      <c r="K634" s="2"/>
    </row>
    <row r="635">
      <c r="A635" s="7"/>
      <c r="B635" s="7"/>
      <c r="C635" s="45">
        <f t="shared" si="99"/>
        <v>20</v>
      </c>
      <c r="D635" s="45" t="str">
        <f t="shared" si="100"/>
        <v>PrimalItemConsumable_Egg</v>
      </c>
      <c r="E635" s="8" t="s">
        <v>3320</v>
      </c>
      <c r="F635" s="8" t="s">
        <v>3321</v>
      </c>
      <c r="G635" s="45" t="str">
        <f t="shared" si="101"/>
        <v>cheat gfi PrimalItemConsumable_Egg_Allo_Fertilized_Alpha_C_C 1 100 0</v>
      </c>
      <c r="H635" s="8" t="s">
        <v>3322</v>
      </c>
      <c r="I635" s="45" t="str">
        <f t="shared" si="102"/>
        <v>EngramEntry_Egg_Allo_Fertilized_Alpha_C_C</v>
      </c>
      <c r="J635" s="45" t="str">
        <f t="shared" si="103"/>
        <v>OverrideNamedEngramEntries=(EngramEntry_Egg_Allo_Fertilized_Alpha_C_C,EngramHidden=true)</v>
      </c>
      <c r="K635" s="2"/>
    </row>
    <row r="636">
      <c r="A636" s="7"/>
      <c r="B636" s="7"/>
      <c r="C636" s="46">
        <f t="shared" si="99"/>
        <v>20</v>
      </c>
      <c r="D636" s="46" t="str">
        <f t="shared" si="100"/>
        <v>PrimalItemConsumable_Egg</v>
      </c>
      <c r="E636" s="11" t="s">
        <v>3323</v>
      </c>
      <c r="F636" s="11" t="s">
        <v>3324</v>
      </c>
      <c r="G636" s="46" t="str">
        <f t="shared" si="101"/>
        <v>cheat gfi PrimalItemConsumable_Egg_Allo_Fertilized_Alpha_P_C 1 100 0</v>
      </c>
      <c r="H636" s="11" t="s">
        <v>3325</v>
      </c>
      <c r="I636" s="46" t="str">
        <f t="shared" si="102"/>
        <v>EngramEntry_Egg_Allo_Fertilized_Alpha_P_C</v>
      </c>
      <c r="J636" s="46" t="str">
        <f t="shared" si="103"/>
        <v>OverrideNamedEngramEntries=(EngramEntry_Egg_Allo_Fertilized_Alpha_P_C,EngramHidden=true)</v>
      </c>
      <c r="K636" s="2"/>
    </row>
    <row r="637">
      <c r="A637" s="7"/>
      <c r="B637" s="7"/>
      <c r="C637" s="45">
        <f t="shared" si="99"/>
        <v>20</v>
      </c>
      <c r="D637" s="45" t="str">
        <f t="shared" si="100"/>
        <v>PrimalItemConsumable_Egg</v>
      </c>
      <c r="E637" s="8" t="s">
        <v>3326</v>
      </c>
      <c r="F637" s="8" t="s">
        <v>3327</v>
      </c>
      <c r="G637" s="45" t="str">
        <f t="shared" si="101"/>
        <v>cheat gfi PrimalItemConsumable_Egg_Allo_Fertilized_Apex_C 1 100 0</v>
      </c>
      <c r="H637" s="8" t="s">
        <v>3328</v>
      </c>
      <c r="I637" s="45" t="str">
        <f t="shared" si="102"/>
        <v>EngramEntry_Egg_Allo_Fertilized_Apex_C</v>
      </c>
      <c r="J637" s="45" t="str">
        <f t="shared" si="103"/>
        <v>OverrideNamedEngramEntries=(EngramEntry_Egg_Allo_Fertilized_Apex_C,EngramHidden=true)</v>
      </c>
      <c r="K637" s="2"/>
    </row>
    <row r="638">
      <c r="A638" s="7"/>
      <c r="B638" s="7"/>
      <c r="C638" s="46">
        <f t="shared" si="99"/>
        <v>20</v>
      </c>
      <c r="D638" s="46" t="str">
        <f t="shared" si="100"/>
        <v>PrimalItemConsumable_Egg</v>
      </c>
      <c r="E638" s="11" t="s">
        <v>3329</v>
      </c>
      <c r="F638" s="11" t="s">
        <v>3330</v>
      </c>
      <c r="G638" s="46" t="str">
        <f t="shared" si="101"/>
        <v>cheat gfi PrimalItemConsumable_Egg_Allo_Fertilized_Electric_C 1 100 0</v>
      </c>
      <c r="H638" s="11" t="s">
        <v>3331</v>
      </c>
      <c r="I638" s="46" t="str">
        <f t="shared" si="102"/>
        <v>EngramEntry_Egg_Allo_Fertilized_Electric_C</v>
      </c>
      <c r="J638" s="46" t="str">
        <f t="shared" si="103"/>
        <v>OverrideNamedEngramEntries=(EngramEntry_Egg_Allo_Fertilized_Electric_C,EngramHidden=true)</v>
      </c>
      <c r="K638" s="2"/>
    </row>
    <row r="639">
      <c r="A639" s="7"/>
      <c r="B639" s="7"/>
      <c r="C639" s="45">
        <f t="shared" si="99"/>
        <v>20</v>
      </c>
      <c r="D639" s="45" t="str">
        <f t="shared" si="100"/>
        <v>PrimalItemConsumable_Egg</v>
      </c>
      <c r="E639" s="8" t="s">
        <v>3332</v>
      </c>
      <c r="F639" s="8" t="s">
        <v>3333</v>
      </c>
      <c r="G639" s="45" t="str">
        <f t="shared" si="101"/>
        <v>cheat gfi PrimalItemConsumable_Egg_Allo_Fertilized_Hydro_C 1 100 0</v>
      </c>
      <c r="H639" s="8" t="s">
        <v>3334</v>
      </c>
      <c r="I639" s="45" t="str">
        <f t="shared" si="102"/>
        <v>EngramEntry_Egg_Allo_Fertilized_Hydro_C</v>
      </c>
      <c r="J639" s="45" t="str">
        <f t="shared" si="103"/>
        <v>OverrideNamedEngramEntries=(EngramEntry_Egg_Allo_Fertilized_Hydro_C,EngramHidden=true)</v>
      </c>
      <c r="K639" s="2"/>
    </row>
    <row r="640">
      <c r="A640" s="7"/>
      <c r="B640" s="7"/>
      <c r="C640" s="46">
        <f t="shared" si="99"/>
        <v>20</v>
      </c>
      <c r="D640" s="46" t="str">
        <f t="shared" si="100"/>
        <v>PrimalItemConsumable_Egg</v>
      </c>
      <c r="E640" s="11" t="s">
        <v>3335</v>
      </c>
      <c r="F640" s="11" t="s">
        <v>3336</v>
      </c>
      <c r="G640" s="46" t="str">
        <f t="shared" si="101"/>
        <v>cheat gfi PrimalItemConsumable_Egg_Allo_Fertilized_Volcanic_C 1 100 0</v>
      </c>
      <c r="H640" s="11" t="s">
        <v>3337</v>
      </c>
      <c r="I640" s="46" t="str">
        <f t="shared" si="102"/>
        <v>EngramEntry_Egg_Allo_Fertilized_Volcanic_C</v>
      </c>
      <c r="J640" s="46" t="str">
        <f t="shared" si="103"/>
        <v>OverrideNamedEngramEntries=(EngramEntry_Egg_Allo_Fertilized_Volcanic_C,EngramHidden=true)</v>
      </c>
      <c r="K640" s="2"/>
    </row>
    <row r="641">
      <c r="A641" s="7"/>
      <c r="B641" s="7"/>
      <c r="C641" s="45">
        <f t="shared" si="99"/>
        <v>20</v>
      </c>
      <c r="D641" s="45" t="str">
        <f t="shared" si="100"/>
        <v>PrimalItemConsumable_Egg</v>
      </c>
      <c r="E641" s="8" t="s">
        <v>3338</v>
      </c>
      <c r="F641" s="8" t="s">
        <v>3339</v>
      </c>
      <c r="G641" s="45" t="str">
        <f t="shared" si="101"/>
        <v>cheat gfi PrimalItemConsumable_Egg_Ankylo_Fertilized_Alpha_C 1 100 0</v>
      </c>
      <c r="H641" s="8" t="s">
        <v>3340</v>
      </c>
      <c r="I641" s="45" t="str">
        <f t="shared" si="102"/>
        <v>EngramEntry_Egg_Ankylo_Fertilized_Alpha_C</v>
      </c>
      <c r="J641" s="45" t="str">
        <f t="shared" si="103"/>
        <v>OverrideNamedEngramEntries=(EngramEntry_Egg_Ankylo_Fertilized_Alpha_C,EngramHidden=true)</v>
      </c>
      <c r="K641" s="2"/>
    </row>
    <row r="642">
      <c r="A642" s="7"/>
      <c r="B642" s="7"/>
      <c r="C642" s="46">
        <f t="shared" si="99"/>
        <v>20</v>
      </c>
      <c r="D642" s="46" t="str">
        <f t="shared" si="100"/>
        <v>PrimalItemConsumable_Egg</v>
      </c>
      <c r="E642" s="11" t="s">
        <v>3341</v>
      </c>
      <c r="F642" s="11" t="s">
        <v>3342</v>
      </c>
      <c r="G642" s="46" t="str">
        <f t="shared" si="101"/>
        <v>cheat gfi PrimalItemConsumable_Egg_Ankylo_Fertilized_Alpha_C_C 1 100 0</v>
      </c>
      <c r="H642" s="11" t="s">
        <v>3343</v>
      </c>
      <c r="I642" s="46" t="str">
        <f t="shared" si="102"/>
        <v>EngramEntry_Egg_Ankylo_Fertilized_Alpha_C_C</v>
      </c>
      <c r="J642" s="46" t="str">
        <f t="shared" si="103"/>
        <v>OverrideNamedEngramEntries=(EngramEntry_Egg_Ankylo_Fertilized_Alpha_C_C,EngramHidden=true)</v>
      </c>
      <c r="K642" s="2"/>
    </row>
    <row r="643">
      <c r="A643" s="7"/>
      <c r="B643" s="7"/>
      <c r="C643" s="45">
        <f t="shared" si="99"/>
        <v>20</v>
      </c>
      <c r="D643" s="45" t="str">
        <f t="shared" si="100"/>
        <v>PrimalItemConsumable_Egg</v>
      </c>
      <c r="E643" s="8" t="s">
        <v>3344</v>
      </c>
      <c r="F643" s="8" t="s">
        <v>3345</v>
      </c>
      <c r="G643" s="45" t="str">
        <f t="shared" si="101"/>
        <v>cheat gfi PrimalItemConsumable_Egg_Ankylo_Fertilized_Alpha_P_C 1 100 0</v>
      </c>
      <c r="H643" s="8" t="s">
        <v>3346</v>
      </c>
      <c r="I643" s="45" t="str">
        <f t="shared" si="102"/>
        <v>EngramEntry_Egg_Ankylo_Fertilized_Alpha_P_C</v>
      </c>
      <c r="J643" s="45" t="str">
        <f t="shared" si="103"/>
        <v>OverrideNamedEngramEntries=(EngramEntry_Egg_Ankylo_Fertilized_Alpha_P_C,EngramHidden=true)</v>
      </c>
      <c r="K643" s="2"/>
    </row>
    <row r="644">
      <c r="A644" s="7"/>
      <c r="B644" s="7"/>
      <c r="C644" s="46">
        <f t="shared" si="99"/>
        <v>20</v>
      </c>
      <c r="D644" s="46" t="str">
        <f t="shared" si="100"/>
        <v>PrimalItemConsumable_Egg</v>
      </c>
      <c r="E644" s="11" t="s">
        <v>3347</v>
      </c>
      <c r="F644" s="11" t="s">
        <v>3348</v>
      </c>
      <c r="G644" s="46" t="str">
        <f t="shared" si="101"/>
        <v>cheat gfi PrimalItemConsumable_Egg_Ankylo_Fertilized_Apex_C 1 100 0</v>
      </c>
      <c r="H644" s="11" t="s">
        <v>3349</v>
      </c>
      <c r="I644" s="46" t="str">
        <f t="shared" si="102"/>
        <v>EngramEntry_Egg_Ankylo_Fertilized_Apex_C</v>
      </c>
      <c r="J644" s="46" t="str">
        <f t="shared" si="103"/>
        <v>OverrideNamedEngramEntries=(EngramEntry_Egg_Ankylo_Fertilized_Apex_C,EngramHidden=true)</v>
      </c>
      <c r="K644" s="2"/>
    </row>
    <row r="645">
      <c r="A645" s="7"/>
      <c r="B645" s="7"/>
      <c r="C645" s="45">
        <f t="shared" si="99"/>
        <v>20</v>
      </c>
      <c r="D645" s="45" t="str">
        <f t="shared" si="100"/>
        <v>PrimalItemConsumable_Egg</v>
      </c>
      <c r="E645" s="8" t="s">
        <v>3350</v>
      </c>
      <c r="F645" s="8" t="s">
        <v>3351</v>
      </c>
      <c r="G645" s="45" t="str">
        <f t="shared" si="101"/>
        <v>cheat gfi PrimalItemConsumable_Egg_Ankylo_Fertilized_Volcanic_C 1 100 0</v>
      </c>
      <c r="H645" s="8" t="s">
        <v>3352</v>
      </c>
      <c r="I645" s="45" t="str">
        <f t="shared" si="102"/>
        <v>EngramEntry_Egg_Ankylo_Fertilized_Volcanic_C</v>
      </c>
      <c r="J645" s="45" t="str">
        <f t="shared" si="103"/>
        <v>OverrideNamedEngramEntries=(EngramEntry_Egg_Ankylo_Fertilized_Volcanic_C,EngramHidden=true)</v>
      </c>
      <c r="K645" s="2"/>
    </row>
    <row r="646">
      <c r="A646" s="7"/>
      <c r="B646" s="7"/>
      <c r="C646" s="46">
        <f t="shared" si="99"/>
        <v>20</v>
      </c>
      <c r="D646" s="46" t="str">
        <f t="shared" si="100"/>
        <v>PrimalItemConsumable_Egg</v>
      </c>
      <c r="E646" s="11" t="s">
        <v>3353</v>
      </c>
      <c r="F646" s="11" t="s">
        <v>3354</v>
      </c>
      <c r="G646" s="46" t="str">
        <f t="shared" si="101"/>
        <v>cheat gfi PrimalItemConsumable_Egg_Archa_Fertilized_Alpha_C 1 100 0</v>
      </c>
      <c r="H646" s="11" t="s">
        <v>3355</v>
      </c>
      <c r="I646" s="46" t="str">
        <f t="shared" si="102"/>
        <v>EngramEntry_Egg_Archa_Fertilized_Alpha_C</v>
      </c>
      <c r="J646" s="46" t="str">
        <f t="shared" si="103"/>
        <v>OverrideNamedEngramEntries=(EngramEntry_Egg_Archa_Fertilized_Alpha_C,EngramHidden=true)</v>
      </c>
      <c r="K646" s="2"/>
    </row>
    <row r="647">
      <c r="A647" s="7"/>
      <c r="B647" s="7"/>
      <c r="C647" s="45">
        <f t="shared" si="99"/>
        <v>20</v>
      </c>
      <c r="D647" s="45" t="str">
        <f t="shared" si="100"/>
        <v>PrimalItemConsumable_Egg</v>
      </c>
      <c r="E647" s="8" t="s">
        <v>3356</v>
      </c>
      <c r="F647" s="8" t="s">
        <v>3357</v>
      </c>
      <c r="G647" s="45" t="str">
        <f t="shared" si="101"/>
        <v>cheat gfi PrimalItemConsumable_Egg_Archa_Fertilized_Alpha_C_C 1 100 0</v>
      </c>
      <c r="H647" s="8" t="s">
        <v>3358</v>
      </c>
      <c r="I647" s="45" t="str">
        <f t="shared" si="102"/>
        <v>EngramEntry_Egg_Archa_Fertilized_Alpha_C_C</v>
      </c>
      <c r="J647" s="45" t="str">
        <f t="shared" si="103"/>
        <v>OverrideNamedEngramEntries=(EngramEntry_Egg_Archa_Fertilized_Alpha_C_C,EngramHidden=true)</v>
      </c>
      <c r="K647" s="2"/>
    </row>
    <row r="648">
      <c r="A648" s="7"/>
      <c r="B648" s="7"/>
      <c r="C648" s="46">
        <f t="shared" si="99"/>
        <v>20</v>
      </c>
      <c r="D648" s="46" t="str">
        <f t="shared" si="100"/>
        <v>PrimalItemConsumable_Egg</v>
      </c>
      <c r="E648" s="11" t="s">
        <v>3359</v>
      </c>
      <c r="F648" s="11" t="s">
        <v>3360</v>
      </c>
      <c r="G648" s="46" t="str">
        <f t="shared" si="101"/>
        <v>cheat gfi PrimalItemConsumable_Egg_Archa_Fertilized_Alpha_P_C 1 100 0</v>
      </c>
      <c r="H648" s="11" t="s">
        <v>3361</v>
      </c>
      <c r="I648" s="46" t="str">
        <f t="shared" si="102"/>
        <v>EngramEntry_Egg_Archa_Fertilized_Alpha_P_C</v>
      </c>
      <c r="J648" s="46" t="str">
        <f t="shared" si="103"/>
        <v>OverrideNamedEngramEntries=(EngramEntry_Egg_Archa_Fertilized_Alpha_P_C,EngramHidden=true)</v>
      </c>
      <c r="K648" s="2"/>
    </row>
    <row r="649">
      <c r="A649" s="7"/>
      <c r="B649" s="7"/>
      <c r="C649" s="45">
        <f t="shared" si="99"/>
        <v>20</v>
      </c>
      <c r="D649" s="45" t="str">
        <f t="shared" si="100"/>
        <v>PrimalItemConsumable_Egg</v>
      </c>
      <c r="E649" s="8" t="s">
        <v>3362</v>
      </c>
      <c r="F649" s="8" t="s">
        <v>3363</v>
      </c>
      <c r="G649" s="45" t="str">
        <f t="shared" si="101"/>
        <v>cheat gfi PrimalItemConsumable_Egg_Archa_Fertilized_Apex_C 1 100 0</v>
      </c>
      <c r="H649" s="8" t="s">
        <v>3364</v>
      </c>
      <c r="I649" s="45" t="str">
        <f t="shared" si="102"/>
        <v>EngramEntry_Egg_Archa_Fertilized_Apex_C</v>
      </c>
      <c r="J649" s="45" t="str">
        <f t="shared" si="103"/>
        <v>OverrideNamedEngramEntries=(EngramEntry_Egg_Archa_Fertilized_Apex_C,EngramHidden=true)</v>
      </c>
      <c r="K649" s="2"/>
    </row>
    <row r="650">
      <c r="A650" s="7"/>
      <c r="B650" s="7"/>
      <c r="C650" s="46">
        <f t="shared" si="99"/>
        <v>20</v>
      </c>
      <c r="D650" s="46" t="str">
        <f t="shared" si="100"/>
        <v>PrimalItemConsumable_Egg</v>
      </c>
      <c r="E650" s="11" t="s">
        <v>3365</v>
      </c>
      <c r="F650" s="11" t="s">
        <v>3366</v>
      </c>
      <c r="G650" s="46" t="str">
        <f t="shared" si="101"/>
        <v>cheat gfi PrimalItemConsumable_Egg_Argent_Fertilized_Alpha_C 1 100 0</v>
      </c>
      <c r="H650" s="11" t="s">
        <v>3367</v>
      </c>
      <c r="I650" s="46" t="str">
        <f t="shared" si="102"/>
        <v>EngramEntry_Egg_Argent_Fertilized_Alpha_C</v>
      </c>
      <c r="J650" s="46" t="str">
        <f t="shared" si="103"/>
        <v>OverrideNamedEngramEntries=(EngramEntry_Egg_Argent_Fertilized_Alpha_C,EngramHidden=true)</v>
      </c>
      <c r="K650" s="2"/>
    </row>
    <row r="651">
      <c r="A651" s="7"/>
      <c r="B651" s="7"/>
      <c r="C651" s="45">
        <f t="shared" si="99"/>
        <v>20</v>
      </c>
      <c r="D651" s="45" t="str">
        <f t="shared" si="100"/>
        <v>PrimalItemConsumable_Egg</v>
      </c>
      <c r="E651" s="8" t="s">
        <v>3368</v>
      </c>
      <c r="F651" s="8" t="s">
        <v>3369</v>
      </c>
      <c r="G651" s="45" t="str">
        <f t="shared" si="101"/>
        <v>cheat gfi PrimalItemConsumable_Egg_Argent_Fertilized_Alpha_C_C 1 100 0</v>
      </c>
      <c r="H651" s="8" t="s">
        <v>3370</v>
      </c>
      <c r="I651" s="45" t="str">
        <f t="shared" si="102"/>
        <v>EngramEntry_Egg_Argent_Fertilized_Alpha_C_C</v>
      </c>
      <c r="J651" s="45" t="str">
        <f t="shared" si="103"/>
        <v>OverrideNamedEngramEntries=(EngramEntry_Egg_Argent_Fertilized_Alpha_C_C,EngramHidden=true)</v>
      </c>
      <c r="K651" s="2"/>
    </row>
    <row r="652">
      <c r="A652" s="7"/>
      <c r="B652" s="7"/>
      <c r="C652" s="46">
        <f t="shared" si="99"/>
        <v>20</v>
      </c>
      <c r="D652" s="46" t="str">
        <f t="shared" si="100"/>
        <v>PrimalItemConsumable_Egg</v>
      </c>
      <c r="E652" s="11" t="s">
        <v>3371</v>
      </c>
      <c r="F652" s="11" t="s">
        <v>3372</v>
      </c>
      <c r="G652" s="46" t="str">
        <f t="shared" si="101"/>
        <v>cheat gfi PrimalItemConsumable_Egg_Argent_Fertilized_Alpha_P_C 1 100 0</v>
      </c>
      <c r="H652" s="11" t="s">
        <v>3373</v>
      </c>
      <c r="I652" s="46" t="str">
        <f t="shared" si="102"/>
        <v>EngramEntry_Egg_Argent_Fertilized_Alpha_P_C</v>
      </c>
      <c r="J652" s="46" t="str">
        <f t="shared" si="103"/>
        <v>OverrideNamedEngramEntries=(EngramEntry_Egg_Argent_Fertilized_Alpha_P_C,EngramHidden=true)</v>
      </c>
      <c r="K652" s="2"/>
    </row>
    <row r="653">
      <c r="A653" s="7"/>
      <c r="B653" s="7"/>
      <c r="C653" s="45">
        <f t="shared" si="99"/>
        <v>20</v>
      </c>
      <c r="D653" s="45" t="str">
        <f t="shared" si="100"/>
        <v>PrimalItemConsumable_Egg</v>
      </c>
      <c r="E653" s="8" t="s">
        <v>3374</v>
      </c>
      <c r="F653" s="8" t="s">
        <v>3375</v>
      </c>
      <c r="G653" s="45" t="str">
        <f t="shared" si="101"/>
        <v>cheat gfi PrimalItemConsumable_Egg_Argent_Fertilized_Apex_C 1 100 0</v>
      </c>
      <c r="H653" s="8" t="s">
        <v>3376</v>
      </c>
      <c r="I653" s="45" t="str">
        <f t="shared" si="102"/>
        <v>EngramEntry_Egg_Argent_Fertilized_Apex_C</v>
      </c>
      <c r="J653" s="45" t="str">
        <f t="shared" si="103"/>
        <v>OverrideNamedEngramEntries=(EngramEntry_Egg_Argent_Fertilized_Apex_C,EngramHidden=true)</v>
      </c>
      <c r="K653" s="2"/>
    </row>
    <row r="654">
      <c r="A654" s="7"/>
      <c r="B654" s="7"/>
      <c r="C654" s="46">
        <f t="shared" si="99"/>
        <v>20</v>
      </c>
      <c r="D654" s="46" t="str">
        <f t="shared" si="100"/>
        <v>PrimalItemConsumable_Egg</v>
      </c>
      <c r="E654" s="11" t="s">
        <v>3377</v>
      </c>
      <c r="F654" s="11" t="s">
        <v>3378</v>
      </c>
      <c r="G654" s="46" t="str">
        <f t="shared" si="101"/>
        <v>cheat gfi PrimalItemConsumable_Egg_Argent_Fertilized_Celestial_C 1 100 0</v>
      </c>
      <c r="H654" s="11" t="s">
        <v>3379</v>
      </c>
      <c r="I654" s="46" t="str">
        <f t="shared" si="102"/>
        <v>EngramEntry_Egg_Argent_Fertilized_Celestial_C</v>
      </c>
      <c r="J654" s="46" t="str">
        <f t="shared" si="103"/>
        <v>OverrideNamedEngramEntries=(EngramEntry_Egg_Argent_Fertilized_Celestial_C,EngramHidden=true)</v>
      </c>
      <c r="K654" s="2"/>
    </row>
    <row r="655">
      <c r="A655" s="7"/>
      <c r="B655" s="7"/>
      <c r="C655" s="45">
        <f t="shared" si="99"/>
        <v>20</v>
      </c>
      <c r="D655" s="45" t="str">
        <f t="shared" si="100"/>
        <v>PrimalItemConsumable_Egg</v>
      </c>
      <c r="E655" s="8" t="s">
        <v>3380</v>
      </c>
      <c r="F655" s="8" t="s">
        <v>3381</v>
      </c>
      <c r="G655" s="45" t="str">
        <f t="shared" si="101"/>
        <v>cheat gfi PrimalItemConsumable_Egg_Argent_Fertilized_Electric_C 1 100 0</v>
      </c>
      <c r="H655" s="8" t="s">
        <v>3382</v>
      </c>
      <c r="I655" s="45" t="str">
        <f t="shared" si="102"/>
        <v>EngramEntry_Egg_Argent_Fertilized_Electric_C</v>
      </c>
      <c r="J655" s="45" t="str">
        <f t="shared" si="103"/>
        <v>OverrideNamedEngramEntries=(EngramEntry_Egg_Argent_Fertilized_Electric_C,EngramHidden=true)</v>
      </c>
      <c r="K655" s="2"/>
    </row>
    <row r="656">
      <c r="A656" s="7"/>
      <c r="B656" s="7"/>
      <c r="C656" s="46">
        <f t="shared" si="99"/>
        <v>20</v>
      </c>
      <c r="D656" s="46" t="str">
        <f t="shared" si="100"/>
        <v>PrimalItemConsumable_Egg</v>
      </c>
      <c r="E656" s="11" t="s">
        <v>3383</v>
      </c>
      <c r="F656" s="11" t="s">
        <v>3384</v>
      </c>
      <c r="G656" s="46" t="str">
        <f t="shared" si="101"/>
        <v>cheat gfi PrimalItemConsumable_Egg_Arthro_Fertilized_Alpha_C 1 100 0</v>
      </c>
      <c r="H656" s="11" t="s">
        <v>3385</v>
      </c>
      <c r="I656" s="46" t="str">
        <f t="shared" si="102"/>
        <v>EngramEntry_Egg_Arthro_Fertilized_Alpha_C</v>
      </c>
      <c r="J656" s="46" t="str">
        <f t="shared" si="103"/>
        <v>OverrideNamedEngramEntries=(EngramEntry_Egg_Arthro_Fertilized_Alpha_C,EngramHidden=true)</v>
      </c>
      <c r="K656" s="2"/>
    </row>
    <row r="657">
      <c r="A657" s="7"/>
      <c r="B657" s="7"/>
      <c r="C657" s="45">
        <f t="shared" si="99"/>
        <v>20</v>
      </c>
      <c r="D657" s="45" t="str">
        <f t="shared" si="100"/>
        <v>PrimalItemConsumable_Egg</v>
      </c>
      <c r="E657" s="8" t="s">
        <v>3386</v>
      </c>
      <c r="F657" s="8" t="s">
        <v>3387</v>
      </c>
      <c r="G657" s="45" t="str">
        <f t="shared" si="101"/>
        <v>cheat gfi PrimalItemConsumable_Egg_Arthro_Fertilized_Alpha_C_C 1 100 0</v>
      </c>
      <c r="H657" s="8" t="s">
        <v>3388</v>
      </c>
      <c r="I657" s="45" t="str">
        <f t="shared" si="102"/>
        <v>EngramEntry_Egg_Arthro_Fertilized_Alpha_C_C</v>
      </c>
      <c r="J657" s="45" t="str">
        <f t="shared" si="103"/>
        <v>OverrideNamedEngramEntries=(EngramEntry_Egg_Arthro_Fertilized_Alpha_C_C,EngramHidden=true)</v>
      </c>
      <c r="K657" s="2"/>
    </row>
    <row r="658">
      <c r="A658" s="7"/>
      <c r="B658" s="7"/>
      <c r="C658" s="46">
        <f t="shared" si="99"/>
        <v>20</v>
      </c>
      <c r="D658" s="46" t="str">
        <f t="shared" si="100"/>
        <v>PrimalItemConsumable_Egg</v>
      </c>
      <c r="E658" s="11" t="s">
        <v>3389</v>
      </c>
      <c r="F658" s="11" t="s">
        <v>3390</v>
      </c>
      <c r="G658" s="46" t="str">
        <f t="shared" si="101"/>
        <v>cheat gfi PrimalItemConsumable_Egg_Arthro_Fertilized_Alpha_P_C 1 100 0</v>
      </c>
      <c r="H658" s="11" t="s">
        <v>3391</v>
      </c>
      <c r="I658" s="46" t="str">
        <f t="shared" si="102"/>
        <v>EngramEntry_Egg_Arthro_Fertilized_Alpha_P_C</v>
      </c>
      <c r="J658" s="46" t="str">
        <f t="shared" si="103"/>
        <v>OverrideNamedEngramEntries=(EngramEntry_Egg_Arthro_Fertilized_Alpha_P_C,EngramHidden=true)</v>
      </c>
      <c r="K658" s="2"/>
    </row>
    <row r="659">
      <c r="A659" s="7"/>
      <c r="B659" s="7"/>
      <c r="C659" s="45">
        <f t="shared" si="99"/>
        <v>20</v>
      </c>
      <c r="D659" s="45" t="str">
        <f t="shared" si="100"/>
        <v>PrimalItemConsumable_Egg</v>
      </c>
      <c r="E659" s="8" t="s">
        <v>3392</v>
      </c>
      <c r="F659" s="8" t="s">
        <v>3393</v>
      </c>
      <c r="G659" s="45" t="str">
        <f t="shared" si="101"/>
        <v>cheat gfi PrimalItemConsumable_Egg_Arthro_Fertilized_Apex_C 1 100 0</v>
      </c>
      <c r="H659" s="8" t="s">
        <v>3394</v>
      </c>
      <c r="I659" s="45" t="str">
        <f t="shared" si="102"/>
        <v>EngramEntry_Egg_Arthro_Fertilized_Apex_C</v>
      </c>
      <c r="J659" s="45" t="str">
        <f t="shared" si="103"/>
        <v>OverrideNamedEngramEntries=(EngramEntry_Egg_Arthro_Fertilized_Apex_C,EngramHidden=true)</v>
      </c>
      <c r="K659" s="2"/>
    </row>
    <row r="660">
      <c r="A660" s="7"/>
      <c r="B660" s="7"/>
      <c r="C660" s="46">
        <f t="shared" si="99"/>
        <v>20</v>
      </c>
      <c r="D660" s="46" t="str">
        <f t="shared" si="100"/>
        <v>PrimalItemConsumable_Egg</v>
      </c>
      <c r="E660" s="11" t="s">
        <v>3395</v>
      </c>
      <c r="F660" s="11" t="s">
        <v>3396</v>
      </c>
      <c r="G660" s="46" t="str">
        <f t="shared" si="101"/>
        <v>cheat gfi PrimalItemConsumable_Egg_Arthro_Fertilized_Volcanic_C 1 100 0</v>
      </c>
      <c r="H660" s="11" t="s">
        <v>3397</v>
      </c>
      <c r="I660" s="46" t="str">
        <f t="shared" si="102"/>
        <v>EngramEntry_Egg_Arthro_Fertilized_Volcanic_C</v>
      </c>
      <c r="J660" s="46" t="str">
        <f t="shared" si="103"/>
        <v>OverrideNamedEngramEntries=(EngramEntry_Egg_Arthro_Fertilized_Volcanic_C,EngramHidden=true)</v>
      </c>
      <c r="K660" s="2"/>
    </row>
    <row r="661">
      <c r="A661" s="7"/>
      <c r="B661" s="7"/>
      <c r="C661" s="45">
        <f t="shared" si="99"/>
        <v>20</v>
      </c>
      <c r="D661" s="45" t="str">
        <f t="shared" si="100"/>
        <v>PrimalItemConsumable_Egg</v>
      </c>
      <c r="E661" s="8" t="s">
        <v>3398</v>
      </c>
      <c r="F661" s="8" t="s">
        <v>3399</v>
      </c>
      <c r="G661" s="45" t="str">
        <f t="shared" si="101"/>
        <v>cheat gfi PrimalItemConsumable_Egg_Baryonyx_Fertilized_Alpha_C 1 100 0</v>
      </c>
      <c r="H661" s="8" t="s">
        <v>3400</v>
      </c>
      <c r="I661" s="45" t="str">
        <f t="shared" si="102"/>
        <v>EngramEntry_Egg_Baryonyx_Fertilized_Alpha_C</v>
      </c>
      <c r="J661" s="45" t="str">
        <f t="shared" si="103"/>
        <v>OverrideNamedEngramEntries=(EngramEntry_Egg_Baryonyx_Fertilized_Alpha_C,EngramHidden=true)</v>
      </c>
      <c r="K661" s="2"/>
    </row>
    <row r="662">
      <c r="A662" s="7"/>
      <c r="B662" s="7"/>
      <c r="C662" s="46">
        <f t="shared" si="99"/>
        <v>20</v>
      </c>
      <c r="D662" s="46" t="str">
        <f t="shared" si="100"/>
        <v>PrimalItemConsumable_Egg</v>
      </c>
      <c r="E662" s="11" t="s">
        <v>3401</v>
      </c>
      <c r="F662" s="11" t="s">
        <v>3402</v>
      </c>
      <c r="G662" s="46" t="str">
        <f t="shared" si="101"/>
        <v>cheat gfi PrimalItemConsumable_Egg_Baryonyx_Fertilized_Alpha_C_C 1 100 0</v>
      </c>
      <c r="H662" s="11" t="s">
        <v>3403</v>
      </c>
      <c r="I662" s="46" t="str">
        <f t="shared" si="102"/>
        <v>EngramEntry_Egg_Baryonyx_Fertilized_Alpha_C_C</v>
      </c>
      <c r="J662" s="46" t="str">
        <f t="shared" si="103"/>
        <v>OverrideNamedEngramEntries=(EngramEntry_Egg_Baryonyx_Fertilized_Alpha_C_C,EngramHidden=true)</v>
      </c>
      <c r="K662" s="2"/>
    </row>
    <row r="663">
      <c r="A663" s="7"/>
      <c r="B663" s="7"/>
      <c r="C663" s="45">
        <f t="shared" si="99"/>
        <v>20</v>
      </c>
      <c r="D663" s="45" t="str">
        <f t="shared" si="100"/>
        <v>PrimalItemConsumable_Egg</v>
      </c>
      <c r="E663" s="8" t="s">
        <v>3404</v>
      </c>
      <c r="F663" s="8" t="s">
        <v>3405</v>
      </c>
      <c r="G663" s="45" t="str">
        <f t="shared" si="101"/>
        <v>cheat gfi PrimalItemConsumable_Egg_Baryonyx_Fertilized_Alpha_P_C 1 100 0</v>
      </c>
      <c r="H663" s="8" t="s">
        <v>3406</v>
      </c>
      <c r="I663" s="45" t="str">
        <f t="shared" si="102"/>
        <v>EngramEntry_Egg_Baryonyx_Fertilized_Alpha_P_C</v>
      </c>
      <c r="J663" s="45" t="str">
        <f t="shared" si="103"/>
        <v>OverrideNamedEngramEntries=(EngramEntry_Egg_Baryonyx_Fertilized_Alpha_P_C,EngramHidden=true)</v>
      </c>
      <c r="K663" s="2"/>
    </row>
    <row r="664">
      <c r="A664" s="7"/>
      <c r="B664" s="7"/>
      <c r="C664" s="46">
        <f t="shared" si="99"/>
        <v>20</v>
      </c>
      <c r="D664" s="46" t="str">
        <f t="shared" si="100"/>
        <v>PrimalItemConsumable_Egg</v>
      </c>
      <c r="E664" s="11" t="s">
        <v>3407</v>
      </c>
      <c r="F664" s="11" t="s">
        <v>3408</v>
      </c>
      <c r="G664" s="46" t="str">
        <f t="shared" si="101"/>
        <v>cheat gfi PrimalItemConsumable_Egg_Baryonyx_Fertilized_Apex_C 1 100 0</v>
      </c>
      <c r="H664" s="11" t="s">
        <v>3409</v>
      </c>
      <c r="I664" s="46" t="str">
        <f t="shared" si="102"/>
        <v>EngramEntry_Egg_Baryonyx_Fertilized_Apex_C</v>
      </c>
      <c r="J664" s="46" t="str">
        <f t="shared" si="103"/>
        <v>OverrideNamedEngramEntries=(EngramEntry_Egg_Baryonyx_Fertilized_Apex_C,EngramHidden=true)</v>
      </c>
      <c r="K664" s="2"/>
    </row>
    <row r="665">
      <c r="A665" s="7"/>
      <c r="B665" s="7"/>
      <c r="C665" s="45">
        <f t="shared" si="99"/>
        <v>20</v>
      </c>
      <c r="D665" s="45" t="str">
        <f t="shared" si="100"/>
        <v>PrimalItemConsumable_Egg</v>
      </c>
      <c r="E665" s="8" t="s">
        <v>3410</v>
      </c>
      <c r="F665" s="8" t="s">
        <v>3411</v>
      </c>
      <c r="G665" s="45" t="str">
        <f t="shared" si="101"/>
        <v>cheat gfi PrimalItemConsumable_Egg_Baryonyx_Fertilized_Bionic_C 1 100 0</v>
      </c>
      <c r="H665" s="8" t="s">
        <v>3412</v>
      </c>
      <c r="I665" s="45" t="str">
        <f t="shared" si="102"/>
        <v>EngramEntry_Egg_Baryonyx_Fertilized_Bionic_C</v>
      </c>
      <c r="J665" s="45" t="str">
        <f t="shared" si="103"/>
        <v>OverrideNamedEngramEntries=(EngramEntry_Egg_Baryonyx_Fertilized_Bionic_C,EngramHidden=true)</v>
      </c>
      <c r="K665" s="2"/>
    </row>
    <row r="666">
      <c r="A666" s="7"/>
      <c r="B666" s="7"/>
      <c r="C666" s="46">
        <f t="shared" si="99"/>
        <v>20</v>
      </c>
      <c r="D666" s="46" t="str">
        <f t="shared" si="100"/>
        <v>PrimalItemConsumable_Egg</v>
      </c>
      <c r="E666" s="11" t="s">
        <v>3413</v>
      </c>
      <c r="F666" s="11" t="s">
        <v>3414</v>
      </c>
      <c r="G666" s="46" t="str">
        <f t="shared" si="101"/>
        <v>cheat gfi PrimalItemConsumable_Egg_Baryonyx_Fertilized_Hydro_C 1 100 0</v>
      </c>
      <c r="H666" s="11" t="s">
        <v>3415</v>
      </c>
      <c r="I666" s="46" t="str">
        <f t="shared" si="102"/>
        <v>EngramEntry_Egg_Baryonyx_Fertilized_Hydro_C</v>
      </c>
      <c r="J666" s="46" t="str">
        <f t="shared" si="103"/>
        <v>OverrideNamedEngramEntries=(EngramEntry_Egg_Baryonyx_Fertilized_Hydro_C,EngramHidden=true)</v>
      </c>
      <c r="K666" s="2"/>
    </row>
    <row r="667">
      <c r="A667" s="7"/>
      <c r="B667" s="7"/>
      <c r="C667" s="45">
        <f t="shared" si="99"/>
        <v>20</v>
      </c>
      <c r="D667" s="45" t="str">
        <f t="shared" si="100"/>
        <v>PrimalItemConsumable_Egg</v>
      </c>
      <c r="E667" s="8" t="s">
        <v>3416</v>
      </c>
      <c r="F667" s="8" t="s">
        <v>3417</v>
      </c>
      <c r="G667" s="45" t="str">
        <f t="shared" si="101"/>
        <v>cheat gfi PrimalItemConsumable_Egg_BerserkDragon_Fertilized_Frost_C 1 100 0</v>
      </c>
      <c r="H667" s="8" t="s">
        <v>3418</v>
      </c>
      <c r="I667" s="45" t="str">
        <f t="shared" si="102"/>
        <v>EngramEntry_Egg_BerserkDragon_Fertilized_Frost_C</v>
      </c>
      <c r="J667" s="45" t="str">
        <f t="shared" si="103"/>
        <v>OverrideNamedEngramEntries=(EngramEntry_Egg_BerserkDragon_Fertilized_Frost_C,EngramHidden=true)</v>
      </c>
      <c r="K667" s="2"/>
    </row>
    <row r="668">
      <c r="A668" s="7"/>
      <c r="B668" s="7"/>
      <c r="C668" s="46">
        <f t="shared" si="99"/>
        <v>20</v>
      </c>
      <c r="D668" s="46" t="str">
        <f t="shared" si="100"/>
        <v>PrimalItemConsumable_Egg</v>
      </c>
      <c r="E668" s="11" t="s">
        <v>3419</v>
      </c>
      <c r="F668" s="11" t="s">
        <v>3420</v>
      </c>
      <c r="G668" s="46" t="str">
        <f t="shared" si="101"/>
        <v>cheat gfi PrimalItemConsumable_Egg_Bronto_Fertilized_Alpha_C 1 100 0</v>
      </c>
      <c r="H668" s="11" t="s">
        <v>3421</v>
      </c>
      <c r="I668" s="46" t="str">
        <f t="shared" si="102"/>
        <v>EngramEntry_Egg_Bronto_Fertilized_Alpha_C</v>
      </c>
      <c r="J668" s="46" t="str">
        <f t="shared" si="103"/>
        <v>OverrideNamedEngramEntries=(EngramEntry_Egg_Bronto_Fertilized_Alpha_C,EngramHidden=true)</v>
      </c>
      <c r="K668" s="2"/>
    </row>
    <row r="669">
      <c r="A669" s="7"/>
      <c r="B669" s="7"/>
      <c r="C669" s="45">
        <f t="shared" si="99"/>
        <v>20</v>
      </c>
      <c r="D669" s="45" t="str">
        <f t="shared" si="100"/>
        <v>PrimalItemConsumable_Egg</v>
      </c>
      <c r="E669" s="8" t="s">
        <v>3422</v>
      </c>
      <c r="F669" s="8" t="s">
        <v>3423</v>
      </c>
      <c r="G669" s="45" t="str">
        <f t="shared" si="101"/>
        <v>cheat gfi PrimalItemConsumable_Egg_Bronto_Fertilized_Alpha_C_C 1 100 0</v>
      </c>
      <c r="H669" s="8" t="s">
        <v>3424</v>
      </c>
      <c r="I669" s="45" t="str">
        <f t="shared" si="102"/>
        <v>EngramEntry_Egg_Bronto_Fertilized_Alpha_C_C</v>
      </c>
      <c r="J669" s="45" t="str">
        <f t="shared" si="103"/>
        <v>OverrideNamedEngramEntries=(EngramEntry_Egg_Bronto_Fertilized_Alpha_C_C,EngramHidden=true)</v>
      </c>
      <c r="K669" s="2"/>
    </row>
    <row r="670">
      <c r="A670" s="7"/>
      <c r="B670" s="7"/>
      <c r="C670" s="46">
        <f t="shared" si="99"/>
        <v>20</v>
      </c>
      <c r="D670" s="46" t="str">
        <f t="shared" si="100"/>
        <v>PrimalItemConsumable_Egg</v>
      </c>
      <c r="E670" s="11" t="s">
        <v>3425</v>
      </c>
      <c r="F670" s="11" t="s">
        <v>3426</v>
      </c>
      <c r="G670" s="46" t="str">
        <f t="shared" si="101"/>
        <v>cheat gfi PrimalItemConsumable_Egg_Bronto_Fertilized_Alpha_P_C 1 100 0</v>
      </c>
      <c r="H670" s="11" t="s">
        <v>3427</v>
      </c>
      <c r="I670" s="46" t="str">
        <f t="shared" si="102"/>
        <v>EngramEntry_Egg_Bronto_Fertilized_Alpha_P_C</v>
      </c>
      <c r="J670" s="46" t="str">
        <f t="shared" si="103"/>
        <v>OverrideNamedEngramEntries=(EngramEntry_Egg_Bronto_Fertilized_Alpha_P_C,EngramHidden=true)</v>
      </c>
      <c r="K670" s="2"/>
    </row>
    <row r="671">
      <c r="A671" s="7"/>
      <c r="B671" s="7"/>
      <c r="C671" s="45">
        <f t="shared" si="99"/>
        <v>20</v>
      </c>
      <c r="D671" s="45" t="str">
        <f t="shared" si="100"/>
        <v>PrimalItemConsumable_Egg</v>
      </c>
      <c r="E671" s="8" t="s">
        <v>3428</v>
      </c>
      <c r="F671" s="8" t="s">
        <v>3429</v>
      </c>
      <c r="G671" s="45" t="str">
        <f t="shared" si="101"/>
        <v>cheat gfi PrimalItemConsumable_Egg_Bronto_Fertilized_Apex_C 1 100 0</v>
      </c>
      <c r="H671" s="8" t="s">
        <v>3430</v>
      </c>
      <c r="I671" s="45" t="str">
        <f t="shared" si="102"/>
        <v>EngramEntry_Egg_Bronto_Fertilized_Apex_C</v>
      </c>
      <c r="J671" s="45" t="str">
        <f t="shared" si="103"/>
        <v>OverrideNamedEngramEntries=(EngramEntry_Egg_Bronto_Fertilized_Apex_C,EngramHidden=true)</v>
      </c>
      <c r="K671" s="2"/>
    </row>
    <row r="672">
      <c r="A672" s="7"/>
      <c r="B672" s="7"/>
      <c r="C672" s="46">
        <f t="shared" si="99"/>
        <v>20</v>
      </c>
      <c r="D672" s="46" t="str">
        <f t="shared" si="100"/>
        <v>PrimalItemConsumable_Egg</v>
      </c>
      <c r="E672" s="11" t="s">
        <v>3431</v>
      </c>
      <c r="F672" s="11" t="s">
        <v>3432</v>
      </c>
      <c r="G672" s="46" t="str">
        <f t="shared" si="101"/>
        <v>cheat gfi PrimalItemConsumable_Egg_Bronto_Fertilized_Earth_C 1 100 0</v>
      </c>
      <c r="H672" s="11" t="s">
        <v>3433</v>
      </c>
      <c r="I672" s="46" t="str">
        <f t="shared" si="102"/>
        <v>EngramEntry_Egg_Bronto_Fertilized_Earth_C</v>
      </c>
      <c r="J672" s="46" t="str">
        <f t="shared" si="103"/>
        <v>OverrideNamedEngramEntries=(EngramEntry_Egg_Bronto_Fertilized_Earth_C,EngramHidden=true)</v>
      </c>
      <c r="K672" s="2"/>
    </row>
    <row r="673">
      <c r="A673" s="7"/>
      <c r="B673" s="7"/>
      <c r="C673" s="45">
        <f t="shared" si="99"/>
        <v>20</v>
      </c>
      <c r="D673" s="45" t="str">
        <f t="shared" si="100"/>
        <v>PrimalItemConsumable_Egg</v>
      </c>
      <c r="E673" s="8" t="s">
        <v>3434</v>
      </c>
      <c r="F673" s="8" t="s">
        <v>3435</v>
      </c>
      <c r="G673" s="45" t="str">
        <f t="shared" si="101"/>
        <v>cheat gfi PrimalItemConsumable_Egg_Broodmother_Fertilized_Frost_C 1 100 0</v>
      </c>
      <c r="H673" s="8" t="s">
        <v>3436</v>
      </c>
      <c r="I673" s="45" t="str">
        <f t="shared" si="102"/>
        <v>EngramEntry_Egg_Broodmother_Fertilized_Frost_C</v>
      </c>
      <c r="J673" s="45" t="str">
        <f t="shared" si="103"/>
        <v>OverrideNamedEngramEntries=(EngramEntry_Egg_Broodmother_Fertilized_Frost_C,EngramHidden=true)</v>
      </c>
      <c r="K673" s="2"/>
    </row>
    <row r="674">
      <c r="A674" s="7"/>
      <c r="B674" s="7"/>
      <c r="C674" s="46">
        <f t="shared" si="99"/>
        <v>20</v>
      </c>
      <c r="D674" s="46" t="str">
        <f t="shared" si="100"/>
        <v>PrimalItemConsumable_Egg</v>
      </c>
      <c r="E674" s="11" t="s">
        <v>3437</v>
      </c>
      <c r="F674" s="11" t="s">
        <v>3438</v>
      </c>
      <c r="G674" s="46" t="str">
        <f t="shared" si="101"/>
        <v>cheat gfi PrimalItemConsumable_Egg_Carcha_Fertilized_Alpha_C 1 100 0</v>
      </c>
      <c r="H674" s="11" t="s">
        <v>3439</v>
      </c>
      <c r="I674" s="46" t="str">
        <f t="shared" si="102"/>
        <v>EngramEntry_Egg_Carcha_Fertilized_Alpha_C</v>
      </c>
      <c r="J674" s="46" t="str">
        <f t="shared" si="103"/>
        <v>OverrideNamedEngramEntries=(EngramEntry_Egg_Carcha_Fertilized_Alpha_C,EngramHidden=true)</v>
      </c>
      <c r="K674" s="2"/>
    </row>
    <row r="675">
      <c r="A675" s="7"/>
      <c r="B675" s="7"/>
      <c r="C675" s="45">
        <f t="shared" si="99"/>
        <v>20</v>
      </c>
      <c r="D675" s="45" t="str">
        <f t="shared" si="100"/>
        <v>PrimalItemConsumable_Egg</v>
      </c>
      <c r="E675" s="8" t="s">
        <v>3440</v>
      </c>
      <c r="F675" s="8" t="s">
        <v>3441</v>
      </c>
      <c r="G675" s="45" t="str">
        <f t="shared" si="101"/>
        <v>cheat gfi PrimalItemConsumable_Egg_Carcha_Fertilized_Alpha_C_C 1 100 0</v>
      </c>
      <c r="H675" s="8" t="s">
        <v>3442</v>
      </c>
      <c r="I675" s="45" t="str">
        <f t="shared" si="102"/>
        <v>EngramEntry_Egg_Carcha_Fertilized_Alpha_C_C</v>
      </c>
      <c r="J675" s="45" t="str">
        <f t="shared" si="103"/>
        <v>OverrideNamedEngramEntries=(EngramEntry_Egg_Carcha_Fertilized_Alpha_C_C,EngramHidden=true)</v>
      </c>
      <c r="K675" s="2"/>
    </row>
    <row r="676">
      <c r="A676" s="7"/>
      <c r="B676" s="7"/>
      <c r="C676" s="46">
        <f t="shared" si="99"/>
        <v>20</v>
      </c>
      <c r="D676" s="46" t="str">
        <f t="shared" si="100"/>
        <v>PrimalItemConsumable_Egg</v>
      </c>
      <c r="E676" s="11" t="s">
        <v>3443</v>
      </c>
      <c r="F676" s="11" t="s">
        <v>3444</v>
      </c>
      <c r="G676" s="46" t="str">
        <f t="shared" si="101"/>
        <v>cheat gfi PrimalItemConsumable_Egg_Carcha_Fertilized_Alpha_P_C 1 100 0</v>
      </c>
      <c r="H676" s="11" t="s">
        <v>3445</v>
      </c>
      <c r="I676" s="46" t="str">
        <f t="shared" si="102"/>
        <v>EngramEntry_Egg_Carcha_Fertilized_Alpha_P_C</v>
      </c>
      <c r="J676" s="46" t="str">
        <f t="shared" si="103"/>
        <v>OverrideNamedEngramEntries=(EngramEntry_Egg_Carcha_Fertilized_Alpha_P_C,EngramHidden=true)</v>
      </c>
      <c r="K676" s="2"/>
    </row>
    <row r="677">
      <c r="A677" s="7"/>
      <c r="B677" s="7"/>
      <c r="C677" s="45">
        <f t="shared" si="99"/>
        <v>20</v>
      </c>
      <c r="D677" s="45" t="str">
        <f t="shared" si="100"/>
        <v>PrimalItemConsumable_Egg</v>
      </c>
      <c r="E677" s="8" t="s">
        <v>3446</v>
      </c>
      <c r="F677" s="8" t="s">
        <v>3447</v>
      </c>
      <c r="G677" s="45" t="str">
        <f t="shared" si="101"/>
        <v>cheat gfi PrimalItemConsumable_Egg_Carcha_Fertilized_Apex_C 1 100 0</v>
      </c>
      <c r="H677" s="8" t="s">
        <v>3448</v>
      </c>
      <c r="I677" s="45" t="str">
        <f t="shared" si="102"/>
        <v>EngramEntry_Egg_Carcha_Fertilized_Apex_C</v>
      </c>
      <c r="J677" s="45" t="str">
        <f t="shared" si="103"/>
        <v>OverrideNamedEngramEntries=(EngramEntry_Egg_Carcha_Fertilized_Apex_C,EngramHidden=true)</v>
      </c>
      <c r="K677" s="2"/>
    </row>
    <row r="678">
      <c r="A678" s="7"/>
      <c r="B678" s="7"/>
      <c r="C678" s="46">
        <f t="shared" si="99"/>
        <v>20</v>
      </c>
      <c r="D678" s="46" t="str">
        <f t="shared" si="100"/>
        <v>PrimalItemConsumable_Egg</v>
      </c>
      <c r="E678" s="11" t="s">
        <v>3449</v>
      </c>
      <c r="F678" s="11" t="s">
        <v>3450</v>
      </c>
      <c r="G678" s="46" t="str">
        <f t="shared" si="101"/>
        <v>cheat gfi PrimalItemConsumable_Egg_Carno_Fertilized_Alpha_C 1 100 0</v>
      </c>
      <c r="H678" s="11" t="s">
        <v>3451</v>
      </c>
      <c r="I678" s="46" t="str">
        <f t="shared" si="102"/>
        <v>EngramEntry_Egg_Carno_Fertilized_Alpha_C</v>
      </c>
      <c r="J678" s="46" t="str">
        <f t="shared" si="103"/>
        <v>OverrideNamedEngramEntries=(EngramEntry_Egg_Carno_Fertilized_Alpha_C,EngramHidden=true)</v>
      </c>
      <c r="K678" s="2"/>
    </row>
    <row r="679">
      <c r="A679" s="7"/>
      <c r="B679" s="7"/>
      <c r="C679" s="45">
        <f t="shared" si="99"/>
        <v>20</v>
      </c>
      <c r="D679" s="45" t="str">
        <f t="shared" si="100"/>
        <v>PrimalItemConsumable_Egg</v>
      </c>
      <c r="E679" s="8" t="s">
        <v>3452</v>
      </c>
      <c r="F679" s="8" t="s">
        <v>3453</v>
      </c>
      <c r="G679" s="45" t="str">
        <f t="shared" si="101"/>
        <v>cheat gfi PrimalItemConsumable_Egg_Carno_Fertilized_Alpha_C_C 1 100 0</v>
      </c>
      <c r="H679" s="8" t="s">
        <v>3454</v>
      </c>
      <c r="I679" s="45" t="str">
        <f t="shared" si="102"/>
        <v>EngramEntry_Egg_Carno_Fertilized_Alpha_C_C</v>
      </c>
      <c r="J679" s="45" t="str">
        <f t="shared" si="103"/>
        <v>OverrideNamedEngramEntries=(EngramEntry_Egg_Carno_Fertilized_Alpha_C_C,EngramHidden=true)</v>
      </c>
      <c r="K679" s="2"/>
    </row>
    <row r="680">
      <c r="A680" s="7"/>
      <c r="B680" s="7"/>
      <c r="C680" s="46">
        <f t="shared" si="99"/>
        <v>20</v>
      </c>
      <c r="D680" s="46" t="str">
        <f t="shared" si="100"/>
        <v>PrimalItemConsumable_Egg</v>
      </c>
      <c r="E680" s="11" t="s">
        <v>3455</v>
      </c>
      <c r="F680" s="11" t="s">
        <v>3456</v>
      </c>
      <c r="G680" s="46" t="str">
        <f t="shared" si="101"/>
        <v>cheat gfi PrimalItemConsumable_Egg_Carno_Fertilized_Alpha_P_C 1 100 0</v>
      </c>
      <c r="H680" s="11" t="s">
        <v>3457</v>
      </c>
      <c r="I680" s="46" t="str">
        <f t="shared" si="102"/>
        <v>EngramEntry_Egg_Carno_Fertilized_Alpha_P_C</v>
      </c>
      <c r="J680" s="46" t="str">
        <f t="shared" si="103"/>
        <v>OverrideNamedEngramEntries=(EngramEntry_Egg_Carno_Fertilized_Alpha_P_C,EngramHidden=true)</v>
      </c>
      <c r="K680" s="2"/>
    </row>
    <row r="681">
      <c r="A681" s="7"/>
      <c r="B681" s="7"/>
      <c r="C681" s="45">
        <f t="shared" si="99"/>
        <v>20</v>
      </c>
      <c r="D681" s="45" t="str">
        <f t="shared" si="100"/>
        <v>PrimalItemConsumable_Egg</v>
      </c>
      <c r="E681" s="8" t="s">
        <v>3458</v>
      </c>
      <c r="F681" s="8" t="s">
        <v>3459</v>
      </c>
      <c r="G681" s="45" t="str">
        <f t="shared" si="101"/>
        <v>cheat gfi PrimalItemConsumable_Egg_Carno_Fertilized_Apex_C 1 100 0</v>
      </c>
      <c r="H681" s="8" t="s">
        <v>3460</v>
      </c>
      <c r="I681" s="45" t="str">
        <f t="shared" si="102"/>
        <v>EngramEntry_Egg_Carno_Fertilized_Apex_C</v>
      </c>
      <c r="J681" s="45" t="str">
        <f t="shared" si="103"/>
        <v>OverrideNamedEngramEntries=(EngramEntry_Egg_Carno_Fertilized_Apex_C,EngramHidden=true)</v>
      </c>
      <c r="K681" s="2"/>
    </row>
    <row r="682">
      <c r="A682" s="7"/>
      <c r="B682" s="7"/>
      <c r="C682" s="46">
        <f t="shared" si="99"/>
        <v>20</v>
      </c>
      <c r="D682" s="46" t="str">
        <f t="shared" si="100"/>
        <v>PrimalItemConsumable_Egg</v>
      </c>
      <c r="E682" s="11" t="s">
        <v>3461</v>
      </c>
      <c r="F682" s="11" t="s">
        <v>3462</v>
      </c>
      <c r="G682" s="46" t="str">
        <f t="shared" si="101"/>
        <v>cheat gfi PrimalItemConsumable_Egg_Carno_Fertilized_Electric_C 1 100 0</v>
      </c>
      <c r="H682" s="11" t="s">
        <v>3463</v>
      </c>
      <c r="I682" s="46" t="str">
        <f t="shared" si="102"/>
        <v>EngramEntry_Egg_Carno_Fertilized_Electric_C</v>
      </c>
      <c r="J682" s="46" t="str">
        <f t="shared" si="103"/>
        <v>OverrideNamedEngramEntries=(EngramEntry_Egg_Carno_Fertilized_Electric_C,EngramHidden=true)</v>
      </c>
      <c r="K682" s="2"/>
    </row>
    <row r="683">
      <c r="A683" s="7"/>
      <c r="B683" s="7"/>
      <c r="C683" s="45">
        <f t="shared" si="99"/>
        <v>20</v>
      </c>
      <c r="D683" s="45" t="str">
        <f t="shared" si="100"/>
        <v>PrimalItemConsumable_Egg</v>
      </c>
      <c r="E683" s="8" t="s">
        <v>3464</v>
      </c>
      <c r="F683" s="8" t="s">
        <v>3465</v>
      </c>
      <c r="G683" s="45" t="str">
        <f t="shared" si="101"/>
        <v>cheat gfi PrimalItemConsumable_Egg_Cerato_Fertilized_ASA_Celestial_C 1 100 0</v>
      </c>
      <c r="H683" s="8" t="s">
        <v>3466</v>
      </c>
      <c r="I683" s="45" t="str">
        <f t="shared" si="102"/>
        <v>EngramEntry_Egg_Cerato_Fertilized_ASA_Celestial_C</v>
      </c>
      <c r="J683" s="45" t="str">
        <f t="shared" si="103"/>
        <v>OverrideNamedEngramEntries=(EngramEntry_Egg_Cerato_Fertilized_ASA_Celestial_C,EngramHidden=true)</v>
      </c>
      <c r="K683" s="2"/>
    </row>
    <row r="684">
      <c r="A684" s="7"/>
      <c r="B684" s="7"/>
      <c r="C684" s="46">
        <f t="shared" si="99"/>
        <v>20</v>
      </c>
      <c r="D684" s="46" t="str">
        <f t="shared" si="100"/>
        <v>PrimalItemConsumable_Egg</v>
      </c>
      <c r="E684" s="11" t="s">
        <v>3467</v>
      </c>
      <c r="F684" s="11" t="s">
        <v>3468</v>
      </c>
      <c r="G684" s="46" t="str">
        <f t="shared" si="101"/>
        <v>cheat gfi PrimalItemConsumable_Egg_Cherufe_Fertilized_Earth_C 1 100 0</v>
      </c>
      <c r="H684" s="11" t="s">
        <v>3469</v>
      </c>
      <c r="I684" s="46" t="str">
        <f t="shared" si="102"/>
        <v>EngramEntry_Egg_Cherufe_Fertilized_Earth_C</v>
      </c>
      <c r="J684" s="46" t="str">
        <f t="shared" si="103"/>
        <v>OverrideNamedEngramEntries=(EngramEntry_Egg_Cherufe_Fertilized_Earth_C,EngramHidden=true)</v>
      </c>
      <c r="K684" s="2"/>
    </row>
    <row r="685">
      <c r="A685" s="7"/>
      <c r="B685" s="7"/>
      <c r="C685" s="45">
        <f t="shared" si="99"/>
        <v>20</v>
      </c>
      <c r="D685" s="45" t="str">
        <f t="shared" si="100"/>
        <v>PrimalItemConsumable_Egg</v>
      </c>
      <c r="E685" s="8" t="s">
        <v>3470</v>
      </c>
      <c r="F685" s="8" t="s">
        <v>3471</v>
      </c>
      <c r="G685" s="45" t="str">
        <f t="shared" si="101"/>
        <v>cheat gfi PrimalItemConsumable_Egg_Compy_Fertilized_Alpha_C 1 100 0</v>
      </c>
      <c r="H685" s="8" t="s">
        <v>3472</v>
      </c>
      <c r="I685" s="45" t="str">
        <f t="shared" si="102"/>
        <v>EngramEntry_Egg_Compy_Fertilized_Alpha_C</v>
      </c>
      <c r="J685" s="45" t="str">
        <f t="shared" si="103"/>
        <v>OverrideNamedEngramEntries=(EngramEntry_Egg_Compy_Fertilized_Alpha_C,EngramHidden=true)</v>
      </c>
      <c r="K685" s="2"/>
    </row>
    <row r="686">
      <c r="A686" s="7"/>
      <c r="B686" s="7"/>
      <c r="C686" s="46">
        <f t="shared" si="99"/>
        <v>20</v>
      </c>
      <c r="D686" s="46" t="str">
        <f t="shared" si="100"/>
        <v>PrimalItemConsumable_Egg</v>
      </c>
      <c r="E686" s="11" t="s">
        <v>3473</v>
      </c>
      <c r="F686" s="11" t="s">
        <v>3474</v>
      </c>
      <c r="G686" s="46" t="str">
        <f t="shared" si="101"/>
        <v>cheat gfi PrimalItemConsumable_Egg_Compy_Fertilized_Alpha_C_C 1 100 0</v>
      </c>
      <c r="H686" s="11" t="s">
        <v>3475</v>
      </c>
      <c r="I686" s="46" t="str">
        <f t="shared" si="102"/>
        <v>EngramEntry_Egg_Compy_Fertilized_Alpha_C_C</v>
      </c>
      <c r="J686" s="46" t="str">
        <f t="shared" si="103"/>
        <v>OverrideNamedEngramEntries=(EngramEntry_Egg_Compy_Fertilized_Alpha_C_C,EngramHidden=true)</v>
      </c>
      <c r="K686" s="2"/>
    </row>
    <row r="687">
      <c r="A687" s="7"/>
      <c r="B687" s="7"/>
      <c r="C687" s="45">
        <f t="shared" si="99"/>
        <v>20</v>
      </c>
      <c r="D687" s="45" t="str">
        <f t="shared" si="100"/>
        <v>PrimalItemConsumable_Egg</v>
      </c>
      <c r="E687" s="8" t="s">
        <v>3476</v>
      </c>
      <c r="F687" s="8" t="s">
        <v>3477</v>
      </c>
      <c r="G687" s="45" t="str">
        <f t="shared" si="101"/>
        <v>cheat gfi PrimalItemConsumable_Egg_Compy_Fertilized_Alpha_P_C 1 100 0</v>
      </c>
      <c r="H687" s="8" t="s">
        <v>3478</v>
      </c>
      <c r="I687" s="45" t="str">
        <f t="shared" si="102"/>
        <v>EngramEntry_Egg_Compy_Fertilized_Alpha_P_C</v>
      </c>
      <c r="J687" s="45" t="str">
        <f t="shared" si="103"/>
        <v>OverrideNamedEngramEntries=(EngramEntry_Egg_Compy_Fertilized_Alpha_P_C,EngramHidden=true)</v>
      </c>
      <c r="K687" s="2"/>
    </row>
    <row r="688">
      <c r="A688" s="7"/>
      <c r="B688" s="7"/>
      <c r="C688" s="46">
        <f t="shared" si="99"/>
        <v>20</v>
      </c>
      <c r="D688" s="46" t="str">
        <f t="shared" si="100"/>
        <v>PrimalItemConsumable_Egg</v>
      </c>
      <c r="E688" s="11" t="s">
        <v>3479</v>
      </c>
      <c r="F688" s="11" t="s">
        <v>3480</v>
      </c>
      <c r="G688" s="46" t="str">
        <f t="shared" si="101"/>
        <v>cheat gfi PrimalItemConsumable_Egg_Compy_Fertilized_Apex_C 1 100 0</v>
      </c>
      <c r="H688" s="11" t="s">
        <v>3481</v>
      </c>
      <c r="I688" s="46" t="str">
        <f t="shared" si="102"/>
        <v>EngramEntry_Egg_Compy_Fertilized_Apex_C</v>
      </c>
      <c r="J688" s="46" t="str">
        <f t="shared" si="103"/>
        <v>OverrideNamedEngramEntries=(EngramEntry_Egg_Compy_Fertilized_Apex_C,EngramHidden=true)</v>
      </c>
      <c r="K688" s="2"/>
    </row>
    <row r="689">
      <c r="A689" s="7"/>
      <c r="B689" s="7"/>
      <c r="C689" s="45">
        <f t="shared" si="99"/>
        <v>20</v>
      </c>
      <c r="D689" s="45" t="str">
        <f t="shared" si="100"/>
        <v>PrimalItemConsumable_Egg</v>
      </c>
      <c r="E689" s="8" t="s">
        <v>3482</v>
      </c>
      <c r="F689" s="8" t="s">
        <v>3483</v>
      </c>
      <c r="G689" s="45" t="str">
        <f t="shared" si="101"/>
        <v>cheat gfi PrimalItemConsumable_Egg_Crab_Fertilized_Frost_C 1 100 0</v>
      </c>
      <c r="H689" s="8" t="s">
        <v>3484</v>
      </c>
      <c r="I689" s="45" t="str">
        <f t="shared" si="102"/>
        <v>EngramEntry_Egg_Crab_Fertilized_Frost_C</v>
      </c>
      <c r="J689" s="45" t="str">
        <f t="shared" si="103"/>
        <v>OverrideNamedEngramEntries=(EngramEntry_Egg_Crab_Fertilized_Frost_C,EngramHidden=true)</v>
      </c>
      <c r="K689" s="2"/>
    </row>
    <row r="690">
      <c r="A690" s="7"/>
      <c r="B690" s="7"/>
      <c r="C690" s="46">
        <f t="shared" si="99"/>
        <v>20</v>
      </c>
      <c r="D690" s="46" t="str">
        <f t="shared" si="100"/>
        <v>PrimalItemConsumable_Egg</v>
      </c>
      <c r="E690" s="11" t="s">
        <v>3485</v>
      </c>
      <c r="F690" s="11" t="s">
        <v>3486</v>
      </c>
      <c r="G690" s="46" t="str">
        <f t="shared" si="101"/>
        <v>cheat gfi PrimalItemConsumable_Egg_Croc_Fertilized_Atlantic_C 1 100 0</v>
      </c>
      <c r="H690" s="11" t="s">
        <v>3487</v>
      </c>
      <c r="I690" s="46" t="str">
        <f t="shared" si="102"/>
        <v>EngramEntry_Egg_Croc_Fertilized_Atlantic_C</v>
      </c>
      <c r="J690" s="46" t="str">
        <f t="shared" si="103"/>
        <v>OverrideNamedEngramEntries=(EngramEntry_Egg_Croc_Fertilized_Atlantic_C,EngramHidden=true)</v>
      </c>
      <c r="K690" s="2"/>
    </row>
    <row r="691">
      <c r="A691" s="7"/>
      <c r="B691" s="7"/>
      <c r="C691" s="45">
        <f t="shared" si="99"/>
        <v>20</v>
      </c>
      <c r="D691" s="45" t="str">
        <f t="shared" si="100"/>
        <v>PrimalItemConsumable_Egg</v>
      </c>
      <c r="E691" s="8" t="s">
        <v>3488</v>
      </c>
      <c r="F691" s="8" t="s">
        <v>3489</v>
      </c>
      <c r="G691" s="45" t="str">
        <f t="shared" si="101"/>
        <v>cheat gfi PrimalItemConsumable_Egg_Croc_Fertilized_Pacific_C 1 100 0</v>
      </c>
      <c r="H691" s="8" t="s">
        <v>3490</v>
      </c>
      <c r="I691" s="45" t="str">
        <f t="shared" si="102"/>
        <v>EngramEntry_Egg_Croc_Fertilized_Pacific_C</v>
      </c>
      <c r="J691" s="45" t="str">
        <f t="shared" si="103"/>
        <v>OverrideNamedEngramEntries=(EngramEntry_Egg_Croc_Fertilized_Pacific_C,EngramHidden=true)</v>
      </c>
      <c r="K691" s="2"/>
    </row>
    <row r="692">
      <c r="A692" s="7"/>
      <c r="B692" s="7"/>
      <c r="C692" s="46">
        <f t="shared" si="99"/>
        <v>20</v>
      </c>
      <c r="D692" s="46" t="str">
        <f t="shared" si="100"/>
        <v>PrimalItemConsumable_Egg</v>
      </c>
      <c r="E692" s="11" t="s">
        <v>3491</v>
      </c>
      <c r="F692" s="11" t="s">
        <v>3492</v>
      </c>
      <c r="G692" s="46" t="str">
        <f t="shared" si="101"/>
        <v>cheat gfi PrimalItemConsumable_Egg_Deino_Fertilized_ASA_Atlantic_C 1 100 0</v>
      </c>
      <c r="H692" s="11" t="s">
        <v>3493</v>
      </c>
      <c r="I692" s="46" t="str">
        <f t="shared" si="102"/>
        <v>EngramEntry_Egg_Deino_Fertilized_ASA_Atlantic_C</v>
      </c>
      <c r="J692" s="46" t="str">
        <f t="shared" si="103"/>
        <v>OverrideNamedEngramEntries=(EngramEntry_Egg_Deino_Fertilized_ASA_Atlantic_C,EngramHidden=true)</v>
      </c>
      <c r="K692" s="2"/>
    </row>
    <row r="693">
      <c r="A693" s="7"/>
      <c r="B693" s="7"/>
      <c r="C693" s="45">
        <f t="shared" si="99"/>
        <v>20</v>
      </c>
      <c r="D693" s="45" t="str">
        <f t="shared" si="100"/>
        <v>PrimalItemConsumable_Egg</v>
      </c>
      <c r="E693" s="8" t="s">
        <v>3494</v>
      </c>
      <c r="F693" s="8" t="s">
        <v>3495</v>
      </c>
      <c r="G693" s="45" t="str">
        <f t="shared" si="101"/>
        <v>cheat gfi PrimalItemConsumable_Egg_Deino_Fertilized_ASA_Pacific_C 1 100 0</v>
      </c>
      <c r="H693" s="8" t="s">
        <v>3496</v>
      </c>
      <c r="I693" s="45" t="str">
        <f t="shared" si="102"/>
        <v>EngramEntry_Egg_Deino_Fertilized_ASA_Pacific_C</v>
      </c>
      <c r="J693" s="45" t="str">
        <f t="shared" si="103"/>
        <v>OverrideNamedEngramEntries=(EngramEntry_Egg_Deino_Fertilized_ASA_Pacific_C,EngramHidden=true)</v>
      </c>
      <c r="K693" s="2"/>
    </row>
    <row r="694">
      <c r="A694" s="7"/>
      <c r="B694" s="7"/>
      <c r="C694" s="46">
        <f t="shared" si="99"/>
        <v>20</v>
      </c>
      <c r="D694" s="46" t="str">
        <f t="shared" si="100"/>
        <v>PrimalItemConsumable_Egg</v>
      </c>
      <c r="E694" s="11" t="s">
        <v>3497</v>
      </c>
      <c r="F694" s="11" t="s">
        <v>3498</v>
      </c>
      <c r="G694" s="46" t="str">
        <f t="shared" si="101"/>
        <v>cheat gfi PrimalItemConsumable_Egg_Dilo_Fertilized_Alpha_C 1 100 0</v>
      </c>
      <c r="H694" s="11" t="s">
        <v>3499</v>
      </c>
      <c r="I694" s="46" t="str">
        <f t="shared" si="102"/>
        <v>EngramEntry_Egg_Dilo_Fertilized_Alpha_C</v>
      </c>
      <c r="J694" s="46" t="str">
        <f t="shared" si="103"/>
        <v>OverrideNamedEngramEntries=(EngramEntry_Egg_Dilo_Fertilized_Alpha_C,EngramHidden=true)</v>
      </c>
      <c r="K694" s="2"/>
    </row>
    <row r="695">
      <c r="A695" s="7"/>
      <c r="B695" s="7"/>
      <c r="C695" s="45">
        <f t="shared" si="99"/>
        <v>20</v>
      </c>
      <c r="D695" s="45" t="str">
        <f t="shared" si="100"/>
        <v>PrimalItemConsumable_Egg</v>
      </c>
      <c r="E695" s="8" t="s">
        <v>3500</v>
      </c>
      <c r="F695" s="8" t="s">
        <v>3501</v>
      </c>
      <c r="G695" s="45" t="str">
        <f t="shared" si="101"/>
        <v>cheat gfi PrimalItemConsumable_Egg_Dilo_Fertilized_Alpha_C_C 1 100 0</v>
      </c>
      <c r="H695" s="8" t="s">
        <v>3502</v>
      </c>
      <c r="I695" s="45" t="str">
        <f t="shared" si="102"/>
        <v>EngramEntry_Egg_Dilo_Fertilized_Alpha_C_C</v>
      </c>
      <c r="J695" s="45" t="str">
        <f t="shared" si="103"/>
        <v>OverrideNamedEngramEntries=(EngramEntry_Egg_Dilo_Fertilized_Alpha_C_C,EngramHidden=true)</v>
      </c>
      <c r="K695" s="2"/>
    </row>
    <row r="696">
      <c r="A696" s="7"/>
      <c r="B696" s="7"/>
      <c r="C696" s="46">
        <f t="shared" si="99"/>
        <v>20</v>
      </c>
      <c r="D696" s="46" t="str">
        <f t="shared" si="100"/>
        <v>PrimalItemConsumable_Egg</v>
      </c>
      <c r="E696" s="11" t="s">
        <v>3503</v>
      </c>
      <c r="F696" s="11" t="s">
        <v>3504</v>
      </c>
      <c r="G696" s="46" t="str">
        <f t="shared" si="101"/>
        <v>cheat gfi PrimalItemConsumable_Egg_Dilo_Fertilized_Alpha_P_C 1 100 0</v>
      </c>
      <c r="H696" s="11" t="s">
        <v>3505</v>
      </c>
      <c r="I696" s="46" t="str">
        <f t="shared" si="102"/>
        <v>EngramEntry_Egg_Dilo_Fertilized_Alpha_P_C</v>
      </c>
      <c r="J696" s="46" t="str">
        <f t="shared" si="103"/>
        <v>OverrideNamedEngramEntries=(EngramEntry_Egg_Dilo_Fertilized_Alpha_P_C,EngramHidden=true)</v>
      </c>
      <c r="K696" s="2"/>
    </row>
    <row r="697">
      <c r="A697" s="7"/>
      <c r="B697" s="7"/>
      <c r="C697" s="45">
        <f t="shared" si="99"/>
        <v>20</v>
      </c>
      <c r="D697" s="45" t="str">
        <f t="shared" si="100"/>
        <v>PrimalItemConsumable_Egg</v>
      </c>
      <c r="E697" s="8" t="s">
        <v>3506</v>
      </c>
      <c r="F697" s="8" t="s">
        <v>3507</v>
      </c>
      <c r="G697" s="45" t="str">
        <f t="shared" si="101"/>
        <v>cheat gfi PrimalItemConsumable_Egg_Dilo_Fertilized_Apex_C 1 100 0</v>
      </c>
      <c r="H697" s="8" t="s">
        <v>3508</v>
      </c>
      <c r="I697" s="45" t="str">
        <f t="shared" si="102"/>
        <v>EngramEntry_Egg_Dilo_Fertilized_Apex_C</v>
      </c>
      <c r="J697" s="45" t="str">
        <f t="shared" si="103"/>
        <v>OverrideNamedEngramEntries=(EngramEntry_Egg_Dilo_Fertilized_Apex_C,EngramHidden=true)</v>
      </c>
      <c r="K697" s="2"/>
    </row>
    <row r="698">
      <c r="A698" s="7"/>
      <c r="B698" s="7"/>
      <c r="C698" s="46">
        <f t="shared" si="99"/>
        <v>20</v>
      </c>
      <c r="D698" s="46" t="str">
        <f t="shared" si="100"/>
        <v>PrimalItemConsumable_Egg</v>
      </c>
      <c r="E698" s="11" t="s">
        <v>3509</v>
      </c>
      <c r="F698" s="11" t="s">
        <v>3510</v>
      </c>
      <c r="G698" s="46" t="str">
        <f t="shared" si="101"/>
        <v>cheat gfi PrimalItemConsumable_Egg_Dilo_Fertilized_Nature_C 1 100 0</v>
      </c>
      <c r="H698" s="11" t="s">
        <v>3511</v>
      </c>
      <c r="I698" s="46" t="str">
        <f t="shared" si="102"/>
        <v>EngramEntry_Egg_Dilo_Fertilized_Nature_C</v>
      </c>
      <c r="J698" s="46" t="str">
        <f t="shared" si="103"/>
        <v>OverrideNamedEngramEntries=(EngramEntry_Egg_Dilo_Fertilized_Nature_C,EngramHidden=true)</v>
      </c>
      <c r="K698" s="2"/>
    </row>
    <row r="699">
      <c r="A699" s="7"/>
      <c r="B699" s="7"/>
      <c r="C699" s="45">
        <f t="shared" si="99"/>
        <v>20</v>
      </c>
      <c r="D699" s="45" t="str">
        <f t="shared" si="100"/>
        <v>PrimalItemConsumable_Egg</v>
      </c>
      <c r="E699" s="8" t="s">
        <v>3512</v>
      </c>
      <c r="F699" s="8" t="s">
        <v>3513</v>
      </c>
      <c r="G699" s="45" t="str">
        <f t="shared" si="101"/>
        <v>cheat gfi PrimalItemConsumable_Egg_Dimetrodon_Fertilized_Alpha_C 1 100 0</v>
      </c>
      <c r="H699" s="8" t="s">
        <v>3514</v>
      </c>
      <c r="I699" s="45" t="str">
        <f t="shared" si="102"/>
        <v>EngramEntry_Egg_Dimetrodon_Fertilized_Alpha_C</v>
      </c>
      <c r="J699" s="45" t="str">
        <f t="shared" si="103"/>
        <v>OverrideNamedEngramEntries=(EngramEntry_Egg_Dimetrodon_Fertilized_Alpha_C,EngramHidden=true)</v>
      </c>
      <c r="K699" s="2"/>
    </row>
    <row r="700">
      <c r="A700" s="7"/>
      <c r="B700" s="7"/>
      <c r="C700" s="46">
        <f t="shared" si="99"/>
        <v>20</v>
      </c>
      <c r="D700" s="46" t="str">
        <f t="shared" si="100"/>
        <v>PrimalItemConsumable_Egg</v>
      </c>
      <c r="E700" s="11" t="s">
        <v>3515</v>
      </c>
      <c r="F700" s="11" t="s">
        <v>3516</v>
      </c>
      <c r="G700" s="46" t="str">
        <f t="shared" si="101"/>
        <v>cheat gfi PrimalItemConsumable_Egg_Dimetrodon_Fertilized_Alpha_C_C 1 100 0</v>
      </c>
      <c r="H700" s="11" t="s">
        <v>3517</v>
      </c>
      <c r="I700" s="46" t="str">
        <f t="shared" si="102"/>
        <v>EngramEntry_Egg_Dimetrodon_Fertilized_Alpha_C_C</v>
      </c>
      <c r="J700" s="46" t="str">
        <f t="shared" si="103"/>
        <v>OverrideNamedEngramEntries=(EngramEntry_Egg_Dimetrodon_Fertilized_Alpha_C_C,EngramHidden=true)</v>
      </c>
      <c r="K700" s="2"/>
    </row>
    <row r="701">
      <c r="A701" s="7"/>
      <c r="B701" s="7"/>
      <c r="C701" s="45">
        <f t="shared" si="99"/>
        <v>20</v>
      </c>
      <c r="D701" s="45" t="str">
        <f t="shared" si="100"/>
        <v>PrimalItemConsumable_Egg</v>
      </c>
      <c r="E701" s="8" t="s">
        <v>3518</v>
      </c>
      <c r="F701" s="8" t="s">
        <v>3519</v>
      </c>
      <c r="G701" s="45" t="str">
        <f t="shared" si="101"/>
        <v>cheat gfi PrimalItemConsumable_Egg_Dimetrodon_Fertilized_Alpha_P_C 1 100 0</v>
      </c>
      <c r="H701" s="8" t="s">
        <v>3520</v>
      </c>
      <c r="I701" s="45" t="str">
        <f t="shared" si="102"/>
        <v>EngramEntry_Egg_Dimetrodon_Fertilized_Alpha_P_C</v>
      </c>
      <c r="J701" s="45" t="str">
        <f t="shared" si="103"/>
        <v>OverrideNamedEngramEntries=(EngramEntry_Egg_Dimetrodon_Fertilized_Alpha_P_C,EngramHidden=true)</v>
      </c>
      <c r="K701" s="2"/>
    </row>
    <row r="702">
      <c r="A702" s="7"/>
      <c r="B702" s="7"/>
      <c r="C702" s="46">
        <f t="shared" si="99"/>
        <v>20</v>
      </c>
      <c r="D702" s="46" t="str">
        <f t="shared" si="100"/>
        <v>PrimalItemConsumable_Egg</v>
      </c>
      <c r="E702" s="11" t="s">
        <v>3521</v>
      </c>
      <c r="F702" s="11" t="s">
        <v>3522</v>
      </c>
      <c r="G702" s="46" t="str">
        <f t="shared" si="101"/>
        <v>cheat gfi PrimalItemConsumable_Egg_Dimetrodon_Fertilized_Apex_C 1 100 0</v>
      </c>
      <c r="H702" s="11" t="s">
        <v>3523</v>
      </c>
      <c r="I702" s="46" t="str">
        <f t="shared" si="102"/>
        <v>EngramEntry_Egg_Dimetrodon_Fertilized_Apex_C</v>
      </c>
      <c r="J702" s="46" t="str">
        <f t="shared" si="103"/>
        <v>OverrideNamedEngramEntries=(EngramEntry_Egg_Dimetrodon_Fertilized_Apex_C,EngramHidden=true)</v>
      </c>
      <c r="K702" s="2"/>
    </row>
    <row r="703">
      <c r="A703" s="7"/>
      <c r="B703" s="7"/>
      <c r="C703" s="45">
        <f t="shared" si="99"/>
        <v>20</v>
      </c>
      <c r="D703" s="45" t="str">
        <f t="shared" si="100"/>
        <v>PrimalItemConsumable_Egg</v>
      </c>
      <c r="E703" s="8" t="s">
        <v>3524</v>
      </c>
      <c r="F703" s="8" t="s">
        <v>3525</v>
      </c>
      <c r="G703" s="45" t="str">
        <f t="shared" si="101"/>
        <v>cheat gfi PrimalItemConsumable_Egg_Dimorph_Fertilized_Alpha_C 1 100 0</v>
      </c>
      <c r="H703" s="8" t="s">
        <v>3526</v>
      </c>
      <c r="I703" s="45" t="str">
        <f t="shared" si="102"/>
        <v>EngramEntry_Egg_Dimorph_Fertilized_Alpha_C</v>
      </c>
      <c r="J703" s="45" t="str">
        <f t="shared" si="103"/>
        <v>OverrideNamedEngramEntries=(EngramEntry_Egg_Dimorph_Fertilized_Alpha_C,EngramHidden=true)</v>
      </c>
      <c r="K703" s="2"/>
    </row>
    <row r="704">
      <c r="A704" s="7"/>
      <c r="B704" s="7"/>
      <c r="C704" s="46">
        <f t="shared" si="99"/>
        <v>20</v>
      </c>
      <c r="D704" s="46" t="str">
        <f t="shared" si="100"/>
        <v>PrimalItemConsumable_Egg</v>
      </c>
      <c r="E704" s="11" t="s">
        <v>3527</v>
      </c>
      <c r="F704" s="11" t="s">
        <v>3528</v>
      </c>
      <c r="G704" s="46" t="str">
        <f t="shared" si="101"/>
        <v>cheat gfi PrimalItemConsumable_Egg_Dimorph_Fertilized_Alpha_C_C 1 100 0</v>
      </c>
      <c r="H704" s="11" t="s">
        <v>3529</v>
      </c>
      <c r="I704" s="46" t="str">
        <f t="shared" si="102"/>
        <v>EngramEntry_Egg_Dimorph_Fertilized_Alpha_C_C</v>
      </c>
      <c r="J704" s="46" t="str">
        <f t="shared" si="103"/>
        <v>OverrideNamedEngramEntries=(EngramEntry_Egg_Dimorph_Fertilized_Alpha_C_C,EngramHidden=true)</v>
      </c>
      <c r="K704" s="2"/>
    </row>
    <row r="705">
      <c r="A705" s="7"/>
      <c r="B705" s="7"/>
      <c r="C705" s="45">
        <f t="shared" si="99"/>
        <v>20</v>
      </c>
      <c r="D705" s="45" t="str">
        <f t="shared" si="100"/>
        <v>PrimalItemConsumable_Egg</v>
      </c>
      <c r="E705" s="8" t="s">
        <v>3530</v>
      </c>
      <c r="F705" s="8" t="s">
        <v>3531</v>
      </c>
      <c r="G705" s="45" t="str">
        <f t="shared" si="101"/>
        <v>cheat gfi PrimalItemConsumable_Egg_Dimorph_Fertilized_Alpha_P_C 1 100 0</v>
      </c>
      <c r="H705" s="8" t="s">
        <v>3532</v>
      </c>
      <c r="I705" s="45" t="str">
        <f t="shared" si="102"/>
        <v>EngramEntry_Egg_Dimorph_Fertilized_Alpha_P_C</v>
      </c>
      <c r="J705" s="45" t="str">
        <f t="shared" si="103"/>
        <v>OverrideNamedEngramEntries=(EngramEntry_Egg_Dimorph_Fertilized_Alpha_P_C,EngramHidden=true)</v>
      </c>
      <c r="K705" s="2"/>
    </row>
    <row r="706">
      <c r="A706" s="7"/>
      <c r="B706" s="7"/>
      <c r="C706" s="46">
        <f t="shared" si="99"/>
        <v>20</v>
      </c>
      <c r="D706" s="46" t="str">
        <f t="shared" si="100"/>
        <v>PrimalItemConsumable_Egg</v>
      </c>
      <c r="E706" s="11" t="s">
        <v>3533</v>
      </c>
      <c r="F706" s="11" t="s">
        <v>3534</v>
      </c>
      <c r="G706" s="46" t="str">
        <f t="shared" si="101"/>
        <v>cheat gfi PrimalItemConsumable_Egg_Dimorph_Fertilized_Apex_C 1 100 0</v>
      </c>
      <c r="H706" s="11" t="s">
        <v>3535</v>
      </c>
      <c r="I706" s="46" t="str">
        <f t="shared" si="102"/>
        <v>EngramEntry_Egg_Dimorph_Fertilized_Apex_C</v>
      </c>
      <c r="J706" s="46" t="str">
        <f t="shared" si="103"/>
        <v>OverrideNamedEngramEntries=(EngramEntry_Egg_Dimorph_Fertilized_Apex_C,EngramHidden=true)</v>
      </c>
      <c r="K706" s="2"/>
    </row>
    <row r="707">
      <c r="A707" s="7"/>
      <c r="B707" s="7"/>
      <c r="C707" s="45">
        <f t="shared" si="99"/>
        <v>20</v>
      </c>
      <c r="D707" s="45" t="str">
        <f t="shared" si="100"/>
        <v>PrimalItemConsumable_Egg</v>
      </c>
      <c r="E707" s="8" t="s">
        <v>3536</v>
      </c>
      <c r="F707" s="8" t="s">
        <v>3537</v>
      </c>
      <c r="G707" s="45" t="str">
        <f t="shared" si="101"/>
        <v>cheat gfi PrimalItemConsumable_Egg_Diplo_Fertilized_Alpha_C 1 100 0</v>
      </c>
      <c r="H707" s="8" t="s">
        <v>3538</v>
      </c>
      <c r="I707" s="45" t="str">
        <f t="shared" si="102"/>
        <v>EngramEntry_Egg_Diplo_Fertilized_Alpha_C</v>
      </c>
      <c r="J707" s="45" t="str">
        <f t="shared" si="103"/>
        <v>OverrideNamedEngramEntries=(EngramEntry_Egg_Diplo_Fertilized_Alpha_C,EngramHidden=true)</v>
      </c>
      <c r="K707" s="2"/>
    </row>
    <row r="708">
      <c r="A708" s="7"/>
      <c r="B708" s="7"/>
      <c r="C708" s="46">
        <f t="shared" si="99"/>
        <v>20</v>
      </c>
      <c r="D708" s="46" t="str">
        <f t="shared" si="100"/>
        <v>PrimalItemConsumable_Egg</v>
      </c>
      <c r="E708" s="11" t="s">
        <v>3539</v>
      </c>
      <c r="F708" s="11" t="s">
        <v>3540</v>
      </c>
      <c r="G708" s="46" t="str">
        <f t="shared" si="101"/>
        <v>cheat gfi PrimalItemConsumable_Egg_Diplo_Fertilized_Alpha_C_C 1 100 0</v>
      </c>
      <c r="H708" s="11" t="s">
        <v>3541</v>
      </c>
      <c r="I708" s="46" t="str">
        <f t="shared" si="102"/>
        <v>EngramEntry_Egg_Diplo_Fertilized_Alpha_C_C</v>
      </c>
      <c r="J708" s="46" t="str">
        <f t="shared" si="103"/>
        <v>OverrideNamedEngramEntries=(EngramEntry_Egg_Diplo_Fertilized_Alpha_C_C,EngramHidden=true)</v>
      </c>
      <c r="K708" s="2"/>
    </row>
    <row r="709">
      <c r="A709" s="7"/>
      <c r="B709" s="7"/>
      <c r="C709" s="45">
        <f t="shared" si="99"/>
        <v>20</v>
      </c>
      <c r="D709" s="45" t="str">
        <f t="shared" si="100"/>
        <v>PrimalItemConsumable_Egg</v>
      </c>
      <c r="E709" s="8" t="s">
        <v>3542</v>
      </c>
      <c r="F709" s="8" t="s">
        <v>3543</v>
      </c>
      <c r="G709" s="45" t="str">
        <f t="shared" si="101"/>
        <v>cheat gfi PrimalItemConsumable_Egg_Diplo_Fertilized_Alpha_P_C 1 100 0</v>
      </c>
      <c r="H709" s="8" t="s">
        <v>3544</v>
      </c>
      <c r="I709" s="45" t="str">
        <f t="shared" si="102"/>
        <v>EngramEntry_Egg_Diplo_Fertilized_Alpha_P_C</v>
      </c>
      <c r="J709" s="45" t="str">
        <f t="shared" si="103"/>
        <v>OverrideNamedEngramEntries=(EngramEntry_Egg_Diplo_Fertilized_Alpha_P_C,EngramHidden=true)</v>
      </c>
      <c r="K709" s="2"/>
    </row>
    <row r="710">
      <c r="A710" s="7"/>
      <c r="B710" s="7"/>
      <c r="C710" s="46">
        <f t="shared" si="99"/>
        <v>20</v>
      </c>
      <c r="D710" s="46" t="str">
        <f t="shared" si="100"/>
        <v>PrimalItemConsumable_Egg</v>
      </c>
      <c r="E710" s="11" t="s">
        <v>3545</v>
      </c>
      <c r="F710" s="11" t="s">
        <v>3546</v>
      </c>
      <c r="G710" s="46" t="str">
        <f t="shared" si="101"/>
        <v>cheat gfi PrimalItemConsumable_Egg_Diplo_Fertilized_Apex_C 1 100 0</v>
      </c>
      <c r="H710" s="11" t="s">
        <v>3547</v>
      </c>
      <c r="I710" s="46" t="str">
        <f t="shared" si="102"/>
        <v>EngramEntry_Egg_Diplo_Fertilized_Apex_C</v>
      </c>
      <c r="J710" s="46" t="str">
        <f t="shared" si="103"/>
        <v>OverrideNamedEngramEntries=(EngramEntry_Egg_Diplo_Fertilized_Apex_C,EngramHidden=true)</v>
      </c>
      <c r="K710" s="2"/>
    </row>
    <row r="711">
      <c r="A711" s="7"/>
      <c r="B711" s="7"/>
      <c r="C711" s="45">
        <f t="shared" si="99"/>
        <v>20</v>
      </c>
      <c r="D711" s="45" t="str">
        <f t="shared" si="100"/>
        <v>PrimalItemConsumable_Egg</v>
      </c>
      <c r="E711" s="8" t="s">
        <v>3548</v>
      </c>
      <c r="F711" s="8" t="s">
        <v>3549</v>
      </c>
      <c r="G711" s="45" t="str">
        <f t="shared" si="101"/>
        <v>cheat gfi PrimalItemConsumable_Egg_Dodo_Fertilized_Alpha_C 1 100 0</v>
      </c>
      <c r="H711" s="8" t="s">
        <v>3550</v>
      </c>
      <c r="I711" s="45" t="str">
        <f t="shared" si="102"/>
        <v>EngramEntry_Egg_Dodo_Fertilized_Alpha_C</v>
      </c>
      <c r="J711" s="45" t="str">
        <f t="shared" si="103"/>
        <v>OverrideNamedEngramEntries=(EngramEntry_Egg_Dodo_Fertilized_Alpha_C,EngramHidden=true)</v>
      </c>
      <c r="K711" s="2"/>
    </row>
    <row r="712">
      <c r="A712" s="7"/>
      <c r="B712" s="7"/>
      <c r="C712" s="46">
        <f t="shared" si="99"/>
        <v>20</v>
      </c>
      <c r="D712" s="46" t="str">
        <f t="shared" si="100"/>
        <v>PrimalItemConsumable_Egg</v>
      </c>
      <c r="E712" s="11" t="s">
        <v>3551</v>
      </c>
      <c r="F712" s="11" t="s">
        <v>3552</v>
      </c>
      <c r="G712" s="46" t="str">
        <f t="shared" si="101"/>
        <v>cheat gfi PrimalItemConsumable_Egg_Dodo_Fertilized_Alpha_C_C 1 100 0</v>
      </c>
      <c r="H712" s="11" t="s">
        <v>3553</v>
      </c>
      <c r="I712" s="46" t="str">
        <f t="shared" si="102"/>
        <v>EngramEntry_Egg_Dodo_Fertilized_Alpha_C_C</v>
      </c>
      <c r="J712" s="46" t="str">
        <f t="shared" si="103"/>
        <v>OverrideNamedEngramEntries=(EngramEntry_Egg_Dodo_Fertilized_Alpha_C_C,EngramHidden=true)</v>
      </c>
      <c r="K712" s="2"/>
    </row>
    <row r="713">
      <c r="A713" s="7"/>
      <c r="B713" s="7"/>
      <c r="C713" s="45">
        <f t="shared" si="99"/>
        <v>20</v>
      </c>
      <c r="D713" s="45" t="str">
        <f t="shared" si="100"/>
        <v>PrimalItemConsumable_Egg</v>
      </c>
      <c r="E713" s="8" t="s">
        <v>3554</v>
      </c>
      <c r="F713" s="8" t="s">
        <v>3555</v>
      </c>
      <c r="G713" s="45" t="str">
        <f t="shared" si="101"/>
        <v>cheat gfi PrimalItemConsumable_Egg_Dodo_Fertilized_Alpha_P_C 1 100 0</v>
      </c>
      <c r="H713" s="8" t="s">
        <v>3556</v>
      </c>
      <c r="I713" s="45" t="str">
        <f t="shared" si="102"/>
        <v>EngramEntry_Egg_Dodo_Fertilized_Alpha_P_C</v>
      </c>
      <c r="J713" s="45" t="str">
        <f t="shared" si="103"/>
        <v>OverrideNamedEngramEntries=(EngramEntry_Egg_Dodo_Fertilized_Alpha_P_C,EngramHidden=true)</v>
      </c>
      <c r="K713" s="2"/>
    </row>
    <row r="714">
      <c r="A714" s="7"/>
      <c r="B714" s="7"/>
      <c r="C714" s="46">
        <f t="shared" si="99"/>
        <v>20</v>
      </c>
      <c r="D714" s="46" t="str">
        <f t="shared" si="100"/>
        <v>PrimalItemConsumable_Egg</v>
      </c>
      <c r="E714" s="11" t="s">
        <v>3557</v>
      </c>
      <c r="F714" s="11" t="s">
        <v>3558</v>
      </c>
      <c r="G714" s="46" t="str">
        <f t="shared" si="101"/>
        <v>cheat gfi PrimalItemConsumable_Egg_Dodo_Fertilized_Apex_C 1 100 0</v>
      </c>
      <c r="H714" s="11" t="s">
        <v>3559</v>
      </c>
      <c r="I714" s="46" t="str">
        <f t="shared" si="102"/>
        <v>EngramEntry_Egg_Dodo_Fertilized_Apex_C</v>
      </c>
      <c r="J714" s="46" t="str">
        <f t="shared" si="103"/>
        <v>OverrideNamedEngramEntries=(EngramEntry_Egg_Dodo_Fertilized_Apex_C,EngramHidden=true)</v>
      </c>
      <c r="K714" s="2"/>
    </row>
    <row r="715">
      <c r="A715" s="7"/>
      <c r="B715" s="7"/>
      <c r="C715" s="45">
        <f t="shared" si="99"/>
        <v>20</v>
      </c>
      <c r="D715" s="45" t="str">
        <f t="shared" si="100"/>
        <v>PrimalItemConsumable_Egg</v>
      </c>
      <c r="E715" s="8" t="s">
        <v>3560</v>
      </c>
      <c r="F715" s="8" t="s">
        <v>3561</v>
      </c>
      <c r="G715" s="45" t="str">
        <f t="shared" si="101"/>
        <v>cheat gfi PrimalItemConsumable_Egg_Dodo_Fertilized_Beta_C 1 100 0</v>
      </c>
      <c r="H715" s="8" t="s">
        <v>3562</v>
      </c>
      <c r="I715" s="45" t="str">
        <f t="shared" si="102"/>
        <v>EngramEntry_Egg_Dodo_Fertilized_Beta_C</v>
      </c>
      <c r="J715" s="45" t="str">
        <f t="shared" si="103"/>
        <v>OverrideNamedEngramEntries=(EngramEntry_Egg_Dodo_Fertilized_Beta_C,EngramHidden=true)</v>
      </c>
      <c r="K715" s="2"/>
    </row>
    <row r="716">
      <c r="A716" s="7"/>
      <c r="B716" s="7"/>
      <c r="C716" s="46">
        <f t="shared" si="99"/>
        <v>20</v>
      </c>
      <c r="D716" s="46" t="str">
        <f t="shared" si="100"/>
        <v>PrimalItemConsumable_Egg</v>
      </c>
      <c r="E716" s="11" t="s">
        <v>3563</v>
      </c>
      <c r="F716" s="11" t="s">
        <v>3564</v>
      </c>
      <c r="G716" s="46" t="str">
        <f t="shared" si="101"/>
        <v>cheat gfi PrimalItemConsumable_Egg_Dodo_Fertilized_Nature_C 1 100 0</v>
      </c>
      <c r="H716" s="11" t="s">
        <v>3565</v>
      </c>
      <c r="I716" s="46" t="str">
        <f t="shared" si="102"/>
        <v>EngramEntry_Egg_Dodo_Fertilized_Nature_C</v>
      </c>
      <c r="J716" s="46" t="str">
        <f t="shared" si="103"/>
        <v>OverrideNamedEngramEntries=(EngramEntry_Egg_Dodo_Fertilized_Nature_C,EngramHidden=true)</v>
      </c>
      <c r="K716" s="2"/>
    </row>
    <row r="717">
      <c r="A717" s="7"/>
      <c r="B717" s="7"/>
      <c r="C717" s="45">
        <f t="shared" si="99"/>
        <v>20</v>
      </c>
      <c r="D717" s="45" t="str">
        <f t="shared" si="100"/>
        <v>PrimalItemConsumable_Egg</v>
      </c>
      <c r="E717" s="8" t="s">
        <v>3566</v>
      </c>
      <c r="F717" s="8" t="s">
        <v>3567</v>
      </c>
      <c r="G717" s="45" t="str">
        <f t="shared" si="101"/>
        <v>cheat gfi PrimalItemConsumable_Egg_Dodo_Fertilized_Volcanic_C 1 100 0</v>
      </c>
      <c r="H717" s="8" t="s">
        <v>3568</v>
      </c>
      <c r="I717" s="45" t="str">
        <f t="shared" si="102"/>
        <v>EngramEntry_Egg_Dodo_Fertilized_Volcanic_C</v>
      </c>
      <c r="J717" s="45" t="str">
        <f t="shared" si="103"/>
        <v>OverrideNamedEngramEntries=(EngramEntry_Egg_Dodo_Fertilized_Volcanic_C,EngramHidden=true)</v>
      </c>
      <c r="K717" s="2"/>
    </row>
    <row r="718">
      <c r="A718" s="7"/>
      <c r="B718" s="7"/>
      <c r="C718" s="46">
        <f t="shared" si="99"/>
        <v>20</v>
      </c>
      <c r="D718" s="46" t="str">
        <f t="shared" si="100"/>
        <v>PrimalItemConsumable_Egg</v>
      </c>
      <c r="E718" s="11" t="s">
        <v>3569</v>
      </c>
      <c r="F718" s="11" t="s">
        <v>3570</v>
      </c>
      <c r="G718" s="46" t="str">
        <f t="shared" si="101"/>
        <v>cheat gfi PrimalItemConsumable_Egg_Fertilized_VolcanicDragon_C 1 100 0</v>
      </c>
      <c r="H718" s="11" t="s">
        <v>3571</v>
      </c>
      <c r="I718" s="46" t="str">
        <f t="shared" si="102"/>
        <v>EngramEntry_Egg_Fertilized_VolcanicDragon_C</v>
      </c>
      <c r="J718" s="46" t="str">
        <f t="shared" si="103"/>
        <v>OverrideNamedEngramEntries=(EngramEntry_Egg_Fertilized_VolcanicDragon_C,EngramHidden=true)</v>
      </c>
      <c r="K718" s="2"/>
    </row>
    <row r="719">
      <c r="A719" s="7"/>
      <c r="B719" s="7"/>
      <c r="C719" s="45">
        <f t="shared" si="99"/>
        <v>20</v>
      </c>
      <c r="D719" s="45" t="str">
        <f t="shared" si="100"/>
        <v>PrimalItemConsumable_Egg</v>
      </c>
      <c r="E719" s="8" t="s">
        <v>3572</v>
      </c>
      <c r="F719" s="8" t="s">
        <v>3573</v>
      </c>
      <c r="G719" s="45" t="str">
        <f t="shared" si="101"/>
        <v>cheat gfi PrimalItemConsumable_Egg_Galli_Fertilized_Alpha_C 1 100 0</v>
      </c>
      <c r="H719" s="8" t="s">
        <v>3574</v>
      </c>
      <c r="I719" s="45" t="str">
        <f t="shared" si="102"/>
        <v>EngramEntry_Egg_Galli_Fertilized_Alpha_C</v>
      </c>
      <c r="J719" s="45" t="str">
        <f t="shared" si="103"/>
        <v>OverrideNamedEngramEntries=(EngramEntry_Egg_Galli_Fertilized_Alpha_C,EngramHidden=true)</v>
      </c>
      <c r="K719" s="2"/>
    </row>
    <row r="720">
      <c r="A720" s="7"/>
      <c r="B720" s="7"/>
      <c r="C720" s="46">
        <f t="shared" si="99"/>
        <v>20</v>
      </c>
      <c r="D720" s="46" t="str">
        <f t="shared" si="100"/>
        <v>PrimalItemConsumable_Egg</v>
      </c>
      <c r="E720" s="11" t="s">
        <v>3575</v>
      </c>
      <c r="F720" s="11" t="s">
        <v>3576</v>
      </c>
      <c r="G720" s="46" t="str">
        <f t="shared" si="101"/>
        <v>cheat gfi PrimalItemConsumable_Egg_Galli_Fertilized_Alpha_C_C 1 100 0</v>
      </c>
      <c r="H720" s="11" t="s">
        <v>3577</v>
      </c>
      <c r="I720" s="46" t="str">
        <f t="shared" si="102"/>
        <v>EngramEntry_Egg_Galli_Fertilized_Alpha_C_C</v>
      </c>
      <c r="J720" s="46" t="str">
        <f t="shared" si="103"/>
        <v>OverrideNamedEngramEntries=(EngramEntry_Egg_Galli_Fertilized_Alpha_C_C,EngramHidden=true)</v>
      </c>
      <c r="K720" s="2"/>
    </row>
    <row r="721">
      <c r="A721" s="7"/>
      <c r="B721" s="7"/>
      <c r="C721" s="45">
        <f t="shared" si="99"/>
        <v>20</v>
      </c>
      <c r="D721" s="45" t="str">
        <f t="shared" si="100"/>
        <v>PrimalItemConsumable_Egg</v>
      </c>
      <c r="E721" s="8" t="s">
        <v>3578</v>
      </c>
      <c r="F721" s="8" t="s">
        <v>3579</v>
      </c>
      <c r="G721" s="45" t="str">
        <f t="shared" si="101"/>
        <v>cheat gfi PrimalItemConsumable_Egg_Galli_Fertilized_Alpha_P_C 1 100 0</v>
      </c>
      <c r="H721" s="8" t="s">
        <v>3580</v>
      </c>
      <c r="I721" s="45" t="str">
        <f t="shared" si="102"/>
        <v>EngramEntry_Egg_Galli_Fertilized_Alpha_P_C</v>
      </c>
      <c r="J721" s="45" t="str">
        <f t="shared" si="103"/>
        <v>OverrideNamedEngramEntries=(EngramEntry_Egg_Galli_Fertilized_Alpha_P_C,EngramHidden=true)</v>
      </c>
      <c r="K721" s="2"/>
    </row>
    <row r="722">
      <c r="A722" s="7"/>
      <c r="B722" s="7"/>
      <c r="C722" s="46">
        <f t="shared" si="99"/>
        <v>20</v>
      </c>
      <c r="D722" s="46" t="str">
        <f t="shared" si="100"/>
        <v>PrimalItemConsumable_Egg</v>
      </c>
      <c r="E722" s="11" t="s">
        <v>3581</v>
      </c>
      <c r="F722" s="11" t="s">
        <v>3582</v>
      </c>
      <c r="G722" s="46" t="str">
        <f t="shared" si="101"/>
        <v>cheat gfi PrimalItemConsumable_Egg_Galli_Fertilized_Apex_C 1 100 0</v>
      </c>
      <c r="H722" s="11" t="s">
        <v>3583</v>
      </c>
      <c r="I722" s="46" t="str">
        <f t="shared" si="102"/>
        <v>EngramEntry_Egg_Galli_Fertilized_Apex_C</v>
      </c>
      <c r="J722" s="46" t="str">
        <f t="shared" si="103"/>
        <v>OverrideNamedEngramEntries=(EngramEntry_Egg_Galli_Fertilized_Apex_C,EngramHidden=true)</v>
      </c>
      <c r="K722" s="2"/>
    </row>
    <row r="723">
      <c r="A723" s="7"/>
      <c r="B723" s="7"/>
      <c r="C723" s="45">
        <f t="shared" si="99"/>
        <v>20</v>
      </c>
      <c r="D723" s="45" t="str">
        <f t="shared" si="100"/>
        <v>PrimalItemConsumable_Egg</v>
      </c>
      <c r="E723" s="8" t="s">
        <v>3584</v>
      </c>
      <c r="F723" s="8" t="s">
        <v>3585</v>
      </c>
      <c r="G723" s="45" t="str">
        <f t="shared" si="101"/>
        <v>cheat gfi PrimalItemConsumable_Egg_Gigant_Fertilized_Alpha_C 1 100 0</v>
      </c>
      <c r="H723" s="8" t="s">
        <v>3586</v>
      </c>
      <c r="I723" s="45" t="str">
        <f t="shared" si="102"/>
        <v>EngramEntry_Egg_Gigant_Fertilized_Alpha_C</v>
      </c>
      <c r="J723" s="45" t="str">
        <f t="shared" si="103"/>
        <v>OverrideNamedEngramEntries=(EngramEntry_Egg_Gigant_Fertilized_Alpha_C,EngramHidden=true)</v>
      </c>
      <c r="K723" s="2"/>
    </row>
    <row r="724">
      <c r="A724" s="7"/>
      <c r="B724" s="7"/>
      <c r="C724" s="46">
        <f t="shared" si="99"/>
        <v>20</v>
      </c>
      <c r="D724" s="46" t="str">
        <f t="shared" si="100"/>
        <v>PrimalItemConsumable_Egg</v>
      </c>
      <c r="E724" s="11" t="s">
        <v>3587</v>
      </c>
      <c r="F724" s="11" t="s">
        <v>3588</v>
      </c>
      <c r="G724" s="46" t="str">
        <f t="shared" si="101"/>
        <v>cheat gfi PrimalItemConsumable_Egg_Gigant_Fertilized_Alpha_C_C 1 100 0</v>
      </c>
      <c r="H724" s="11" t="s">
        <v>3589</v>
      </c>
      <c r="I724" s="46" t="str">
        <f t="shared" si="102"/>
        <v>EngramEntry_Egg_Gigant_Fertilized_Alpha_C_C</v>
      </c>
      <c r="J724" s="46" t="str">
        <f t="shared" si="103"/>
        <v>OverrideNamedEngramEntries=(EngramEntry_Egg_Gigant_Fertilized_Alpha_C_C,EngramHidden=true)</v>
      </c>
      <c r="K724" s="2"/>
    </row>
    <row r="725">
      <c r="A725" s="7"/>
      <c r="B725" s="7"/>
      <c r="C725" s="45">
        <f t="shared" si="99"/>
        <v>20</v>
      </c>
      <c r="D725" s="45" t="str">
        <f t="shared" si="100"/>
        <v>PrimalItemConsumable_Egg</v>
      </c>
      <c r="E725" s="8" t="s">
        <v>3590</v>
      </c>
      <c r="F725" s="8" t="s">
        <v>3591</v>
      </c>
      <c r="G725" s="45" t="str">
        <f t="shared" si="101"/>
        <v>cheat gfi PrimalItemConsumable_Egg_Gigant_Fertilized_Alpha_P_C 1 100 0</v>
      </c>
      <c r="H725" s="8" t="s">
        <v>3592</v>
      </c>
      <c r="I725" s="45" t="str">
        <f t="shared" si="102"/>
        <v>EngramEntry_Egg_Gigant_Fertilized_Alpha_P_C</v>
      </c>
      <c r="J725" s="45" t="str">
        <f t="shared" si="103"/>
        <v>OverrideNamedEngramEntries=(EngramEntry_Egg_Gigant_Fertilized_Alpha_P_C,EngramHidden=true)</v>
      </c>
      <c r="K725" s="2"/>
    </row>
    <row r="726">
      <c r="A726" s="7"/>
      <c r="B726" s="7"/>
      <c r="C726" s="46">
        <f t="shared" si="99"/>
        <v>20</v>
      </c>
      <c r="D726" s="46" t="str">
        <f t="shared" si="100"/>
        <v>PrimalItemConsumable_Egg</v>
      </c>
      <c r="E726" s="11" t="s">
        <v>3593</v>
      </c>
      <c r="F726" s="11" t="s">
        <v>3594</v>
      </c>
      <c r="G726" s="46" t="str">
        <f t="shared" si="101"/>
        <v>cheat gfi PrimalItemConsumable_Egg_Gigant_Fertilized_Apex_C 1 100 0</v>
      </c>
      <c r="H726" s="11" t="s">
        <v>3595</v>
      </c>
      <c r="I726" s="46" t="str">
        <f t="shared" si="102"/>
        <v>EngramEntry_Egg_Gigant_Fertilized_Apex_C</v>
      </c>
      <c r="J726" s="46" t="str">
        <f t="shared" si="103"/>
        <v>OverrideNamedEngramEntries=(EngramEntry_Egg_Gigant_Fertilized_Apex_C,EngramHidden=true)</v>
      </c>
      <c r="K726" s="2"/>
    </row>
    <row r="727">
      <c r="A727" s="7"/>
      <c r="B727" s="7"/>
      <c r="C727" s="45">
        <f t="shared" si="99"/>
        <v>20</v>
      </c>
      <c r="D727" s="45" t="str">
        <f t="shared" si="100"/>
        <v>PrimalItemConsumable_Egg</v>
      </c>
      <c r="E727" s="8" t="s">
        <v>3596</v>
      </c>
      <c r="F727" s="8" t="s">
        <v>3597</v>
      </c>
      <c r="G727" s="45" t="str">
        <f t="shared" si="101"/>
        <v>cheat gfi PrimalItemConsumable_Egg_Gigant_Fertilized_Electric_C 1 100 0</v>
      </c>
      <c r="H727" s="8" t="s">
        <v>3598</v>
      </c>
      <c r="I727" s="45" t="str">
        <f t="shared" si="102"/>
        <v>EngramEntry_Egg_Gigant_Fertilized_Electric_C</v>
      </c>
      <c r="J727" s="45" t="str">
        <f t="shared" si="103"/>
        <v>OverrideNamedEngramEntries=(EngramEntry_Egg_Gigant_Fertilized_Electric_C,EngramHidden=true)</v>
      </c>
      <c r="K727" s="2"/>
    </row>
    <row r="728">
      <c r="A728" s="7"/>
      <c r="B728" s="7"/>
      <c r="C728" s="46">
        <f t="shared" si="99"/>
        <v>20</v>
      </c>
      <c r="D728" s="46" t="str">
        <f t="shared" si="100"/>
        <v>PrimalItemConsumable_Egg</v>
      </c>
      <c r="E728" s="11" t="s">
        <v>3599</v>
      </c>
      <c r="F728" s="11" t="s">
        <v>3600</v>
      </c>
      <c r="G728" s="46" t="str">
        <f t="shared" si="101"/>
        <v>cheat gfi PrimalItemConsumable_Egg_Gigantoraptor_Fertilized_Celestial_C 1 100 0</v>
      </c>
      <c r="H728" s="11" t="s">
        <v>3601</v>
      </c>
      <c r="I728" s="46" t="str">
        <f t="shared" si="102"/>
        <v>EngramEntry_Egg_Gigantoraptor_Fertilized_Celestial_C</v>
      </c>
      <c r="J728" s="46" t="str">
        <f t="shared" si="103"/>
        <v>OverrideNamedEngramEntries=(EngramEntry_Egg_Gigantoraptor_Fertilized_Celestial_C,EngramHidden=true)</v>
      </c>
      <c r="K728" s="2"/>
    </row>
    <row r="729">
      <c r="A729" s="7"/>
      <c r="B729" s="7"/>
      <c r="C729" s="45">
        <f t="shared" si="99"/>
        <v>20</v>
      </c>
      <c r="D729" s="45" t="str">
        <f t="shared" si="100"/>
        <v>PrimalItemConsumable_Egg</v>
      </c>
      <c r="E729" s="8" t="s">
        <v>3602</v>
      </c>
      <c r="F729" s="8" t="s">
        <v>3603</v>
      </c>
      <c r="G729" s="45" t="str">
        <f t="shared" si="101"/>
        <v>cheat gfi PrimalItemConsumable_Egg_Griffin_Fertilized_Demonic_C 1 100 0</v>
      </c>
      <c r="H729" s="8" t="s">
        <v>3604</v>
      </c>
      <c r="I729" s="45" t="str">
        <f t="shared" si="102"/>
        <v>EngramEntry_Egg_Griffin_Fertilized_Demonic_C</v>
      </c>
      <c r="J729" s="45" t="str">
        <f t="shared" si="103"/>
        <v>OverrideNamedEngramEntries=(EngramEntry_Egg_Griffin_Fertilized_Demonic_C,EngramHidden=true)</v>
      </c>
      <c r="K729" s="2"/>
    </row>
    <row r="730">
      <c r="A730" s="7"/>
      <c r="B730" s="7"/>
      <c r="C730" s="46">
        <f t="shared" si="99"/>
        <v>20</v>
      </c>
      <c r="D730" s="46" t="str">
        <f t="shared" si="100"/>
        <v>PrimalItemConsumable_Egg</v>
      </c>
      <c r="E730" s="11" t="s">
        <v>3605</v>
      </c>
      <c r="F730" s="11" t="s">
        <v>3606</v>
      </c>
      <c r="G730" s="46" t="str">
        <f t="shared" si="101"/>
        <v>cheat gfi PrimalItemConsumable_Egg_Griffin_Fertilized_Electric_C 1 100 0</v>
      </c>
      <c r="H730" s="11" t="s">
        <v>3607</v>
      </c>
      <c r="I730" s="46" t="str">
        <f t="shared" si="102"/>
        <v>EngramEntry_Egg_Griffin_Fertilized_Electric_C</v>
      </c>
      <c r="J730" s="46" t="str">
        <f t="shared" si="103"/>
        <v>OverrideNamedEngramEntries=(EngramEntry_Egg_Griffin_Fertilized_Electric_C,EngramHidden=true)</v>
      </c>
      <c r="K730" s="2"/>
    </row>
    <row r="731">
      <c r="A731" s="7"/>
      <c r="B731" s="7"/>
      <c r="C731" s="45">
        <f t="shared" si="99"/>
        <v>20</v>
      </c>
      <c r="D731" s="45" t="str">
        <f t="shared" si="100"/>
        <v>PrimalItemConsumable_Egg</v>
      </c>
      <c r="E731" s="8" t="s">
        <v>3608</v>
      </c>
      <c r="F731" s="8" t="s">
        <v>3609</v>
      </c>
      <c r="G731" s="45" t="str">
        <f t="shared" si="101"/>
        <v>cheat gfi PrimalItemConsumable_Egg_Hesperonis_Fertilized_Alpha_C 1 100 0</v>
      </c>
      <c r="H731" s="8" t="s">
        <v>3610</v>
      </c>
      <c r="I731" s="45" t="str">
        <f t="shared" si="102"/>
        <v>EngramEntry_Egg_Hesperonis_Fertilized_Alpha_C</v>
      </c>
      <c r="J731" s="45" t="str">
        <f t="shared" si="103"/>
        <v>OverrideNamedEngramEntries=(EngramEntry_Egg_Hesperonis_Fertilized_Alpha_C,EngramHidden=true)</v>
      </c>
      <c r="K731" s="2"/>
    </row>
    <row r="732">
      <c r="A732" s="7"/>
      <c r="B732" s="7"/>
      <c r="C732" s="46">
        <f t="shared" si="99"/>
        <v>20</v>
      </c>
      <c r="D732" s="46" t="str">
        <f t="shared" si="100"/>
        <v>PrimalItemConsumable_Egg</v>
      </c>
      <c r="E732" s="11" t="s">
        <v>3611</v>
      </c>
      <c r="F732" s="11" t="s">
        <v>3612</v>
      </c>
      <c r="G732" s="46" t="str">
        <f t="shared" si="101"/>
        <v>cheat gfi PrimalItemConsumable_Egg_Hesperonis_Fertilized_Alpha_C_C 1 100 0</v>
      </c>
      <c r="H732" s="11" t="s">
        <v>3613</v>
      </c>
      <c r="I732" s="46" t="str">
        <f t="shared" si="102"/>
        <v>EngramEntry_Egg_Hesperonis_Fertilized_Alpha_C_C</v>
      </c>
      <c r="J732" s="46" t="str">
        <f t="shared" si="103"/>
        <v>OverrideNamedEngramEntries=(EngramEntry_Egg_Hesperonis_Fertilized_Alpha_C_C,EngramHidden=true)</v>
      </c>
      <c r="K732" s="2"/>
    </row>
    <row r="733">
      <c r="A733" s="7"/>
      <c r="B733" s="7"/>
      <c r="C733" s="45">
        <f t="shared" si="99"/>
        <v>20</v>
      </c>
      <c r="D733" s="45" t="str">
        <f t="shared" si="100"/>
        <v>PrimalItemConsumable_Egg</v>
      </c>
      <c r="E733" s="8" t="s">
        <v>3614</v>
      </c>
      <c r="F733" s="8" t="s">
        <v>3615</v>
      </c>
      <c r="G733" s="45" t="str">
        <f t="shared" si="101"/>
        <v>cheat gfi PrimalItemConsumable_Egg_Hesperonis_Fertilized_Alpha_P_C 1 100 0</v>
      </c>
      <c r="H733" s="8" t="s">
        <v>3616</v>
      </c>
      <c r="I733" s="45" t="str">
        <f t="shared" si="102"/>
        <v>EngramEntry_Egg_Hesperonis_Fertilized_Alpha_P_C</v>
      </c>
      <c r="J733" s="45" t="str">
        <f t="shared" si="103"/>
        <v>OverrideNamedEngramEntries=(EngramEntry_Egg_Hesperonis_Fertilized_Alpha_P_C,EngramHidden=true)</v>
      </c>
      <c r="K733" s="2"/>
    </row>
    <row r="734">
      <c r="A734" s="7"/>
      <c r="B734" s="7"/>
      <c r="C734" s="46">
        <f t="shared" si="99"/>
        <v>20</v>
      </c>
      <c r="D734" s="46" t="str">
        <f t="shared" si="100"/>
        <v>PrimalItemConsumable_Egg</v>
      </c>
      <c r="E734" s="11" t="s">
        <v>3617</v>
      </c>
      <c r="F734" s="11" t="s">
        <v>3618</v>
      </c>
      <c r="G734" s="46" t="str">
        <f t="shared" si="101"/>
        <v>cheat gfi PrimalItemConsumable_Egg_Hesperonis_Fertilized_Apex_C 1 100 0</v>
      </c>
      <c r="H734" s="11" t="s">
        <v>3619</v>
      </c>
      <c r="I734" s="46" t="str">
        <f t="shared" si="102"/>
        <v>EngramEntry_Egg_Hesperonis_Fertilized_Apex_C</v>
      </c>
      <c r="J734" s="46" t="str">
        <f t="shared" si="103"/>
        <v>OverrideNamedEngramEntries=(EngramEntry_Egg_Hesperonis_Fertilized_Apex_C,EngramHidden=true)</v>
      </c>
      <c r="K734" s="2"/>
    </row>
    <row r="735">
      <c r="A735" s="7"/>
      <c r="B735" s="7"/>
      <c r="C735" s="45">
        <f t="shared" si="99"/>
        <v>20</v>
      </c>
      <c r="D735" s="45" t="str">
        <f t="shared" si="100"/>
        <v>PrimalItemConsumable_Egg</v>
      </c>
      <c r="E735" s="8" t="s">
        <v>3620</v>
      </c>
      <c r="F735" s="8" t="s">
        <v>3621</v>
      </c>
      <c r="G735" s="45" t="str">
        <f t="shared" si="101"/>
        <v>cheat gfi PrimalItemConsumable_Egg_Iguanodon_Fertilized_Alpha_C 1 100 0</v>
      </c>
      <c r="H735" s="8" t="s">
        <v>3622</v>
      </c>
      <c r="I735" s="45" t="str">
        <f t="shared" si="102"/>
        <v>EngramEntry_Egg_Iguanodon_Fertilized_Alpha_C</v>
      </c>
      <c r="J735" s="45" t="str">
        <f t="shared" si="103"/>
        <v>OverrideNamedEngramEntries=(EngramEntry_Egg_Iguanodon_Fertilized_Alpha_C,EngramHidden=true)</v>
      </c>
      <c r="K735" s="2"/>
    </row>
    <row r="736">
      <c r="A736" s="7"/>
      <c r="B736" s="7"/>
      <c r="C736" s="46">
        <f t="shared" si="99"/>
        <v>20</v>
      </c>
      <c r="D736" s="46" t="str">
        <f t="shared" si="100"/>
        <v>PrimalItemConsumable_Egg</v>
      </c>
      <c r="E736" s="11" t="s">
        <v>3623</v>
      </c>
      <c r="F736" s="11" t="s">
        <v>3624</v>
      </c>
      <c r="G736" s="46" t="str">
        <f t="shared" si="101"/>
        <v>cheat gfi PrimalItemConsumable_Egg_Iguanodon_Fertilized_Alpha_C_C 1 100 0</v>
      </c>
      <c r="H736" s="11" t="s">
        <v>3625</v>
      </c>
      <c r="I736" s="46" t="str">
        <f t="shared" si="102"/>
        <v>EngramEntry_Egg_Iguanodon_Fertilized_Alpha_C_C</v>
      </c>
      <c r="J736" s="46" t="str">
        <f t="shared" si="103"/>
        <v>OverrideNamedEngramEntries=(EngramEntry_Egg_Iguanodon_Fertilized_Alpha_C_C,EngramHidden=true)</v>
      </c>
      <c r="K736" s="2"/>
    </row>
    <row r="737">
      <c r="A737" s="7"/>
      <c r="B737" s="7"/>
      <c r="C737" s="45">
        <f t="shared" si="99"/>
        <v>20</v>
      </c>
      <c r="D737" s="45" t="str">
        <f t="shared" si="100"/>
        <v>PrimalItemConsumable_Egg</v>
      </c>
      <c r="E737" s="8" t="s">
        <v>3626</v>
      </c>
      <c r="F737" s="8" t="s">
        <v>3627</v>
      </c>
      <c r="G737" s="45" t="str">
        <f t="shared" si="101"/>
        <v>cheat gfi PrimalItemConsumable_Egg_Iguanodon_Fertilized_Alpha_P_C 1 100 0</v>
      </c>
      <c r="H737" s="8" t="s">
        <v>3628</v>
      </c>
      <c r="I737" s="45" t="str">
        <f t="shared" si="102"/>
        <v>EngramEntry_Egg_Iguanodon_Fertilized_Alpha_P_C</v>
      </c>
      <c r="J737" s="45" t="str">
        <f t="shared" si="103"/>
        <v>OverrideNamedEngramEntries=(EngramEntry_Egg_Iguanodon_Fertilized_Alpha_P_C,EngramHidden=true)</v>
      </c>
      <c r="K737" s="2"/>
    </row>
    <row r="738">
      <c r="A738" s="7"/>
      <c r="B738" s="7"/>
      <c r="C738" s="46">
        <f t="shared" si="99"/>
        <v>20</v>
      </c>
      <c r="D738" s="46" t="str">
        <f t="shared" si="100"/>
        <v>PrimalItemConsumable_Egg</v>
      </c>
      <c r="E738" s="11" t="s">
        <v>3629</v>
      </c>
      <c r="F738" s="11" t="s">
        <v>3630</v>
      </c>
      <c r="G738" s="46" t="str">
        <f t="shared" si="101"/>
        <v>cheat gfi PrimalItemConsumable_Egg_Iguanodon_Fertilized_Apex_C 1 100 0</v>
      </c>
      <c r="H738" s="11" t="s">
        <v>3631</v>
      </c>
      <c r="I738" s="46" t="str">
        <f t="shared" si="102"/>
        <v>EngramEntry_Egg_Iguanodon_Fertilized_Apex_C</v>
      </c>
      <c r="J738" s="46" t="str">
        <f t="shared" si="103"/>
        <v>OverrideNamedEngramEntries=(EngramEntry_Egg_Iguanodon_Fertilized_Apex_C,EngramHidden=true)</v>
      </c>
      <c r="K738" s="2"/>
    </row>
    <row r="739">
      <c r="A739" s="7"/>
      <c r="B739" s="7"/>
      <c r="C739" s="45">
        <f t="shared" si="99"/>
        <v>20</v>
      </c>
      <c r="D739" s="45" t="str">
        <f t="shared" si="100"/>
        <v>PrimalItemConsumable_Egg</v>
      </c>
      <c r="E739" s="8" t="s">
        <v>3632</v>
      </c>
      <c r="F739" s="8" t="s">
        <v>3633</v>
      </c>
      <c r="G739" s="45" t="str">
        <f t="shared" si="101"/>
        <v>cheat gfi PrimalItemConsumable_Egg_Kairuku_Fertilized_Alpha_C 1 100 0</v>
      </c>
      <c r="H739" s="8" t="s">
        <v>3634</v>
      </c>
      <c r="I739" s="45" t="str">
        <f t="shared" si="102"/>
        <v>EngramEntry_Egg_Kairuku_Fertilized_Alpha_C</v>
      </c>
      <c r="J739" s="45" t="str">
        <f t="shared" si="103"/>
        <v>OverrideNamedEngramEntries=(EngramEntry_Egg_Kairuku_Fertilized_Alpha_C,EngramHidden=true)</v>
      </c>
      <c r="K739" s="2"/>
    </row>
    <row r="740">
      <c r="A740" s="7"/>
      <c r="B740" s="7"/>
      <c r="C740" s="46">
        <f t="shared" si="99"/>
        <v>20</v>
      </c>
      <c r="D740" s="46" t="str">
        <f t="shared" si="100"/>
        <v>PrimalItemConsumable_Egg</v>
      </c>
      <c r="E740" s="11" t="s">
        <v>3635</v>
      </c>
      <c r="F740" s="11" t="s">
        <v>3636</v>
      </c>
      <c r="G740" s="46" t="str">
        <f t="shared" si="101"/>
        <v>cheat gfi PrimalItemConsumable_Egg_Kairuku_Fertilized_Alpha_C_C 1 100 0</v>
      </c>
      <c r="H740" s="11" t="s">
        <v>3637</v>
      </c>
      <c r="I740" s="46" t="str">
        <f t="shared" si="102"/>
        <v>EngramEntry_Egg_Kairuku_Fertilized_Alpha_C_C</v>
      </c>
      <c r="J740" s="46" t="str">
        <f t="shared" si="103"/>
        <v>OverrideNamedEngramEntries=(EngramEntry_Egg_Kairuku_Fertilized_Alpha_C_C,EngramHidden=true)</v>
      </c>
      <c r="K740" s="2"/>
    </row>
    <row r="741">
      <c r="A741" s="7"/>
      <c r="B741" s="7"/>
      <c r="C741" s="45">
        <f t="shared" si="99"/>
        <v>20</v>
      </c>
      <c r="D741" s="45" t="str">
        <f t="shared" si="100"/>
        <v>PrimalItemConsumable_Egg</v>
      </c>
      <c r="E741" s="8" t="s">
        <v>3638</v>
      </c>
      <c r="F741" s="8" t="s">
        <v>3639</v>
      </c>
      <c r="G741" s="45" t="str">
        <f t="shared" si="101"/>
        <v>cheat gfi PrimalItemConsumable_Egg_Kairuku_Fertilized_Alpha_P_C 1 100 0</v>
      </c>
      <c r="H741" s="8" t="s">
        <v>3640</v>
      </c>
      <c r="I741" s="45" t="str">
        <f t="shared" si="102"/>
        <v>EngramEntry_Egg_Kairuku_Fertilized_Alpha_P_C</v>
      </c>
      <c r="J741" s="45" t="str">
        <f t="shared" si="103"/>
        <v>OverrideNamedEngramEntries=(EngramEntry_Egg_Kairuku_Fertilized_Alpha_P_C,EngramHidden=true)</v>
      </c>
      <c r="K741" s="2"/>
    </row>
    <row r="742">
      <c r="A742" s="7"/>
      <c r="B742" s="7"/>
      <c r="C742" s="46">
        <f t="shared" si="99"/>
        <v>20</v>
      </c>
      <c r="D742" s="46" t="str">
        <f t="shared" si="100"/>
        <v>PrimalItemConsumable_Egg</v>
      </c>
      <c r="E742" s="11" t="s">
        <v>3641</v>
      </c>
      <c r="F742" s="11" t="s">
        <v>3642</v>
      </c>
      <c r="G742" s="46" t="str">
        <f t="shared" si="101"/>
        <v>cheat gfi PrimalItemConsumable_Egg_Kairuku_Fertilized_Apex_C 1 100 0</v>
      </c>
      <c r="H742" s="11" t="s">
        <v>3643</v>
      </c>
      <c r="I742" s="46" t="str">
        <f t="shared" si="102"/>
        <v>EngramEntry_Egg_Kairuku_Fertilized_Apex_C</v>
      </c>
      <c r="J742" s="46" t="str">
        <f t="shared" si="103"/>
        <v>OverrideNamedEngramEntries=(EngramEntry_Egg_Kairuku_Fertilized_Apex_C,EngramHidden=true)</v>
      </c>
      <c r="K742" s="2"/>
    </row>
    <row r="743">
      <c r="A743" s="7"/>
      <c r="B743" s="7"/>
      <c r="C743" s="45">
        <f t="shared" si="99"/>
        <v>20</v>
      </c>
      <c r="D743" s="45" t="str">
        <f t="shared" si="100"/>
        <v>PrimalItemConsumable_Egg</v>
      </c>
      <c r="E743" s="8" t="s">
        <v>3644</v>
      </c>
      <c r="F743" s="8" t="s">
        <v>3645</v>
      </c>
      <c r="G743" s="45" t="str">
        <f t="shared" si="101"/>
        <v>cheat gfi PrimalItemConsumable_Egg_Kairuku_Fertilized_Hydro_C 1 100 0</v>
      </c>
      <c r="H743" s="8" t="s">
        <v>3646</v>
      </c>
      <c r="I743" s="45" t="str">
        <f t="shared" si="102"/>
        <v>EngramEntry_Egg_Kairuku_Fertilized_Hydro_C</v>
      </c>
      <c r="J743" s="45" t="str">
        <f t="shared" si="103"/>
        <v>OverrideNamedEngramEntries=(EngramEntry_Egg_Kairuku_Fertilized_Hydro_C,EngramHidden=true)</v>
      </c>
      <c r="K743" s="2"/>
    </row>
    <row r="744">
      <c r="A744" s="7"/>
      <c r="B744" s="7"/>
      <c r="C744" s="46">
        <f t="shared" si="99"/>
        <v>20</v>
      </c>
      <c r="D744" s="46" t="str">
        <f t="shared" si="100"/>
        <v>PrimalItemConsumable_Egg</v>
      </c>
      <c r="E744" s="11" t="s">
        <v>3647</v>
      </c>
      <c r="F744" s="11" t="s">
        <v>3648</v>
      </c>
      <c r="G744" s="46" t="str">
        <f t="shared" si="101"/>
        <v>cheat gfi PrimalItemConsumable_Egg_Kaprosuchus_Fertilized_Alpha_C 1 100 0</v>
      </c>
      <c r="H744" s="11" t="s">
        <v>3649</v>
      </c>
      <c r="I744" s="46" t="str">
        <f t="shared" si="102"/>
        <v>EngramEntry_Egg_Kaprosuchus_Fertilized_Alpha_C</v>
      </c>
      <c r="J744" s="46" t="str">
        <f t="shared" si="103"/>
        <v>OverrideNamedEngramEntries=(EngramEntry_Egg_Kaprosuchus_Fertilized_Alpha_C,EngramHidden=true)</v>
      </c>
      <c r="K744" s="2"/>
    </row>
    <row r="745">
      <c r="A745" s="7"/>
      <c r="B745" s="7"/>
      <c r="C745" s="45">
        <f t="shared" si="99"/>
        <v>20</v>
      </c>
      <c r="D745" s="45" t="str">
        <f t="shared" si="100"/>
        <v>PrimalItemConsumable_Egg</v>
      </c>
      <c r="E745" s="8" t="s">
        <v>3650</v>
      </c>
      <c r="F745" s="8" t="s">
        <v>3651</v>
      </c>
      <c r="G745" s="45" t="str">
        <f t="shared" si="101"/>
        <v>cheat gfi PrimalItemConsumable_Egg_Kaprosuchus_Fertilized_Alpha_C_C 1 100 0</v>
      </c>
      <c r="H745" s="8" t="s">
        <v>3652</v>
      </c>
      <c r="I745" s="45" t="str">
        <f t="shared" si="102"/>
        <v>EngramEntry_Egg_Kaprosuchus_Fertilized_Alpha_C_C</v>
      </c>
      <c r="J745" s="45" t="str">
        <f t="shared" si="103"/>
        <v>OverrideNamedEngramEntries=(EngramEntry_Egg_Kaprosuchus_Fertilized_Alpha_C_C,EngramHidden=true)</v>
      </c>
      <c r="K745" s="2"/>
    </row>
    <row r="746">
      <c r="A746" s="7"/>
      <c r="B746" s="7"/>
      <c r="C746" s="46">
        <f t="shared" si="99"/>
        <v>20</v>
      </c>
      <c r="D746" s="46" t="str">
        <f t="shared" si="100"/>
        <v>PrimalItemConsumable_Egg</v>
      </c>
      <c r="E746" s="11" t="s">
        <v>3653</v>
      </c>
      <c r="F746" s="11" t="s">
        <v>3654</v>
      </c>
      <c r="G746" s="46" t="str">
        <f t="shared" si="101"/>
        <v>cheat gfi PrimalItemConsumable_Egg_Kaprosuchus_Fertilized_Alpha_P_C 1 100 0</v>
      </c>
      <c r="H746" s="11" t="s">
        <v>3655</v>
      </c>
      <c r="I746" s="46" t="str">
        <f t="shared" si="102"/>
        <v>EngramEntry_Egg_Kaprosuchus_Fertilized_Alpha_P_C</v>
      </c>
      <c r="J746" s="46" t="str">
        <f t="shared" si="103"/>
        <v>OverrideNamedEngramEntries=(EngramEntry_Egg_Kaprosuchus_Fertilized_Alpha_P_C,EngramHidden=true)</v>
      </c>
      <c r="K746" s="2"/>
    </row>
    <row r="747">
      <c r="A747" s="7"/>
      <c r="B747" s="7"/>
      <c r="C747" s="45">
        <f t="shared" si="99"/>
        <v>20</v>
      </c>
      <c r="D747" s="45" t="str">
        <f t="shared" si="100"/>
        <v>PrimalItemConsumable_Egg</v>
      </c>
      <c r="E747" s="8" t="s">
        <v>3656</v>
      </c>
      <c r="F747" s="8" t="s">
        <v>3657</v>
      </c>
      <c r="G747" s="45" t="str">
        <f t="shared" si="101"/>
        <v>cheat gfi PrimalItemConsumable_Egg_Kaprosuchus_Fertilized_Apex_C 1 100 0</v>
      </c>
      <c r="H747" s="8" t="s">
        <v>3658</v>
      </c>
      <c r="I747" s="45" t="str">
        <f t="shared" si="102"/>
        <v>EngramEntry_Egg_Kaprosuchus_Fertilized_Apex_C</v>
      </c>
      <c r="J747" s="45" t="str">
        <f t="shared" si="103"/>
        <v>OverrideNamedEngramEntries=(EngramEntry_Egg_Kaprosuchus_Fertilized_Apex_C,EngramHidden=true)</v>
      </c>
      <c r="K747" s="2"/>
    </row>
    <row r="748">
      <c r="A748" s="7"/>
      <c r="B748" s="7"/>
      <c r="C748" s="46">
        <f t="shared" si="99"/>
        <v>20</v>
      </c>
      <c r="D748" s="46" t="str">
        <f t="shared" si="100"/>
        <v>PrimalItemConsumable_Egg</v>
      </c>
      <c r="E748" s="11" t="s">
        <v>3659</v>
      </c>
      <c r="F748" s="11" t="s">
        <v>3660</v>
      </c>
      <c r="G748" s="46" t="str">
        <f t="shared" si="101"/>
        <v>cheat gfi PrimalItemConsumable_Egg_Kaprosuchus_Fertilized_Atlantic_C 1 100 0</v>
      </c>
      <c r="H748" s="11" t="s">
        <v>3661</v>
      </c>
      <c r="I748" s="46" t="str">
        <f t="shared" si="102"/>
        <v>EngramEntry_Egg_Kaprosuchus_Fertilized_Atlantic_C</v>
      </c>
      <c r="J748" s="46" t="str">
        <f t="shared" si="103"/>
        <v>OverrideNamedEngramEntries=(EngramEntry_Egg_Kaprosuchus_Fertilized_Atlantic_C,EngramHidden=true)</v>
      </c>
      <c r="K748" s="2"/>
    </row>
    <row r="749">
      <c r="A749" s="7"/>
      <c r="B749" s="7"/>
      <c r="C749" s="45">
        <f t="shared" si="99"/>
        <v>20</v>
      </c>
      <c r="D749" s="45" t="str">
        <f t="shared" si="100"/>
        <v>PrimalItemConsumable_Egg</v>
      </c>
      <c r="E749" s="8" t="s">
        <v>3662</v>
      </c>
      <c r="F749" s="8" t="s">
        <v>3663</v>
      </c>
      <c r="G749" s="45" t="str">
        <f t="shared" si="101"/>
        <v>cheat gfi PrimalItemConsumable_Egg_Kaprosuchus_Fertilized_Hydro_C 1 100 0</v>
      </c>
      <c r="H749" s="8" t="s">
        <v>3664</v>
      </c>
      <c r="I749" s="45" t="str">
        <f t="shared" si="102"/>
        <v>EngramEntry_Egg_Kaprosuchus_Fertilized_Hydro_C</v>
      </c>
      <c r="J749" s="45" t="str">
        <f t="shared" si="103"/>
        <v>OverrideNamedEngramEntries=(EngramEntry_Egg_Kaprosuchus_Fertilized_Hydro_C,EngramHidden=true)</v>
      </c>
      <c r="K749" s="2"/>
    </row>
    <row r="750">
      <c r="A750" s="7"/>
      <c r="B750" s="7"/>
      <c r="C750" s="46">
        <f t="shared" si="99"/>
        <v>20</v>
      </c>
      <c r="D750" s="46" t="str">
        <f t="shared" si="100"/>
        <v>PrimalItemConsumable_Egg</v>
      </c>
      <c r="E750" s="11" t="s">
        <v>3665</v>
      </c>
      <c r="F750" s="11" t="s">
        <v>3666</v>
      </c>
      <c r="G750" s="46" t="str">
        <f t="shared" si="101"/>
        <v>cheat gfi PrimalItemConsumable_Egg_Kaprosuchus_Fertilized_Pacific_C 1 100 0</v>
      </c>
      <c r="H750" s="11" t="s">
        <v>3667</v>
      </c>
      <c r="I750" s="46" t="str">
        <f t="shared" si="102"/>
        <v>EngramEntry_Egg_Kaprosuchus_Fertilized_Pacific_C</v>
      </c>
      <c r="J750" s="46" t="str">
        <f t="shared" si="103"/>
        <v>OverrideNamedEngramEntries=(EngramEntry_Egg_Kaprosuchus_Fertilized_Pacific_C,EngramHidden=true)</v>
      </c>
      <c r="K750" s="2"/>
    </row>
    <row r="751">
      <c r="A751" s="7"/>
      <c r="B751" s="7"/>
      <c r="C751" s="45">
        <f t="shared" si="99"/>
        <v>20</v>
      </c>
      <c r="D751" s="45" t="str">
        <f t="shared" si="100"/>
        <v>PrimalItemConsumable_Egg</v>
      </c>
      <c r="E751" s="8" t="s">
        <v>3668</v>
      </c>
      <c r="F751" s="8" t="s">
        <v>3669</v>
      </c>
      <c r="G751" s="45" t="str">
        <f t="shared" si="101"/>
        <v>cheat gfi PrimalItemConsumable_Egg_Kentro_Fertilized_Alpha_C 1 100 0</v>
      </c>
      <c r="H751" s="8" t="s">
        <v>3670</v>
      </c>
      <c r="I751" s="45" t="str">
        <f t="shared" si="102"/>
        <v>EngramEntry_Egg_Kentro_Fertilized_Alpha_C</v>
      </c>
      <c r="J751" s="45" t="str">
        <f t="shared" si="103"/>
        <v>OverrideNamedEngramEntries=(EngramEntry_Egg_Kentro_Fertilized_Alpha_C,EngramHidden=true)</v>
      </c>
      <c r="K751" s="2"/>
    </row>
    <row r="752">
      <c r="A752" s="7"/>
      <c r="B752" s="7"/>
      <c r="C752" s="46">
        <f t="shared" si="99"/>
        <v>20</v>
      </c>
      <c r="D752" s="46" t="str">
        <f t="shared" si="100"/>
        <v>PrimalItemConsumable_Egg</v>
      </c>
      <c r="E752" s="11" t="s">
        <v>3671</v>
      </c>
      <c r="F752" s="11" t="s">
        <v>3672</v>
      </c>
      <c r="G752" s="46" t="str">
        <f t="shared" si="101"/>
        <v>cheat gfi PrimalItemConsumable_Egg_Kentro_Fertilized_Alpha_C_C 1 100 0</v>
      </c>
      <c r="H752" s="11" t="s">
        <v>3673</v>
      </c>
      <c r="I752" s="46" t="str">
        <f t="shared" si="102"/>
        <v>EngramEntry_Egg_Kentro_Fertilized_Alpha_C_C</v>
      </c>
      <c r="J752" s="46" t="str">
        <f t="shared" si="103"/>
        <v>OverrideNamedEngramEntries=(EngramEntry_Egg_Kentro_Fertilized_Alpha_C_C,EngramHidden=true)</v>
      </c>
      <c r="K752" s="2"/>
    </row>
    <row r="753">
      <c r="A753" s="7"/>
      <c r="B753" s="7"/>
      <c r="C753" s="45">
        <f t="shared" si="99"/>
        <v>20</v>
      </c>
      <c r="D753" s="45" t="str">
        <f t="shared" si="100"/>
        <v>PrimalItemConsumable_Egg</v>
      </c>
      <c r="E753" s="8" t="s">
        <v>3674</v>
      </c>
      <c r="F753" s="8" t="s">
        <v>3675</v>
      </c>
      <c r="G753" s="45" t="str">
        <f t="shared" si="101"/>
        <v>cheat gfi PrimalItemConsumable_Egg_Kentro_Fertilized_Alpha_P_C 1 100 0</v>
      </c>
      <c r="H753" s="8" t="s">
        <v>3676</v>
      </c>
      <c r="I753" s="45" t="str">
        <f t="shared" si="102"/>
        <v>EngramEntry_Egg_Kentro_Fertilized_Alpha_P_C</v>
      </c>
      <c r="J753" s="45" t="str">
        <f t="shared" si="103"/>
        <v>OverrideNamedEngramEntries=(EngramEntry_Egg_Kentro_Fertilized_Alpha_P_C,EngramHidden=true)</v>
      </c>
      <c r="K753" s="2"/>
    </row>
    <row r="754">
      <c r="A754" s="7"/>
      <c r="B754" s="7"/>
      <c r="C754" s="46">
        <f t="shared" si="99"/>
        <v>20</v>
      </c>
      <c r="D754" s="46" t="str">
        <f t="shared" si="100"/>
        <v>PrimalItemConsumable_Egg</v>
      </c>
      <c r="E754" s="11" t="s">
        <v>3677</v>
      </c>
      <c r="F754" s="11" t="s">
        <v>3678</v>
      </c>
      <c r="G754" s="46" t="str">
        <f t="shared" si="101"/>
        <v>cheat gfi PrimalItemConsumable_Egg_Kentro_Fertilized_Apex_C 1 100 0</v>
      </c>
      <c r="H754" s="11" t="s">
        <v>3679</v>
      </c>
      <c r="I754" s="46" t="str">
        <f t="shared" si="102"/>
        <v>EngramEntry_Egg_Kentro_Fertilized_Apex_C</v>
      </c>
      <c r="J754" s="46" t="str">
        <f t="shared" si="103"/>
        <v>OverrideNamedEngramEntries=(EngramEntry_Egg_Kentro_Fertilized_Apex_C,EngramHidden=true)</v>
      </c>
      <c r="K754" s="2"/>
    </row>
    <row r="755">
      <c r="A755" s="7"/>
      <c r="B755" s="7"/>
      <c r="C755" s="45">
        <f t="shared" si="99"/>
        <v>20</v>
      </c>
      <c r="D755" s="45" t="str">
        <f t="shared" si="100"/>
        <v>PrimalItemConsumable_Egg</v>
      </c>
      <c r="E755" s="8" t="s">
        <v>3680</v>
      </c>
      <c r="F755" s="8" t="s">
        <v>3681</v>
      </c>
      <c r="G755" s="45" t="str">
        <f t="shared" si="101"/>
        <v>cheat gfi PrimalItemConsumable_Egg_LanternBird_Fertilized_Celestial_C 1 100 0</v>
      </c>
      <c r="H755" s="8" t="s">
        <v>3682</v>
      </c>
      <c r="I755" s="45" t="str">
        <f t="shared" si="102"/>
        <v>EngramEntry_Egg_LanternBird_Fertilized_Celestial_C</v>
      </c>
      <c r="J755" s="45" t="str">
        <f t="shared" si="103"/>
        <v>OverrideNamedEngramEntries=(EngramEntry_Egg_LanternBird_Fertilized_Celestial_C,EngramHidden=true)</v>
      </c>
      <c r="K755" s="2"/>
    </row>
    <row r="756">
      <c r="A756" s="7"/>
      <c r="B756" s="7"/>
      <c r="C756" s="46">
        <f t="shared" si="99"/>
        <v>20</v>
      </c>
      <c r="D756" s="46" t="str">
        <f t="shared" si="100"/>
        <v>PrimalItemConsumable_Egg</v>
      </c>
      <c r="E756" s="11" t="s">
        <v>3683</v>
      </c>
      <c r="F756" s="11" t="s">
        <v>3684</v>
      </c>
      <c r="G756" s="46" t="str">
        <f t="shared" si="101"/>
        <v>cheat gfi PrimalItemConsumable_Egg_Lystro_Fertilized_Alpha_C 1 100 0</v>
      </c>
      <c r="H756" s="11" t="s">
        <v>3685</v>
      </c>
      <c r="I756" s="46" t="str">
        <f t="shared" si="102"/>
        <v>EngramEntry_Egg_Lystro_Fertilized_Alpha_C</v>
      </c>
      <c r="J756" s="46" t="str">
        <f t="shared" si="103"/>
        <v>OverrideNamedEngramEntries=(EngramEntry_Egg_Lystro_Fertilized_Alpha_C,EngramHidden=true)</v>
      </c>
      <c r="K756" s="2"/>
    </row>
    <row r="757">
      <c r="A757" s="7"/>
      <c r="B757" s="7"/>
      <c r="C757" s="45">
        <f t="shared" si="99"/>
        <v>20</v>
      </c>
      <c r="D757" s="45" t="str">
        <f t="shared" si="100"/>
        <v>PrimalItemConsumable_Egg</v>
      </c>
      <c r="E757" s="8" t="s">
        <v>3686</v>
      </c>
      <c r="F757" s="8" t="s">
        <v>3687</v>
      </c>
      <c r="G757" s="45" t="str">
        <f t="shared" si="101"/>
        <v>cheat gfi PrimalItemConsumable_Egg_Lystro_Fertilized_Alpha_C_C 1 100 0</v>
      </c>
      <c r="H757" s="8" t="s">
        <v>3688</v>
      </c>
      <c r="I757" s="45" t="str">
        <f t="shared" si="102"/>
        <v>EngramEntry_Egg_Lystro_Fertilized_Alpha_C_C</v>
      </c>
      <c r="J757" s="45" t="str">
        <f t="shared" si="103"/>
        <v>OverrideNamedEngramEntries=(EngramEntry_Egg_Lystro_Fertilized_Alpha_C_C,EngramHidden=true)</v>
      </c>
      <c r="K757" s="2"/>
    </row>
    <row r="758">
      <c r="A758" s="7"/>
      <c r="B758" s="7"/>
      <c r="C758" s="46">
        <f t="shared" si="99"/>
        <v>20</v>
      </c>
      <c r="D758" s="46" t="str">
        <f t="shared" si="100"/>
        <v>PrimalItemConsumable_Egg</v>
      </c>
      <c r="E758" s="11" t="s">
        <v>3689</v>
      </c>
      <c r="F758" s="11" t="s">
        <v>3690</v>
      </c>
      <c r="G758" s="46" t="str">
        <f t="shared" si="101"/>
        <v>cheat gfi PrimalItemConsumable_Egg_Lystro_Fertilized_Alpha_P_C 1 100 0</v>
      </c>
      <c r="H758" s="11" t="s">
        <v>3691</v>
      </c>
      <c r="I758" s="46" t="str">
        <f t="shared" si="102"/>
        <v>EngramEntry_Egg_Lystro_Fertilized_Alpha_P_C</v>
      </c>
      <c r="J758" s="46" t="str">
        <f t="shared" si="103"/>
        <v>OverrideNamedEngramEntries=(EngramEntry_Egg_Lystro_Fertilized_Alpha_P_C,EngramHidden=true)</v>
      </c>
      <c r="K758" s="2"/>
    </row>
    <row r="759">
      <c r="A759" s="7"/>
      <c r="B759" s="7"/>
      <c r="C759" s="45">
        <f t="shared" si="99"/>
        <v>20</v>
      </c>
      <c r="D759" s="45" t="str">
        <f t="shared" si="100"/>
        <v>PrimalItemConsumable_Egg</v>
      </c>
      <c r="E759" s="8" t="s">
        <v>3692</v>
      </c>
      <c r="F759" s="8" t="s">
        <v>3693</v>
      </c>
      <c r="G759" s="45" t="str">
        <f t="shared" si="101"/>
        <v>cheat gfi PrimalItemConsumable_Egg_Lystro_Fertilized_Apex_C 1 100 0</v>
      </c>
      <c r="H759" s="8" t="s">
        <v>3694</v>
      </c>
      <c r="I759" s="45" t="str">
        <f t="shared" si="102"/>
        <v>EngramEntry_Egg_Lystro_Fertilized_Apex_C</v>
      </c>
      <c r="J759" s="45" t="str">
        <f t="shared" si="103"/>
        <v>OverrideNamedEngramEntries=(EngramEntry_Egg_Lystro_Fertilized_Apex_C,EngramHidden=true)</v>
      </c>
      <c r="K759" s="2"/>
    </row>
    <row r="760">
      <c r="A760" s="7"/>
      <c r="B760" s="7"/>
      <c r="C760" s="46">
        <f t="shared" si="99"/>
        <v>20</v>
      </c>
      <c r="D760" s="46" t="str">
        <f t="shared" si="100"/>
        <v>PrimalItemConsumable_Egg</v>
      </c>
      <c r="E760" s="11" t="s">
        <v>3695</v>
      </c>
      <c r="F760" s="11" t="s">
        <v>3696</v>
      </c>
      <c r="G760" s="46" t="str">
        <f t="shared" si="101"/>
        <v>cheat gfi PrimalItemConsumable_Egg_Megalania_Fertilized_Alpha_C 1 100 0</v>
      </c>
      <c r="H760" s="11" t="s">
        <v>3697</v>
      </c>
      <c r="I760" s="46" t="str">
        <f t="shared" si="102"/>
        <v>EngramEntry_Egg_Megalania_Fertilized_Alpha_C</v>
      </c>
      <c r="J760" s="46" t="str">
        <f t="shared" si="103"/>
        <v>OverrideNamedEngramEntries=(EngramEntry_Egg_Megalania_Fertilized_Alpha_C,EngramHidden=true)</v>
      </c>
      <c r="K760" s="2"/>
    </row>
    <row r="761">
      <c r="A761" s="7"/>
      <c r="B761" s="7"/>
      <c r="C761" s="45">
        <f t="shared" si="99"/>
        <v>20</v>
      </c>
      <c r="D761" s="45" t="str">
        <f t="shared" si="100"/>
        <v>PrimalItemConsumable_Egg</v>
      </c>
      <c r="E761" s="8" t="s">
        <v>3698</v>
      </c>
      <c r="F761" s="8" t="s">
        <v>3699</v>
      </c>
      <c r="G761" s="45" t="str">
        <f t="shared" si="101"/>
        <v>cheat gfi PrimalItemConsumable_Egg_Megalania_Fertilized_Alpha_C_C 1 100 0</v>
      </c>
      <c r="H761" s="8" t="s">
        <v>3700</v>
      </c>
      <c r="I761" s="45" t="str">
        <f t="shared" si="102"/>
        <v>EngramEntry_Egg_Megalania_Fertilized_Alpha_C_C</v>
      </c>
      <c r="J761" s="45" t="str">
        <f t="shared" si="103"/>
        <v>OverrideNamedEngramEntries=(EngramEntry_Egg_Megalania_Fertilized_Alpha_C_C,EngramHidden=true)</v>
      </c>
      <c r="K761" s="2"/>
    </row>
    <row r="762">
      <c r="A762" s="7"/>
      <c r="B762" s="7"/>
      <c r="C762" s="46">
        <f t="shared" si="99"/>
        <v>20</v>
      </c>
      <c r="D762" s="46" t="str">
        <f t="shared" si="100"/>
        <v>PrimalItemConsumable_Egg</v>
      </c>
      <c r="E762" s="11" t="s">
        <v>3701</v>
      </c>
      <c r="F762" s="11" t="s">
        <v>3702</v>
      </c>
      <c r="G762" s="46" t="str">
        <f t="shared" si="101"/>
        <v>cheat gfi PrimalItemConsumable_Egg_Megalania_Fertilized_Alpha_P_C 1 100 0</v>
      </c>
      <c r="H762" s="11" t="s">
        <v>3703</v>
      </c>
      <c r="I762" s="46" t="str">
        <f t="shared" si="102"/>
        <v>EngramEntry_Egg_Megalania_Fertilized_Alpha_P_C</v>
      </c>
      <c r="J762" s="46" t="str">
        <f t="shared" si="103"/>
        <v>OverrideNamedEngramEntries=(EngramEntry_Egg_Megalania_Fertilized_Alpha_P_C,EngramHidden=true)</v>
      </c>
      <c r="K762" s="2"/>
    </row>
    <row r="763">
      <c r="A763" s="7"/>
      <c r="B763" s="7"/>
      <c r="C763" s="45">
        <f t="shared" si="99"/>
        <v>20</v>
      </c>
      <c r="D763" s="45" t="str">
        <f t="shared" si="100"/>
        <v>PrimalItemConsumable_Egg</v>
      </c>
      <c r="E763" s="8" t="s">
        <v>3704</v>
      </c>
      <c r="F763" s="8" t="s">
        <v>3705</v>
      </c>
      <c r="G763" s="45" t="str">
        <f t="shared" si="101"/>
        <v>cheat gfi PrimalItemConsumable_Egg_Megalania_Fertilized_Apex_C 1 100 0</v>
      </c>
      <c r="H763" s="8" t="s">
        <v>3706</v>
      </c>
      <c r="I763" s="45" t="str">
        <f t="shared" si="102"/>
        <v>EngramEntry_Egg_Megalania_Fertilized_Apex_C</v>
      </c>
      <c r="J763" s="45" t="str">
        <f t="shared" si="103"/>
        <v>OverrideNamedEngramEntries=(EngramEntry_Egg_Megalania_Fertilized_Apex_C,EngramHidden=true)</v>
      </c>
      <c r="K763" s="2"/>
    </row>
    <row r="764">
      <c r="A764" s="7"/>
      <c r="B764" s="7"/>
      <c r="C764" s="46">
        <f t="shared" si="99"/>
        <v>20</v>
      </c>
      <c r="D764" s="46" t="str">
        <f t="shared" si="100"/>
        <v>PrimalItemConsumable_Egg</v>
      </c>
      <c r="E764" s="11" t="s">
        <v>3707</v>
      </c>
      <c r="F764" s="11" t="s">
        <v>3708</v>
      </c>
      <c r="G764" s="46" t="str">
        <f t="shared" si="101"/>
        <v>cheat gfi PrimalItemConsumable_Egg_Megalosaurus_Fertilized_Alpha_C 1 100 0</v>
      </c>
      <c r="H764" s="11" t="s">
        <v>3709</v>
      </c>
      <c r="I764" s="46" t="str">
        <f t="shared" si="102"/>
        <v>EngramEntry_Egg_Megalosaurus_Fertilized_Alpha_C</v>
      </c>
      <c r="J764" s="46" t="str">
        <f t="shared" si="103"/>
        <v>OverrideNamedEngramEntries=(EngramEntry_Egg_Megalosaurus_Fertilized_Alpha_C,EngramHidden=true)</v>
      </c>
      <c r="K764" s="2"/>
    </row>
    <row r="765">
      <c r="A765" s="7"/>
      <c r="B765" s="7"/>
      <c r="C765" s="45">
        <f t="shared" si="99"/>
        <v>20</v>
      </c>
      <c r="D765" s="45" t="str">
        <f t="shared" si="100"/>
        <v>PrimalItemConsumable_Egg</v>
      </c>
      <c r="E765" s="8" t="s">
        <v>3710</v>
      </c>
      <c r="F765" s="8" t="s">
        <v>3711</v>
      </c>
      <c r="G765" s="45" t="str">
        <f t="shared" si="101"/>
        <v>cheat gfi PrimalItemConsumable_Egg_Megalosaurus_Fertilized_Alpha_C_C 1 100 0</v>
      </c>
      <c r="H765" s="8" t="s">
        <v>3712</v>
      </c>
      <c r="I765" s="45" t="str">
        <f t="shared" si="102"/>
        <v>EngramEntry_Egg_Megalosaurus_Fertilized_Alpha_C_C</v>
      </c>
      <c r="J765" s="45" t="str">
        <f t="shared" si="103"/>
        <v>OverrideNamedEngramEntries=(EngramEntry_Egg_Megalosaurus_Fertilized_Alpha_C_C,EngramHidden=true)</v>
      </c>
      <c r="K765" s="2"/>
    </row>
    <row r="766">
      <c r="A766" s="7"/>
      <c r="B766" s="7"/>
      <c r="C766" s="46">
        <f t="shared" si="99"/>
        <v>20</v>
      </c>
      <c r="D766" s="46" t="str">
        <f t="shared" si="100"/>
        <v>PrimalItemConsumable_Egg</v>
      </c>
      <c r="E766" s="11" t="s">
        <v>3713</v>
      </c>
      <c r="F766" s="11" t="s">
        <v>3714</v>
      </c>
      <c r="G766" s="46" t="str">
        <f t="shared" si="101"/>
        <v>cheat gfi PrimalItemConsumable_Egg_Megalosaurus_Fertilized_Alpha_P_C 1 100 0</v>
      </c>
      <c r="H766" s="11" t="s">
        <v>3715</v>
      </c>
      <c r="I766" s="46" t="str">
        <f t="shared" si="102"/>
        <v>EngramEntry_Egg_Megalosaurus_Fertilized_Alpha_P_C</v>
      </c>
      <c r="J766" s="46" t="str">
        <f t="shared" si="103"/>
        <v>OverrideNamedEngramEntries=(EngramEntry_Egg_Megalosaurus_Fertilized_Alpha_P_C,EngramHidden=true)</v>
      </c>
      <c r="K766" s="2"/>
    </row>
    <row r="767">
      <c r="A767" s="7"/>
      <c r="B767" s="7"/>
      <c r="C767" s="45">
        <f t="shared" si="99"/>
        <v>20</v>
      </c>
      <c r="D767" s="45" t="str">
        <f t="shared" si="100"/>
        <v>PrimalItemConsumable_Egg</v>
      </c>
      <c r="E767" s="8" t="s">
        <v>3716</v>
      </c>
      <c r="F767" s="8" t="s">
        <v>3717</v>
      </c>
      <c r="G767" s="45" t="str">
        <f t="shared" si="101"/>
        <v>cheat gfi PrimalItemConsumable_Egg_Megalosaurus_Fertilized_Apex_C 1 100 0</v>
      </c>
      <c r="H767" s="8" t="s">
        <v>3718</v>
      </c>
      <c r="I767" s="45" t="str">
        <f t="shared" si="102"/>
        <v>EngramEntry_Egg_Megalosaurus_Fertilized_Apex_C</v>
      </c>
      <c r="J767" s="45" t="str">
        <f t="shared" si="103"/>
        <v>OverrideNamedEngramEntries=(EngramEntry_Egg_Megalosaurus_Fertilized_Apex_C,EngramHidden=true)</v>
      </c>
      <c r="K767" s="2"/>
    </row>
    <row r="768">
      <c r="A768" s="7"/>
      <c r="B768" s="7"/>
      <c r="C768" s="46">
        <f t="shared" si="99"/>
        <v>20</v>
      </c>
      <c r="D768" s="46" t="str">
        <f t="shared" si="100"/>
        <v>PrimalItemConsumable_Egg</v>
      </c>
      <c r="E768" s="11" t="s">
        <v>3719</v>
      </c>
      <c r="F768" s="11" t="s">
        <v>3720</v>
      </c>
      <c r="G768" s="46" t="str">
        <f t="shared" si="101"/>
        <v>cheat gfi PrimalItemConsumable_Egg_Moschops_Fertilized_Alpha_C 1 100 0</v>
      </c>
      <c r="H768" s="11" t="s">
        <v>3721</v>
      </c>
      <c r="I768" s="46" t="str">
        <f t="shared" si="102"/>
        <v>EngramEntry_Egg_Moschops_Fertilized_Alpha_C</v>
      </c>
      <c r="J768" s="46" t="str">
        <f t="shared" si="103"/>
        <v>OverrideNamedEngramEntries=(EngramEntry_Egg_Moschops_Fertilized_Alpha_C,EngramHidden=true)</v>
      </c>
      <c r="K768" s="2"/>
    </row>
    <row r="769">
      <c r="A769" s="7"/>
      <c r="B769" s="7"/>
      <c r="C769" s="45">
        <f t="shared" si="99"/>
        <v>20</v>
      </c>
      <c r="D769" s="45" t="str">
        <f t="shared" si="100"/>
        <v>PrimalItemConsumable_Egg</v>
      </c>
      <c r="E769" s="8" t="s">
        <v>3722</v>
      </c>
      <c r="F769" s="8" t="s">
        <v>3723</v>
      </c>
      <c r="G769" s="45" t="str">
        <f t="shared" si="101"/>
        <v>cheat gfi PrimalItemConsumable_Egg_Moschops_Fertilized_Alpha_C_C 1 100 0</v>
      </c>
      <c r="H769" s="8" t="s">
        <v>3724</v>
      </c>
      <c r="I769" s="45" t="str">
        <f t="shared" si="102"/>
        <v>EngramEntry_Egg_Moschops_Fertilized_Alpha_C_C</v>
      </c>
      <c r="J769" s="45" t="str">
        <f t="shared" si="103"/>
        <v>OverrideNamedEngramEntries=(EngramEntry_Egg_Moschops_Fertilized_Alpha_C_C,EngramHidden=true)</v>
      </c>
      <c r="K769" s="2"/>
    </row>
    <row r="770">
      <c r="A770" s="7"/>
      <c r="B770" s="7"/>
      <c r="C770" s="46">
        <f t="shared" si="99"/>
        <v>20</v>
      </c>
      <c r="D770" s="46" t="str">
        <f t="shared" si="100"/>
        <v>PrimalItemConsumable_Egg</v>
      </c>
      <c r="E770" s="11" t="s">
        <v>3725</v>
      </c>
      <c r="F770" s="11" t="s">
        <v>3726</v>
      </c>
      <c r="G770" s="46" t="str">
        <f t="shared" si="101"/>
        <v>cheat gfi PrimalItemConsumable_Egg_Moschops_Fertilized_Alpha_P_C 1 100 0</v>
      </c>
      <c r="H770" s="11" t="s">
        <v>3727</v>
      </c>
      <c r="I770" s="46" t="str">
        <f t="shared" si="102"/>
        <v>EngramEntry_Egg_Moschops_Fertilized_Alpha_P_C</v>
      </c>
      <c r="J770" s="46" t="str">
        <f t="shared" si="103"/>
        <v>OverrideNamedEngramEntries=(EngramEntry_Egg_Moschops_Fertilized_Alpha_P_C,EngramHidden=true)</v>
      </c>
      <c r="K770" s="2"/>
    </row>
    <row r="771">
      <c r="A771" s="7"/>
      <c r="B771" s="7"/>
      <c r="C771" s="45">
        <f t="shared" si="99"/>
        <v>20</v>
      </c>
      <c r="D771" s="45" t="str">
        <f t="shared" si="100"/>
        <v>PrimalItemConsumable_Egg</v>
      </c>
      <c r="E771" s="8" t="s">
        <v>3728</v>
      </c>
      <c r="F771" s="8" t="s">
        <v>3729</v>
      </c>
      <c r="G771" s="45" t="str">
        <f t="shared" si="101"/>
        <v>cheat gfi PrimalItemConsumable_Egg_Moschops_Fertilized_Apex_C 1 100 0</v>
      </c>
      <c r="H771" s="8" t="s">
        <v>3730</v>
      </c>
      <c r="I771" s="45" t="str">
        <f t="shared" si="102"/>
        <v>EngramEntry_Egg_Moschops_Fertilized_Apex_C</v>
      </c>
      <c r="J771" s="45" t="str">
        <f t="shared" si="103"/>
        <v>OverrideNamedEngramEntries=(EngramEntry_Egg_Moschops_Fertilized_Apex_C,EngramHidden=true)</v>
      </c>
      <c r="K771" s="2"/>
    </row>
    <row r="772">
      <c r="A772" s="7"/>
      <c r="B772" s="7"/>
      <c r="C772" s="46">
        <f t="shared" si="99"/>
        <v>20</v>
      </c>
      <c r="D772" s="46" t="str">
        <f t="shared" si="100"/>
        <v>PrimalItemConsumable_Egg</v>
      </c>
      <c r="E772" s="11" t="s">
        <v>3731</v>
      </c>
      <c r="F772" s="11" t="s">
        <v>3732</v>
      </c>
      <c r="G772" s="46" t="str">
        <f t="shared" si="101"/>
        <v>cheat gfi PrimalItemConsumable_Egg_Moth_Fertilized_Nature_C 1 100 0</v>
      </c>
      <c r="H772" s="11" t="s">
        <v>3733</v>
      </c>
      <c r="I772" s="46" t="str">
        <f t="shared" si="102"/>
        <v>EngramEntry_Egg_Moth_Fertilized_Nature_C</v>
      </c>
      <c r="J772" s="46" t="str">
        <f t="shared" si="103"/>
        <v>OverrideNamedEngramEntries=(EngramEntry_Egg_Moth_Fertilized_Nature_C,EngramHidden=true)</v>
      </c>
      <c r="K772" s="2"/>
    </row>
    <row r="773">
      <c r="A773" s="7"/>
      <c r="B773" s="7"/>
      <c r="C773" s="45">
        <f t="shared" si="99"/>
        <v>20</v>
      </c>
      <c r="D773" s="45" t="str">
        <f t="shared" si="100"/>
        <v>PrimalItemConsumable_Egg</v>
      </c>
      <c r="E773" s="8" t="s">
        <v>3734</v>
      </c>
      <c r="F773" s="8" t="s">
        <v>3735</v>
      </c>
      <c r="G773" s="45" t="str">
        <f t="shared" si="101"/>
        <v>cheat gfi PrimalItemConsumable_Egg_Oviraptor_Fertilized_Alpha_C 1 100 0</v>
      </c>
      <c r="H773" s="8" t="s">
        <v>3736</v>
      </c>
      <c r="I773" s="45" t="str">
        <f t="shared" si="102"/>
        <v>EngramEntry_Egg_Oviraptor_Fertilized_Alpha_C</v>
      </c>
      <c r="J773" s="45" t="str">
        <f t="shared" si="103"/>
        <v>OverrideNamedEngramEntries=(EngramEntry_Egg_Oviraptor_Fertilized_Alpha_C,EngramHidden=true)</v>
      </c>
      <c r="K773" s="2"/>
    </row>
    <row r="774">
      <c r="A774" s="7"/>
      <c r="B774" s="7"/>
      <c r="C774" s="46">
        <f t="shared" si="99"/>
        <v>20</v>
      </c>
      <c r="D774" s="46" t="str">
        <f t="shared" si="100"/>
        <v>PrimalItemConsumable_Egg</v>
      </c>
      <c r="E774" s="11" t="s">
        <v>3737</v>
      </c>
      <c r="F774" s="11" t="s">
        <v>3738</v>
      </c>
      <c r="G774" s="46" t="str">
        <f t="shared" si="101"/>
        <v>cheat gfi PrimalItemConsumable_Egg_Oviraptor_Fertilized_Alpha_C_C 1 100 0</v>
      </c>
      <c r="H774" s="11" t="s">
        <v>3739</v>
      </c>
      <c r="I774" s="46" t="str">
        <f t="shared" si="102"/>
        <v>EngramEntry_Egg_Oviraptor_Fertilized_Alpha_C_C</v>
      </c>
      <c r="J774" s="46" t="str">
        <f t="shared" si="103"/>
        <v>OverrideNamedEngramEntries=(EngramEntry_Egg_Oviraptor_Fertilized_Alpha_C_C,EngramHidden=true)</v>
      </c>
      <c r="K774" s="2"/>
    </row>
    <row r="775">
      <c r="A775" s="7"/>
      <c r="B775" s="7"/>
      <c r="C775" s="45">
        <f t="shared" si="99"/>
        <v>20</v>
      </c>
      <c r="D775" s="45" t="str">
        <f t="shared" si="100"/>
        <v>PrimalItemConsumable_Egg</v>
      </c>
      <c r="E775" s="8" t="s">
        <v>3740</v>
      </c>
      <c r="F775" s="8" t="s">
        <v>3741</v>
      </c>
      <c r="G775" s="45" t="str">
        <f t="shared" si="101"/>
        <v>cheat gfi PrimalItemConsumable_Egg_Oviraptor_Fertilized_Alpha_P_C 1 100 0</v>
      </c>
      <c r="H775" s="8" t="s">
        <v>3742</v>
      </c>
      <c r="I775" s="45" t="str">
        <f t="shared" si="102"/>
        <v>EngramEntry_Egg_Oviraptor_Fertilized_Alpha_P_C</v>
      </c>
      <c r="J775" s="45" t="str">
        <f t="shared" si="103"/>
        <v>OverrideNamedEngramEntries=(EngramEntry_Egg_Oviraptor_Fertilized_Alpha_P_C,EngramHidden=true)</v>
      </c>
      <c r="K775" s="2"/>
    </row>
    <row r="776">
      <c r="A776" s="7"/>
      <c r="B776" s="7"/>
      <c r="C776" s="46">
        <f t="shared" si="99"/>
        <v>20</v>
      </c>
      <c r="D776" s="46" t="str">
        <f t="shared" si="100"/>
        <v>PrimalItemConsumable_Egg</v>
      </c>
      <c r="E776" s="11" t="s">
        <v>3743</v>
      </c>
      <c r="F776" s="11" t="s">
        <v>3744</v>
      </c>
      <c r="G776" s="46" t="str">
        <f t="shared" si="101"/>
        <v>cheat gfi PrimalItemConsumable_Egg_Oviraptor_Fertilized_Apex_C 1 100 0</v>
      </c>
      <c r="H776" s="11" t="s">
        <v>3745</v>
      </c>
      <c r="I776" s="46" t="str">
        <f t="shared" si="102"/>
        <v>EngramEntry_Egg_Oviraptor_Fertilized_Apex_C</v>
      </c>
      <c r="J776" s="46" t="str">
        <f t="shared" si="103"/>
        <v>OverrideNamedEngramEntries=(EngramEntry_Egg_Oviraptor_Fertilized_Apex_C,EngramHidden=true)</v>
      </c>
      <c r="K776" s="2"/>
    </row>
    <row r="777">
      <c r="A777" s="7"/>
      <c r="B777" s="7"/>
      <c r="C777" s="45">
        <f t="shared" si="99"/>
        <v>20</v>
      </c>
      <c r="D777" s="45" t="str">
        <f t="shared" si="100"/>
        <v>PrimalItemConsumable_Egg</v>
      </c>
      <c r="E777" s="8" t="s">
        <v>3746</v>
      </c>
      <c r="F777" s="8" t="s">
        <v>3747</v>
      </c>
      <c r="G777" s="45" t="str">
        <f t="shared" si="101"/>
        <v>cheat gfi PrimalItemConsumable_Egg_Pachy_Fertilized_Alpha_C 1 100 0</v>
      </c>
      <c r="H777" s="8" t="s">
        <v>3748</v>
      </c>
      <c r="I777" s="45" t="str">
        <f t="shared" si="102"/>
        <v>EngramEntry_Egg_Pachy_Fertilized_Alpha_C</v>
      </c>
      <c r="J777" s="45" t="str">
        <f t="shared" si="103"/>
        <v>OverrideNamedEngramEntries=(EngramEntry_Egg_Pachy_Fertilized_Alpha_C,EngramHidden=true)</v>
      </c>
      <c r="K777" s="2"/>
    </row>
    <row r="778">
      <c r="A778" s="7"/>
      <c r="B778" s="7"/>
      <c r="C778" s="46">
        <f t="shared" si="99"/>
        <v>20</v>
      </c>
      <c r="D778" s="46" t="str">
        <f t="shared" si="100"/>
        <v>PrimalItemConsumable_Egg</v>
      </c>
      <c r="E778" s="11" t="s">
        <v>3749</v>
      </c>
      <c r="F778" s="11" t="s">
        <v>3750</v>
      </c>
      <c r="G778" s="46" t="str">
        <f t="shared" si="101"/>
        <v>cheat gfi PrimalItemConsumable_Egg_Pachy_Fertilized_Apex_C 1 100 0</v>
      </c>
      <c r="H778" s="11" t="s">
        <v>3751</v>
      </c>
      <c r="I778" s="46" t="str">
        <f t="shared" si="102"/>
        <v>EngramEntry_Egg_Pachy_Fertilized_Apex_C</v>
      </c>
      <c r="J778" s="46" t="str">
        <f t="shared" si="103"/>
        <v>OverrideNamedEngramEntries=(EngramEntry_Egg_Pachy_Fertilized_Apex_C,EngramHidden=true)</v>
      </c>
      <c r="K778" s="2"/>
    </row>
    <row r="779">
      <c r="A779" s="7"/>
      <c r="B779" s="7"/>
      <c r="C779" s="45">
        <f t="shared" si="99"/>
        <v>20</v>
      </c>
      <c r="D779" s="45" t="str">
        <f t="shared" si="100"/>
        <v>PrimalItemConsumable_Egg</v>
      </c>
      <c r="E779" s="8" t="s">
        <v>3752</v>
      </c>
      <c r="F779" s="8" t="s">
        <v>3753</v>
      </c>
      <c r="G779" s="45" t="str">
        <f t="shared" si="101"/>
        <v>cheat gfi PrimalItemConsumable_Egg_Pachy_Fertilized_Earth_C 1 100 0</v>
      </c>
      <c r="H779" s="8" t="s">
        <v>3754</v>
      </c>
      <c r="I779" s="45" t="str">
        <f t="shared" si="102"/>
        <v>EngramEntry_Egg_Pachy_Fertilized_Earth_C</v>
      </c>
      <c r="J779" s="45" t="str">
        <f t="shared" si="103"/>
        <v>OverrideNamedEngramEntries=(EngramEntry_Egg_Pachy_Fertilized_Earth_C,EngramHidden=true)</v>
      </c>
      <c r="K779" s="2"/>
    </row>
    <row r="780">
      <c r="A780" s="7"/>
      <c r="B780" s="7"/>
      <c r="C780" s="46">
        <f t="shared" si="99"/>
        <v>20</v>
      </c>
      <c r="D780" s="46" t="str">
        <f t="shared" si="100"/>
        <v>PrimalItemConsumable_Egg</v>
      </c>
      <c r="E780" s="11" t="s">
        <v>3755</v>
      </c>
      <c r="F780" s="11" t="s">
        <v>3756</v>
      </c>
      <c r="G780" s="46" t="str">
        <f t="shared" si="101"/>
        <v>cheat gfi PrimalItemConsumable_Egg_PachyRhino_Fertilized_Alpha_C 1 100 0</v>
      </c>
      <c r="H780" s="11" t="s">
        <v>3757</v>
      </c>
      <c r="I780" s="46" t="str">
        <f t="shared" si="102"/>
        <v>EngramEntry_Egg_PachyRhino_Fertilized_Alpha_C</v>
      </c>
      <c r="J780" s="46" t="str">
        <f t="shared" si="103"/>
        <v>OverrideNamedEngramEntries=(EngramEntry_Egg_PachyRhino_Fertilized_Alpha_C,EngramHidden=true)</v>
      </c>
      <c r="K780" s="2"/>
    </row>
    <row r="781">
      <c r="A781" s="7"/>
      <c r="B781" s="7"/>
      <c r="C781" s="45">
        <f t="shared" si="99"/>
        <v>20</v>
      </c>
      <c r="D781" s="45" t="str">
        <f t="shared" si="100"/>
        <v>PrimalItemConsumable_Egg</v>
      </c>
      <c r="E781" s="8" t="s">
        <v>3758</v>
      </c>
      <c r="F781" s="8" t="s">
        <v>3759</v>
      </c>
      <c r="G781" s="45" t="str">
        <f t="shared" si="101"/>
        <v>cheat gfi PrimalItemConsumable_Egg_PachyRhino_Fertilized_Alpha_C_C 1 100 0</v>
      </c>
      <c r="H781" s="8" t="s">
        <v>3760</v>
      </c>
      <c r="I781" s="45" t="str">
        <f t="shared" si="102"/>
        <v>EngramEntry_Egg_PachyRhino_Fertilized_Alpha_C_C</v>
      </c>
      <c r="J781" s="45" t="str">
        <f t="shared" si="103"/>
        <v>OverrideNamedEngramEntries=(EngramEntry_Egg_PachyRhino_Fertilized_Alpha_C_C,EngramHidden=true)</v>
      </c>
      <c r="K781" s="2"/>
    </row>
    <row r="782">
      <c r="A782" s="7"/>
      <c r="B782" s="7"/>
      <c r="C782" s="46">
        <f t="shared" si="99"/>
        <v>20</v>
      </c>
      <c r="D782" s="46" t="str">
        <f t="shared" si="100"/>
        <v>PrimalItemConsumable_Egg</v>
      </c>
      <c r="E782" s="11" t="s">
        <v>3761</v>
      </c>
      <c r="F782" s="11" t="s">
        <v>3762</v>
      </c>
      <c r="G782" s="46" t="str">
        <f t="shared" si="101"/>
        <v>cheat gfi PrimalItemConsumable_Egg_PachyRhino_Fertilized_Alpha_P_C 1 100 0</v>
      </c>
      <c r="H782" s="11" t="s">
        <v>3763</v>
      </c>
      <c r="I782" s="46" t="str">
        <f t="shared" si="102"/>
        <v>EngramEntry_Egg_PachyRhino_Fertilized_Alpha_P_C</v>
      </c>
      <c r="J782" s="46" t="str">
        <f t="shared" si="103"/>
        <v>OverrideNamedEngramEntries=(EngramEntry_Egg_PachyRhino_Fertilized_Alpha_P_C,EngramHidden=true)</v>
      </c>
      <c r="K782" s="2"/>
    </row>
    <row r="783">
      <c r="A783" s="7"/>
      <c r="B783" s="7"/>
      <c r="C783" s="45">
        <f t="shared" si="99"/>
        <v>20</v>
      </c>
      <c r="D783" s="45" t="str">
        <f t="shared" si="100"/>
        <v>PrimalItemConsumable_Egg</v>
      </c>
      <c r="E783" s="8" t="s">
        <v>3764</v>
      </c>
      <c r="F783" s="8" t="s">
        <v>3765</v>
      </c>
      <c r="G783" s="45" t="str">
        <f t="shared" si="101"/>
        <v>cheat gfi PrimalItemConsumable_Egg_PachyRhino_Fertilized_Apex_C 1 100 0</v>
      </c>
      <c r="H783" s="8" t="s">
        <v>3766</v>
      </c>
      <c r="I783" s="45" t="str">
        <f t="shared" si="102"/>
        <v>EngramEntry_Egg_PachyRhino_Fertilized_Apex_C</v>
      </c>
      <c r="J783" s="45" t="str">
        <f t="shared" si="103"/>
        <v>OverrideNamedEngramEntries=(EngramEntry_Egg_PachyRhino_Fertilized_Apex_C,EngramHidden=true)</v>
      </c>
      <c r="K783" s="2"/>
    </row>
    <row r="784">
      <c r="A784" s="7"/>
      <c r="B784" s="7"/>
      <c r="C784" s="46">
        <f t="shared" si="99"/>
        <v>20</v>
      </c>
      <c r="D784" s="46" t="str">
        <f t="shared" si="100"/>
        <v>PrimalItemConsumable_Egg</v>
      </c>
      <c r="E784" s="11" t="s">
        <v>3767</v>
      </c>
      <c r="F784" s="11" t="s">
        <v>3768</v>
      </c>
      <c r="G784" s="46" t="str">
        <f t="shared" si="101"/>
        <v>cheat gfi PrimalItemConsumable_Egg_Para_Fertilized_Alpha_C 1 100 0</v>
      </c>
      <c r="H784" s="11" t="s">
        <v>3769</v>
      </c>
      <c r="I784" s="46" t="str">
        <f t="shared" si="102"/>
        <v>EngramEntry_Egg_Para_Fertilized_Alpha_C</v>
      </c>
      <c r="J784" s="46" t="str">
        <f t="shared" si="103"/>
        <v>OverrideNamedEngramEntries=(EngramEntry_Egg_Para_Fertilized_Alpha_C,EngramHidden=true)</v>
      </c>
      <c r="K784" s="2"/>
    </row>
    <row r="785">
      <c r="A785" s="7"/>
      <c r="B785" s="7"/>
      <c r="C785" s="45">
        <f t="shared" si="99"/>
        <v>20</v>
      </c>
      <c r="D785" s="45" t="str">
        <f t="shared" si="100"/>
        <v>PrimalItemConsumable_Egg</v>
      </c>
      <c r="E785" s="8" t="s">
        <v>3770</v>
      </c>
      <c r="F785" s="8" t="s">
        <v>3771</v>
      </c>
      <c r="G785" s="45" t="str">
        <f t="shared" si="101"/>
        <v>cheat gfi PrimalItemConsumable_Egg_Para_Fertilized_Alpha_C_C 1 100 0</v>
      </c>
      <c r="H785" s="8" t="s">
        <v>3772</v>
      </c>
      <c r="I785" s="45" t="str">
        <f t="shared" si="102"/>
        <v>EngramEntry_Egg_Para_Fertilized_Alpha_C_C</v>
      </c>
      <c r="J785" s="45" t="str">
        <f t="shared" si="103"/>
        <v>OverrideNamedEngramEntries=(EngramEntry_Egg_Para_Fertilized_Alpha_C_C,EngramHidden=true)</v>
      </c>
      <c r="K785" s="2"/>
    </row>
    <row r="786">
      <c r="A786" s="7"/>
      <c r="B786" s="7"/>
      <c r="C786" s="46">
        <f t="shared" si="99"/>
        <v>20</v>
      </c>
      <c r="D786" s="46" t="str">
        <f t="shared" si="100"/>
        <v>PrimalItemConsumable_Egg</v>
      </c>
      <c r="E786" s="11" t="s">
        <v>3773</v>
      </c>
      <c r="F786" s="11" t="s">
        <v>3774</v>
      </c>
      <c r="G786" s="46" t="str">
        <f t="shared" si="101"/>
        <v>cheat gfi PrimalItemConsumable_Egg_Para_Fertilized_Alpha_P_C 1 100 0</v>
      </c>
      <c r="H786" s="11" t="s">
        <v>3775</v>
      </c>
      <c r="I786" s="46" t="str">
        <f t="shared" si="102"/>
        <v>EngramEntry_Egg_Para_Fertilized_Alpha_P_C</v>
      </c>
      <c r="J786" s="46" t="str">
        <f t="shared" si="103"/>
        <v>OverrideNamedEngramEntries=(EngramEntry_Egg_Para_Fertilized_Alpha_P_C,EngramHidden=true)</v>
      </c>
      <c r="K786" s="2"/>
    </row>
    <row r="787">
      <c r="A787" s="7"/>
      <c r="B787" s="7"/>
      <c r="C787" s="45">
        <f t="shared" si="99"/>
        <v>20</v>
      </c>
      <c r="D787" s="45" t="str">
        <f t="shared" si="100"/>
        <v>PrimalItemConsumable_Egg</v>
      </c>
      <c r="E787" s="8" t="s">
        <v>3776</v>
      </c>
      <c r="F787" s="8" t="s">
        <v>3777</v>
      </c>
      <c r="G787" s="45" t="str">
        <f t="shared" si="101"/>
        <v>cheat gfi PrimalItemConsumable_Egg_Para_Fertilized_Apex_C 1 100 0</v>
      </c>
      <c r="H787" s="8" t="s">
        <v>3778</v>
      </c>
      <c r="I787" s="45" t="str">
        <f t="shared" si="102"/>
        <v>EngramEntry_Egg_Para_Fertilized_Apex_C</v>
      </c>
      <c r="J787" s="45" t="str">
        <f t="shared" si="103"/>
        <v>OverrideNamedEngramEntries=(EngramEntry_Egg_Para_Fertilized_Apex_C,EngramHidden=true)</v>
      </c>
      <c r="K787" s="2"/>
    </row>
    <row r="788">
      <c r="A788" s="7"/>
      <c r="B788" s="7"/>
      <c r="C788" s="46">
        <f t="shared" si="99"/>
        <v>20</v>
      </c>
      <c r="D788" s="46" t="str">
        <f t="shared" si="100"/>
        <v>PrimalItemConsumable_Egg</v>
      </c>
      <c r="E788" s="11" t="s">
        <v>3779</v>
      </c>
      <c r="F788" s="11" t="s">
        <v>3780</v>
      </c>
      <c r="G788" s="46" t="str">
        <f t="shared" si="101"/>
        <v>cheat gfi PrimalItemConsumable_Egg_Pegasus_Fertilized_Celestial_C 1 100 0</v>
      </c>
      <c r="H788" s="11" t="s">
        <v>3781</v>
      </c>
      <c r="I788" s="46" t="str">
        <f t="shared" si="102"/>
        <v>EngramEntry_Egg_Pegasus_Fertilized_Celestial_C</v>
      </c>
      <c r="J788" s="46" t="str">
        <f t="shared" si="103"/>
        <v>OverrideNamedEngramEntries=(EngramEntry_Egg_Pegasus_Fertilized_Celestial_C,EngramHidden=true)</v>
      </c>
      <c r="K788" s="2"/>
    </row>
    <row r="789">
      <c r="A789" s="7"/>
      <c r="B789" s="7"/>
      <c r="C789" s="45">
        <f t="shared" si="99"/>
        <v>20</v>
      </c>
      <c r="D789" s="45" t="str">
        <f t="shared" si="100"/>
        <v>PrimalItemConsumable_Egg</v>
      </c>
      <c r="E789" s="8" t="s">
        <v>3782</v>
      </c>
      <c r="F789" s="8" t="s">
        <v>3783</v>
      </c>
      <c r="G789" s="45" t="str">
        <f t="shared" si="101"/>
        <v>cheat gfi PrimalItemConsumable_Egg_Pegomastax_Fertilized_Alpha_C 1 100 0</v>
      </c>
      <c r="H789" s="8" t="s">
        <v>3784</v>
      </c>
      <c r="I789" s="45" t="str">
        <f t="shared" si="102"/>
        <v>EngramEntry_Egg_Pegomastax_Fertilized_Alpha_C</v>
      </c>
      <c r="J789" s="45" t="str">
        <f t="shared" si="103"/>
        <v>OverrideNamedEngramEntries=(EngramEntry_Egg_Pegomastax_Fertilized_Alpha_C,EngramHidden=true)</v>
      </c>
      <c r="K789" s="2"/>
    </row>
    <row r="790">
      <c r="A790" s="7"/>
      <c r="B790" s="7"/>
      <c r="C790" s="46">
        <f t="shared" si="99"/>
        <v>20</v>
      </c>
      <c r="D790" s="46" t="str">
        <f t="shared" si="100"/>
        <v>PrimalItemConsumable_Egg</v>
      </c>
      <c r="E790" s="11" t="s">
        <v>3785</v>
      </c>
      <c r="F790" s="11" t="s">
        <v>3786</v>
      </c>
      <c r="G790" s="46" t="str">
        <f t="shared" si="101"/>
        <v>cheat gfi PrimalItemConsumable_Egg_Pegomastax_Fertilized_Alpha_C_C 1 100 0</v>
      </c>
      <c r="H790" s="11" t="s">
        <v>3787</v>
      </c>
      <c r="I790" s="46" t="str">
        <f t="shared" si="102"/>
        <v>EngramEntry_Egg_Pegomastax_Fertilized_Alpha_C_C</v>
      </c>
      <c r="J790" s="46" t="str">
        <f t="shared" si="103"/>
        <v>OverrideNamedEngramEntries=(EngramEntry_Egg_Pegomastax_Fertilized_Alpha_C_C,EngramHidden=true)</v>
      </c>
      <c r="K790" s="2"/>
    </row>
    <row r="791">
      <c r="A791" s="7"/>
      <c r="B791" s="7"/>
      <c r="C791" s="45">
        <f t="shared" si="99"/>
        <v>20</v>
      </c>
      <c r="D791" s="45" t="str">
        <f t="shared" si="100"/>
        <v>PrimalItemConsumable_Egg</v>
      </c>
      <c r="E791" s="8" t="s">
        <v>3788</v>
      </c>
      <c r="F791" s="8" t="s">
        <v>3789</v>
      </c>
      <c r="G791" s="45" t="str">
        <f t="shared" si="101"/>
        <v>cheat gfi PrimalItemConsumable_Egg_Pegomastax_Fertilized_Alpha_P_C 1 100 0</v>
      </c>
      <c r="H791" s="8" t="s">
        <v>3790</v>
      </c>
      <c r="I791" s="45" t="str">
        <f t="shared" si="102"/>
        <v>EngramEntry_Egg_Pegomastax_Fertilized_Alpha_P_C</v>
      </c>
      <c r="J791" s="45" t="str">
        <f t="shared" si="103"/>
        <v>OverrideNamedEngramEntries=(EngramEntry_Egg_Pegomastax_Fertilized_Alpha_P_C,EngramHidden=true)</v>
      </c>
      <c r="K791" s="2"/>
    </row>
    <row r="792">
      <c r="A792" s="7"/>
      <c r="B792" s="7"/>
      <c r="C792" s="46">
        <f t="shared" si="99"/>
        <v>20</v>
      </c>
      <c r="D792" s="46" t="str">
        <f t="shared" si="100"/>
        <v>PrimalItemConsumable_Egg</v>
      </c>
      <c r="E792" s="11" t="s">
        <v>3791</v>
      </c>
      <c r="F792" s="11" t="s">
        <v>3792</v>
      </c>
      <c r="G792" s="46" t="str">
        <f t="shared" si="101"/>
        <v>cheat gfi PrimalItemConsumable_Egg_Pegomastax_Fertilized_Apex_C 1 100 0</v>
      </c>
      <c r="H792" s="11" t="s">
        <v>3793</v>
      </c>
      <c r="I792" s="46" t="str">
        <f t="shared" si="102"/>
        <v>EngramEntry_Egg_Pegomastax_Fertilized_Apex_C</v>
      </c>
      <c r="J792" s="46" t="str">
        <f t="shared" si="103"/>
        <v>OverrideNamedEngramEntries=(EngramEntry_Egg_Pegomastax_Fertilized_Apex_C,EngramHidden=true)</v>
      </c>
      <c r="K792" s="2"/>
    </row>
    <row r="793">
      <c r="A793" s="7"/>
      <c r="B793" s="7"/>
      <c r="C793" s="45">
        <f t="shared" si="99"/>
        <v>20</v>
      </c>
      <c r="D793" s="45" t="str">
        <f t="shared" si="100"/>
        <v>PrimalItemConsumable_Egg</v>
      </c>
      <c r="E793" s="8" t="s">
        <v>3794</v>
      </c>
      <c r="F793" s="8" t="s">
        <v>3795</v>
      </c>
      <c r="G793" s="45" t="str">
        <f t="shared" si="101"/>
        <v>cheat gfi PrimalItemConsumable_Egg_Pela_Fertilized_Alpha_C 1 100 0</v>
      </c>
      <c r="H793" s="8" t="s">
        <v>3796</v>
      </c>
      <c r="I793" s="45" t="str">
        <f t="shared" si="102"/>
        <v>EngramEntry_Egg_Pela_Fertilized_Alpha_C</v>
      </c>
      <c r="J793" s="45" t="str">
        <f t="shared" si="103"/>
        <v>OverrideNamedEngramEntries=(EngramEntry_Egg_Pela_Fertilized_Alpha_C,EngramHidden=true)</v>
      </c>
      <c r="K793" s="2"/>
    </row>
    <row r="794">
      <c r="A794" s="7"/>
      <c r="B794" s="7"/>
      <c r="C794" s="46">
        <f t="shared" si="99"/>
        <v>20</v>
      </c>
      <c r="D794" s="46" t="str">
        <f t="shared" si="100"/>
        <v>PrimalItemConsumable_Egg</v>
      </c>
      <c r="E794" s="11" t="s">
        <v>3797</v>
      </c>
      <c r="F794" s="11" t="s">
        <v>3798</v>
      </c>
      <c r="G794" s="46" t="str">
        <f t="shared" si="101"/>
        <v>cheat gfi PrimalItemConsumable_Egg_Pela_Fertilized_Alpha_C_C 1 100 0</v>
      </c>
      <c r="H794" s="11" t="s">
        <v>3799</v>
      </c>
      <c r="I794" s="46" t="str">
        <f t="shared" si="102"/>
        <v>EngramEntry_Egg_Pela_Fertilized_Alpha_C_C</v>
      </c>
      <c r="J794" s="46" t="str">
        <f t="shared" si="103"/>
        <v>OverrideNamedEngramEntries=(EngramEntry_Egg_Pela_Fertilized_Alpha_C_C,EngramHidden=true)</v>
      </c>
      <c r="K794" s="2"/>
    </row>
    <row r="795">
      <c r="A795" s="7"/>
      <c r="B795" s="7"/>
      <c r="C795" s="45">
        <f t="shared" si="99"/>
        <v>20</v>
      </c>
      <c r="D795" s="45" t="str">
        <f t="shared" si="100"/>
        <v>PrimalItemConsumable_Egg</v>
      </c>
      <c r="E795" s="8" t="s">
        <v>3800</v>
      </c>
      <c r="F795" s="8" t="s">
        <v>3801</v>
      </c>
      <c r="G795" s="45" t="str">
        <f t="shared" si="101"/>
        <v>cheat gfi PrimalItemConsumable_Egg_Pela_Fertilized_Alpha_P_C 1 100 0</v>
      </c>
      <c r="H795" s="8" t="s">
        <v>3802</v>
      </c>
      <c r="I795" s="45" t="str">
        <f t="shared" si="102"/>
        <v>EngramEntry_Egg_Pela_Fertilized_Alpha_P_C</v>
      </c>
      <c r="J795" s="45" t="str">
        <f t="shared" si="103"/>
        <v>OverrideNamedEngramEntries=(EngramEntry_Egg_Pela_Fertilized_Alpha_P_C,EngramHidden=true)</v>
      </c>
      <c r="K795" s="2"/>
    </row>
    <row r="796">
      <c r="A796" s="7"/>
      <c r="B796" s="7"/>
      <c r="C796" s="46">
        <f t="shared" si="99"/>
        <v>20</v>
      </c>
      <c r="D796" s="46" t="str">
        <f t="shared" si="100"/>
        <v>PrimalItemConsumable_Egg</v>
      </c>
      <c r="E796" s="11" t="s">
        <v>3803</v>
      </c>
      <c r="F796" s="11" t="s">
        <v>3804</v>
      </c>
      <c r="G796" s="46" t="str">
        <f t="shared" si="101"/>
        <v>cheat gfi PrimalItemConsumable_Egg_Pela_Fertilized_Apex_C 1 100 0</v>
      </c>
      <c r="H796" s="11" t="s">
        <v>3805</v>
      </c>
      <c r="I796" s="46" t="str">
        <f t="shared" si="102"/>
        <v>EngramEntry_Egg_Pela_Fertilized_Apex_C</v>
      </c>
      <c r="J796" s="46" t="str">
        <f t="shared" si="103"/>
        <v>OverrideNamedEngramEntries=(EngramEntry_Egg_Pela_Fertilized_Apex_C,EngramHidden=true)</v>
      </c>
      <c r="K796" s="2"/>
    </row>
    <row r="797">
      <c r="A797" s="7"/>
      <c r="B797" s="7"/>
      <c r="C797" s="45">
        <f t="shared" si="99"/>
        <v>20</v>
      </c>
      <c r="D797" s="45" t="str">
        <f t="shared" si="100"/>
        <v>PrimalItemConsumable_Egg</v>
      </c>
      <c r="E797" s="8" t="s">
        <v>3806</v>
      </c>
      <c r="F797" s="8" t="s">
        <v>3807</v>
      </c>
      <c r="G797" s="45" t="str">
        <f t="shared" si="101"/>
        <v>cheat gfi PrimalItemConsumable_Egg_Ptero_Fertilized_Alpha_C 1 100 0</v>
      </c>
      <c r="H797" s="8" t="s">
        <v>3808</v>
      </c>
      <c r="I797" s="45" t="str">
        <f t="shared" si="102"/>
        <v>EngramEntry_Egg_Ptero_Fertilized_Alpha_C</v>
      </c>
      <c r="J797" s="45" t="str">
        <f t="shared" si="103"/>
        <v>OverrideNamedEngramEntries=(EngramEntry_Egg_Ptero_Fertilized_Alpha_C,EngramHidden=true)</v>
      </c>
      <c r="K797" s="2"/>
    </row>
    <row r="798">
      <c r="A798" s="7"/>
      <c r="B798" s="7"/>
      <c r="C798" s="46">
        <f t="shared" si="99"/>
        <v>20</v>
      </c>
      <c r="D798" s="46" t="str">
        <f t="shared" si="100"/>
        <v>PrimalItemConsumable_Egg</v>
      </c>
      <c r="E798" s="11" t="s">
        <v>3809</v>
      </c>
      <c r="F798" s="11" t="s">
        <v>3810</v>
      </c>
      <c r="G798" s="46" t="str">
        <f t="shared" si="101"/>
        <v>cheat gfi PrimalItemConsumable_Egg_Ptero_Fertilized_Alpha_C_C 1 100 0</v>
      </c>
      <c r="H798" s="11" t="s">
        <v>3811</v>
      </c>
      <c r="I798" s="46" t="str">
        <f t="shared" si="102"/>
        <v>EngramEntry_Egg_Ptero_Fertilized_Alpha_C_C</v>
      </c>
      <c r="J798" s="46" t="str">
        <f t="shared" si="103"/>
        <v>OverrideNamedEngramEntries=(EngramEntry_Egg_Ptero_Fertilized_Alpha_C_C,EngramHidden=true)</v>
      </c>
      <c r="K798" s="2"/>
    </row>
    <row r="799">
      <c r="A799" s="7"/>
      <c r="B799" s="7"/>
      <c r="C799" s="45">
        <f t="shared" si="99"/>
        <v>20</v>
      </c>
      <c r="D799" s="45" t="str">
        <f t="shared" si="100"/>
        <v>PrimalItemConsumable_Egg</v>
      </c>
      <c r="E799" s="8" t="s">
        <v>3812</v>
      </c>
      <c r="F799" s="8" t="s">
        <v>3813</v>
      </c>
      <c r="G799" s="45" t="str">
        <f t="shared" si="101"/>
        <v>cheat gfi PrimalItemConsumable_Egg_Ptero_Fertilized_Alpha_P_C 1 100 0</v>
      </c>
      <c r="H799" s="8" t="s">
        <v>3814</v>
      </c>
      <c r="I799" s="45" t="str">
        <f t="shared" si="102"/>
        <v>EngramEntry_Egg_Ptero_Fertilized_Alpha_P_C</v>
      </c>
      <c r="J799" s="45" t="str">
        <f t="shared" si="103"/>
        <v>OverrideNamedEngramEntries=(EngramEntry_Egg_Ptero_Fertilized_Alpha_P_C,EngramHidden=true)</v>
      </c>
      <c r="K799" s="2"/>
    </row>
    <row r="800">
      <c r="A800" s="7"/>
      <c r="B800" s="7"/>
      <c r="C800" s="46">
        <f t="shared" si="99"/>
        <v>20</v>
      </c>
      <c r="D800" s="46" t="str">
        <f t="shared" si="100"/>
        <v>PrimalItemConsumable_Egg</v>
      </c>
      <c r="E800" s="11" t="s">
        <v>3815</v>
      </c>
      <c r="F800" s="11" t="s">
        <v>3816</v>
      </c>
      <c r="G800" s="46" t="str">
        <f t="shared" si="101"/>
        <v>cheat gfi PrimalItemConsumable_Egg_Ptero_Fertilized_Apex_C 1 100 0</v>
      </c>
      <c r="H800" s="11" t="s">
        <v>3817</v>
      </c>
      <c r="I800" s="46" t="str">
        <f t="shared" si="102"/>
        <v>EngramEntry_Egg_Ptero_Fertilized_Apex_C</v>
      </c>
      <c r="J800" s="46" t="str">
        <f t="shared" si="103"/>
        <v>OverrideNamedEngramEntries=(EngramEntry_Egg_Ptero_Fertilized_Apex_C,EngramHidden=true)</v>
      </c>
      <c r="K800" s="2"/>
    </row>
    <row r="801">
      <c r="A801" s="7"/>
      <c r="B801" s="7"/>
      <c r="C801" s="45">
        <f t="shared" si="99"/>
        <v>20</v>
      </c>
      <c r="D801" s="45" t="str">
        <f t="shared" si="100"/>
        <v>PrimalItemConsumable_Egg</v>
      </c>
      <c r="E801" s="8" t="s">
        <v>3818</v>
      </c>
      <c r="F801" s="8" t="s">
        <v>3819</v>
      </c>
      <c r="G801" s="45" t="str">
        <f t="shared" si="101"/>
        <v>cheat gfi PrimalItemConsumable_Egg_Ptero_Fertilized_Nature_C 1 100 0</v>
      </c>
      <c r="H801" s="8" t="s">
        <v>3820</v>
      </c>
      <c r="I801" s="45" t="str">
        <f t="shared" si="102"/>
        <v>EngramEntry_Egg_Ptero_Fertilized_Nature_C</v>
      </c>
      <c r="J801" s="45" t="str">
        <f t="shared" si="103"/>
        <v>OverrideNamedEngramEntries=(EngramEntry_Egg_Ptero_Fertilized_Nature_C,EngramHidden=true)</v>
      </c>
      <c r="K801" s="2"/>
    </row>
    <row r="802">
      <c r="A802" s="7"/>
      <c r="B802" s="7"/>
      <c r="C802" s="46">
        <f t="shared" si="99"/>
        <v>20</v>
      </c>
      <c r="D802" s="46" t="str">
        <f t="shared" si="100"/>
        <v>PrimalItemConsumable_Egg</v>
      </c>
      <c r="E802" s="11" t="s">
        <v>3821</v>
      </c>
      <c r="F802" s="11" t="s">
        <v>3822</v>
      </c>
      <c r="G802" s="46" t="str">
        <f t="shared" si="101"/>
        <v>cheat gfi PrimalItemConsumable_Egg_Quetz_Fertilized_Alpha_C 1 100 0</v>
      </c>
      <c r="H802" s="11" t="s">
        <v>3823</v>
      </c>
      <c r="I802" s="46" t="str">
        <f t="shared" si="102"/>
        <v>EngramEntry_Egg_Quetz_Fertilized_Alpha_C</v>
      </c>
      <c r="J802" s="46" t="str">
        <f t="shared" si="103"/>
        <v>OverrideNamedEngramEntries=(EngramEntry_Egg_Quetz_Fertilized_Alpha_C,EngramHidden=true)</v>
      </c>
      <c r="K802" s="2"/>
    </row>
    <row r="803">
      <c r="A803" s="7"/>
      <c r="B803" s="7"/>
      <c r="C803" s="45">
        <f t="shared" si="99"/>
        <v>20</v>
      </c>
      <c r="D803" s="45" t="str">
        <f t="shared" si="100"/>
        <v>PrimalItemConsumable_Egg</v>
      </c>
      <c r="E803" s="8" t="s">
        <v>3824</v>
      </c>
      <c r="F803" s="8" t="s">
        <v>3825</v>
      </c>
      <c r="G803" s="45" t="str">
        <f t="shared" si="101"/>
        <v>cheat gfi PrimalItemConsumable_Egg_Quetz_Fertilized_Alpha_C_C 1 100 0</v>
      </c>
      <c r="H803" s="8" t="s">
        <v>3826</v>
      </c>
      <c r="I803" s="45" t="str">
        <f t="shared" si="102"/>
        <v>EngramEntry_Egg_Quetz_Fertilized_Alpha_C_C</v>
      </c>
      <c r="J803" s="45" t="str">
        <f t="shared" si="103"/>
        <v>OverrideNamedEngramEntries=(EngramEntry_Egg_Quetz_Fertilized_Alpha_C_C,EngramHidden=true)</v>
      </c>
      <c r="K803" s="2"/>
    </row>
    <row r="804">
      <c r="A804" s="7"/>
      <c r="B804" s="7"/>
      <c r="C804" s="46">
        <f t="shared" si="99"/>
        <v>20</v>
      </c>
      <c r="D804" s="46" t="str">
        <f t="shared" si="100"/>
        <v>PrimalItemConsumable_Egg</v>
      </c>
      <c r="E804" s="11" t="s">
        <v>3827</v>
      </c>
      <c r="F804" s="11" t="s">
        <v>3828</v>
      </c>
      <c r="G804" s="46" t="str">
        <f t="shared" si="101"/>
        <v>cheat gfi PrimalItemConsumable_Egg_Quetz_Fertilized_Alpha_P_C 1 100 0</v>
      </c>
      <c r="H804" s="11" t="s">
        <v>3829</v>
      </c>
      <c r="I804" s="46" t="str">
        <f t="shared" si="102"/>
        <v>EngramEntry_Egg_Quetz_Fertilized_Alpha_P_C</v>
      </c>
      <c r="J804" s="46" t="str">
        <f t="shared" si="103"/>
        <v>OverrideNamedEngramEntries=(EngramEntry_Egg_Quetz_Fertilized_Alpha_P_C,EngramHidden=true)</v>
      </c>
      <c r="K804" s="2"/>
    </row>
    <row r="805">
      <c r="A805" s="7"/>
      <c r="B805" s="7"/>
      <c r="C805" s="45">
        <f t="shared" si="99"/>
        <v>20</v>
      </c>
      <c r="D805" s="45" t="str">
        <f t="shared" si="100"/>
        <v>PrimalItemConsumable_Egg</v>
      </c>
      <c r="E805" s="8" t="s">
        <v>3830</v>
      </c>
      <c r="F805" s="8" t="s">
        <v>3831</v>
      </c>
      <c r="G805" s="45" t="str">
        <f t="shared" si="101"/>
        <v>cheat gfi PrimalItemConsumable_Egg_Quetz_Fertilized_Apex_C 1 100 0</v>
      </c>
      <c r="H805" s="8" t="s">
        <v>3832</v>
      </c>
      <c r="I805" s="45" t="str">
        <f t="shared" si="102"/>
        <v>EngramEntry_Egg_Quetz_Fertilized_Apex_C</v>
      </c>
      <c r="J805" s="45" t="str">
        <f t="shared" si="103"/>
        <v>OverrideNamedEngramEntries=(EngramEntry_Egg_Quetz_Fertilized_Apex_C,EngramHidden=true)</v>
      </c>
      <c r="K805" s="2"/>
    </row>
    <row r="806">
      <c r="A806" s="7"/>
      <c r="B806" s="7"/>
      <c r="C806" s="46">
        <f t="shared" si="99"/>
        <v>20</v>
      </c>
      <c r="D806" s="46" t="str">
        <f t="shared" si="100"/>
        <v>PrimalItemConsumable_Egg</v>
      </c>
      <c r="E806" s="11" t="s">
        <v>3833</v>
      </c>
      <c r="F806" s="11" t="s">
        <v>3834</v>
      </c>
      <c r="G806" s="46" t="str">
        <f t="shared" si="101"/>
        <v>cheat gfi PrimalItemConsumable_Egg_Raptor_Fertilized_Alpha_C 1 100 0</v>
      </c>
      <c r="H806" s="11" t="s">
        <v>3835</v>
      </c>
      <c r="I806" s="46" t="str">
        <f t="shared" si="102"/>
        <v>EngramEntry_Egg_Raptor_Fertilized_Alpha_C</v>
      </c>
      <c r="J806" s="46" t="str">
        <f t="shared" si="103"/>
        <v>OverrideNamedEngramEntries=(EngramEntry_Egg_Raptor_Fertilized_Alpha_C,EngramHidden=true)</v>
      </c>
      <c r="K806" s="2"/>
    </row>
    <row r="807">
      <c r="A807" s="7"/>
      <c r="B807" s="7"/>
      <c r="C807" s="45">
        <f t="shared" si="99"/>
        <v>20</v>
      </c>
      <c r="D807" s="45" t="str">
        <f t="shared" si="100"/>
        <v>PrimalItemConsumable_Egg</v>
      </c>
      <c r="E807" s="8" t="s">
        <v>3836</v>
      </c>
      <c r="F807" s="8" t="s">
        <v>3837</v>
      </c>
      <c r="G807" s="45" t="str">
        <f t="shared" si="101"/>
        <v>cheat gfi PrimalItemConsumable_Egg_Raptor_Fertilized_Alpha_C_C 1 100 0</v>
      </c>
      <c r="H807" s="8" t="s">
        <v>3838</v>
      </c>
      <c r="I807" s="45" t="str">
        <f t="shared" si="102"/>
        <v>EngramEntry_Egg_Raptor_Fertilized_Alpha_C_C</v>
      </c>
      <c r="J807" s="45" t="str">
        <f t="shared" si="103"/>
        <v>OverrideNamedEngramEntries=(EngramEntry_Egg_Raptor_Fertilized_Alpha_C_C,EngramHidden=true)</v>
      </c>
      <c r="K807" s="2"/>
    </row>
    <row r="808">
      <c r="A808" s="7"/>
      <c r="B808" s="7"/>
      <c r="C808" s="46">
        <f t="shared" si="99"/>
        <v>20</v>
      </c>
      <c r="D808" s="46" t="str">
        <f t="shared" si="100"/>
        <v>PrimalItemConsumable_Egg</v>
      </c>
      <c r="E808" s="11" t="s">
        <v>3839</v>
      </c>
      <c r="F808" s="11" t="s">
        <v>3840</v>
      </c>
      <c r="G808" s="46" t="str">
        <f t="shared" si="101"/>
        <v>cheat gfi PrimalItemConsumable_Egg_Raptor_Fertilized_Alpha_P_C 1 100 0</v>
      </c>
      <c r="H808" s="11" t="s">
        <v>3841</v>
      </c>
      <c r="I808" s="46" t="str">
        <f t="shared" si="102"/>
        <v>EngramEntry_Egg_Raptor_Fertilized_Alpha_P_C</v>
      </c>
      <c r="J808" s="46" t="str">
        <f t="shared" si="103"/>
        <v>OverrideNamedEngramEntries=(EngramEntry_Egg_Raptor_Fertilized_Alpha_P_C,EngramHidden=true)</v>
      </c>
      <c r="K808" s="2"/>
    </row>
    <row r="809">
      <c r="A809" s="7"/>
      <c r="B809" s="7"/>
      <c r="C809" s="45">
        <f t="shared" si="99"/>
        <v>20</v>
      </c>
      <c r="D809" s="45" t="str">
        <f t="shared" si="100"/>
        <v>PrimalItemConsumable_Egg</v>
      </c>
      <c r="E809" s="8" t="s">
        <v>3842</v>
      </c>
      <c r="F809" s="8" t="s">
        <v>3843</v>
      </c>
      <c r="G809" s="45" t="str">
        <f t="shared" si="101"/>
        <v>cheat gfi PrimalItemConsumable_Egg_Raptor_Fertilized_Apex_C 1 100 0</v>
      </c>
      <c r="H809" s="8" t="s">
        <v>3844</v>
      </c>
      <c r="I809" s="45" t="str">
        <f t="shared" si="102"/>
        <v>EngramEntry_Egg_Raptor_Fertilized_Apex_C</v>
      </c>
      <c r="J809" s="45" t="str">
        <f t="shared" si="103"/>
        <v>OverrideNamedEngramEntries=(EngramEntry_Egg_Raptor_Fertilized_Apex_C,EngramHidden=true)</v>
      </c>
      <c r="K809" s="2"/>
    </row>
    <row r="810">
      <c r="A810" s="7"/>
      <c r="B810" s="7"/>
      <c r="C810" s="46">
        <f t="shared" si="99"/>
        <v>20</v>
      </c>
      <c r="D810" s="46" t="str">
        <f t="shared" si="100"/>
        <v>PrimalItemConsumable_Egg</v>
      </c>
      <c r="E810" s="11" t="s">
        <v>3845</v>
      </c>
      <c r="F810" s="11" t="s">
        <v>3846</v>
      </c>
      <c r="G810" s="46" t="str">
        <f t="shared" si="101"/>
        <v>cheat gfi PrimalItemConsumable_Egg_Raptor_Fertilized_Electric_C 1 100 0</v>
      </c>
      <c r="H810" s="11" t="s">
        <v>3847</v>
      </c>
      <c r="I810" s="46" t="str">
        <f t="shared" si="102"/>
        <v>EngramEntry_Egg_Raptor_Fertilized_Electric_C</v>
      </c>
      <c r="J810" s="46" t="str">
        <f t="shared" si="103"/>
        <v>OverrideNamedEngramEntries=(EngramEntry_Egg_Raptor_Fertilized_Electric_C,EngramHidden=true)</v>
      </c>
      <c r="K810" s="2"/>
    </row>
    <row r="811">
      <c r="A811" s="7"/>
      <c r="B811" s="7"/>
      <c r="C811" s="45">
        <f t="shared" si="99"/>
        <v>20</v>
      </c>
      <c r="D811" s="45" t="str">
        <f t="shared" si="100"/>
        <v>PrimalItemConsumable_Egg</v>
      </c>
      <c r="E811" s="8" t="s">
        <v>3848</v>
      </c>
      <c r="F811" s="8" t="s">
        <v>3849</v>
      </c>
      <c r="G811" s="45" t="str">
        <f t="shared" si="101"/>
        <v>cheat gfi PrimalItemConsumable_Egg_Raptor_Fertilized_Volcanic_C 1 100 0</v>
      </c>
      <c r="H811" s="8" t="s">
        <v>3850</v>
      </c>
      <c r="I811" s="45" t="str">
        <f t="shared" si="102"/>
        <v>EngramEntry_Egg_Raptor_Fertilized_Volcanic_C</v>
      </c>
      <c r="J811" s="45" t="str">
        <f t="shared" si="103"/>
        <v>OverrideNamedEngramEntries=(EngramEntry_Egg_Raptor_Fertilized_Volcanic_C,EngramHidden=true)</v>
      </c>
      <c r="K811" s="2"/>
    </row>
    <row r="812">
      <c r="A812" s="7"/>
      <c r="B812" s="7"/>
      <c r="C812" s="46">
        <f t="shared" si="99"/>
        <v>20</v>
      </c>
      <c r="D812" s="46" t="str">
        <f t="shared" si="100"/>
        <v>PrimalItemConsumable_Egg</v>
      </c>
      <c r="E812" s="11" t="s">
        <v>3851</v>
      </c>
      <c r="F812" s="11" t="s">
        <v>3852</v>
      </c>
      <c r="G812" s="46" t="str">
        <f t="shared" si="101"/>
        <v>cheat gfi PrimalItemConsumable_Egg_Rex_Fertilized_Alpha_C 1 100 0</v>
      </c>
      <c r="H812" s="11" t="s">
        <v>3853</v>
      </c>
      <c r="I812" s="46" t="str">
        <f t="shared" si="102"/>
        <v>EngramEntry_Egg_Rex_Fertilized_Alpha_C</v>
      </c>
      <c r="J812" s="46" t="str">
        <f t="shared" si="103"/>
        <v>OverrideNamedEngramEntries=(EngramEntry_Egg_Rex_Fertilized_Alpha_C,EngramHidden=true)</v>
      </c>
      <c r="K812" s="2"/>
    </row>
    <row r="813">
      <c r="A813" s="7"/>
      <c r="B813" s="7"/>
      <c r="C813" s="45">
        <f t="shared" si="99"/>
        <v>20</v>
      </c>
      <c r="D813" s="45" t="str">
        <f t="shared" si="100"/>
        <v>PrimalItemConsumable_Egg</v>
      </c>
      <c r="E813" s="8" t="s">
        <v>3854</v>
      </c>
      <c r="F813" s="8" t="s">
        <v>3855</v>
      </c>
      <c r="G813" s="45" t="str">
        <f t="shared" si="101"/>
        <v>cheat gfi PrimalItemConsumable_Egg_Rex_Fertilized_Alpha_C_C 1 100 0</v>
      </c>
      <c r="H813" s="8" t="s">
        <v>3856</v>
      </c>
      <c r="I813" s="45" t="str">
        <f t="shared" si="102"/>
        <v>EngramEntry_Egg_Rex_Fertilized_Alpha_C_C</v>
      </c>
      <c r="J813" s="45" t="str">
        <f t="shared" si="103"/>
        <v>OverrideNamedEngramEntries=(EngramEntry_Egg_Rex_Fertilized_Alpha_C_C,EngramHidden=true)</v>
      </c>
      <c r="K813" s="2"/>
    </row>
    <row r="814">
      <c r="A814" s="7"/>
      <c r="B814" s="7"/>
      <c r="C814" s="46">
        <f t="shared" si="99"/>
        <v>20</v>
      </c>
      <c r="D814" s="46" t="str">
        <f t="shared" si="100"/>
        <v>PrimalItemConsumable_Egg</v>
      </c>
      <c r="E814" s="11" t="s">
        <v>3857</v>
      </c>
      <c r="F814" s="11" t="s">
        <v>3858</v>
      </c>
      <c r="G814" s="46" t="str">
        <f t="shared" si="101"/>
        <v>cheat gfi PrimalItemConsumable_Egg_Rex_Fertilized_Alpha_P_C 1 100 0</v>
      </c>
      <c r="H814" s="11" t="s">
        <v>3859</v>
      </c>
      <c r="I814" s="46" t="str">
        <f t="shared" si="102"/>
        <v>EngramEntry_Egg_Rex_Fertilized_Alpha_P_C</v>
      </c>
      <c r="J814" s="46" t="str">
        <f t="shared" si="103"/>
        <v>OverrideNamedEngramEntries=(EngramEntry_Egg_Rex_Fertilized_Alpha_P_C,EngramHidden=true)</v>
      </c>
      <c r="K814" s="2"/>
    </row>
    <row r="815">
      <c r="A815" s="7"/>
      <c r="B815" s="7"/>
      <c r="C815" s="45">
        <f t="shared" si="99"/>
        <v>20</v>
      </c>
      <c r="D815" s="45" t="str">
        <f t="shared" si="100"/>
        <v>PrimalItemConsumable_Egg</v>
      </c>
      <c r="E815" s="8" t="s">
        <v>3860</v>
      </c>
      <c r="F815" s="8" t="s">
        <v>3861</v>
      </c>
      <c r="G815" s="45" t="str">
        <f t="shared" si="101"/>
        <v>cheat gfi PrimalItemConsumable_Egg_Rex_Fertilized_Apex_C 1 100 0</v>
      </c>
      <c r="H815" s="8" t="s">
        <v>3862</v>
      </c>
      <c r="I815" s="45" t="str">
        <f t="shared" si="102"/>
        <v>EngramEntry_Egg_Rex_Fertilized_Apex_C</v>
      </c>
      <c r="J815" s="45" t="str">
        <f t="shared" si="103"/>
        <v>OverrideNamedEngramEntries=(EngramEntry_Egg_Rex_Fertilized_Apex_C,EngramHidden=true)</v>
      </c>
      <c r="K815" s="2"/>
    </row>
    <row r="816">
      <c r="A816" s="7"/>
      <c r="B816" s="7"/>
      <c r="C816" s="46">
        <f t="shared" si="99"/>
        <v>20</v>
      </c>
      <c r="D816" s="46" t="str">
        <f t="shared" si="100"/>
        <v>PrimalItemConsumable_Egg</v>
      </c>
      <c r="E816" s="11" t="s">
        <v>3863</v>
      </c>
      <c r="F816" s="11" t="s">
        <v>3864</v>
      </c>
      <c r="G816" s="46" t="str">
        <f t="shared" si="101"/>
        <v>cheat gfi PrimalItemConsumable_Egg_Rex_Fertilized_Beta_C 1 100 0</v>
      </c>
      <c r="H816" s="11" t="s">
        <v>3865</v>
      </c>
      <c r="I816" s="46" t="str">
        <f t="shared" si="102"/>
        <v>EngramEntry_Egg_Rex_Fertilized_Beta_C</v>
      </c>
      <c r="J816" s="46" t="str">
        <f t="shared" si="103"/>
        <v>OverrideNamedEngramEntries=(EngramEntry_Egg_Rex_Fertilized_Beta_C,EngramHidden=true)</v>
      </c>
      <c r="K816" s="2"/>
    </row>
    <row r="817">
      <c r="A817" s="7"/>
      <c r="B817" s="7"/>
      <c r="C817" s="45">
        <f t="shared" si="99"/>
        <v>20</v>
      </c>
      <c r="D817" s="45" t="str">
        <f t="shared" si="100"/>
        <v>PrimalItemConsumable_Egg</v>
      </c>
      <c r="E817" s="8" t="s">
        <v>3866</v>
      </c>
      <c r="F817" s="8" t="s">
        <v>3867</v>
      </c>
      <c r="G817" s="45" t="str">
        <f t="shared" si="101"/>
        <v>cheat gfi PrimalItemConsumable_Egg_Rex_Fertilized_Bionic_C 1 100 0</v>
      </c>
      <c r="H817" s="8" t="s">
        <v>3868</v>
      </c>
      <c r="I817" s="45" t="str">
        <f t="shared" si="102"/>
        <v>EngramEntry_Egg_Rex_Fertilized_Bionic_C</v>
      </c>
      <c r="J817" s="45" t="str">
        <f t="shared" si="103"/>
        <v>OverrideNamedEngramEntries=(EngramEntry_Egg_Rex_Fertilized_Bionic_C,EngramHidden=true)</v>
      </c>
      <c r="K817" s="2"/>
    </row>
    <row r="818">
      <c r="A818" s="7"/>
      <c r="B818" s="7"/>
      <c r="C818" s="46">
        <f t="shared" si="99"/>
        <v>20</v>
      </c>
      <c r="D818" s="46" t="str">
        <f t="shared" si="100"/>
        <v>PrimalItemConsumable_Egg</v>
      </c>
      <c r="E818" s="11" t="s">
        <v>3869</v>
      </c>
      <c r="F818" s="11" t="s">
        <v>3870</v>
      </c>
      <c r="G818" s="46" t="str">
        <f t="shared" si="101"/>
        <v>cheat gfi PrimalItemConsumable_Egg_Rex_Fertilized_Electric_C 1 100 0</v>
      </c>
      <c r="H818" s="11" t="s">
        <v>3871</v>
      </c>
      <c r="I818" s="46" t="str">
        <f t="shared" si="102"/>
        <v>EngramEntry_Egg_Rex_Fertilized_Electric_C</v>
      </c>
      <c r="J818" s="46" t="str">
        <f t="shared" si="103"/>
        <v>OverrideNamedEngramEntries=(EngramEntry_Egg_Rex_Fertilized_Electric_C,EngramHidden=true)</v>
      </c>
      <c r="K818" s="2"/>
    </row>
    <row r="819">
      <c r="A819" s="7"/>
      <c r="B819" s="7"/>
      <c r="C819" s="45">
        <f t="shared" si="99"/>
        <v>20</v>
      </c>
      <c r="D819" s="45" t="str">
        <f t="shared" si="100"/>
        <v>PrimalItemConsumable_Egg</v>
      </c>
      <c r="E819" s="8" t="s">
        <v>3872</v>
      </c>
      <c r="F819" s="8" t="s">
        <v>3873</v>
      </c>
      <c r="G819" s="45" t="str">
        <f t="shared" si="101"/>
        <v>cheat gfi PrimalItemConsumable_Egg_Rex_Fertilized_Hydro_C 1 100 0</v>
      </c>
      <c r="H819" s="8" t="s">
        <v>3874</v>
      </c>
      <c r="I819" s="45" t="str">
        <f t="shared" si="102"/>
        <v>EngramEntry_Egg_Rex_Fertilized_Hydro_C</v>
      </c>
      <c r="J819" s="45" t="str">
        <f t="shared" si="103"/>
        <v>OverrideNamedEngramEntries=(EngramEntry_Egg_Rex_Fertilized_Hydro_C,EngramHidden=true)</v>
      </c>
      <c r="K819" s="2"/>
    </row>
    <row r="820">
      <c r="A820" s="7"/>
      <c r="B820" s="7"/>
      <c r="C820" s="46">
        <f t="shared" si="99"/>
        <v>20</v>
      </c>
      <c r="D820" s="46" t="str">
        <f t="shared" si="100"/>
        <v>PrimalItemConsumable_Egg</v>
      </c>
      <c r="E820" s="11" t="s">
        <v>3875</v>
      </c>
      <c r="F820" s="11" t="s">
        <v>3876</v>
      </c>
      <c r="G820" s="46" t="str">
        <f t="shared" si="101"/>
        <v>cheat gfi PrimalItemConsumable_Egg_Rex_Fertilized_Volcanic_C 1 100 0</v>
      </c>
      <c r="H820" s="11" t="s">
        <v>3877</v>
      </c>
      <c r="I820" s="46" t="str">
        <f t="shared" si="102"/>
        <v>EngramEntry_Egg_Rex_Fertilized_Volcanic_C</v>
      </c>
      <c r="J820" s="46" t="str">
        <f t="shared" si="103"/>
        <v>OverrideNamedEngramEntries=(EngramEntry_Egg_Rex_Fertilized_Volcanic_C,EngramHidden=true)</v>
      </c>
      <c r="K820" s="2"/>
    </row>
    <row r="821">
      <c r="A821" s="7"/>
      <c r="B821" s="7"/>
      <c r="C821" s="45">
        <f t="shared" si="99"/>
        <v>20</v>
      </c>
      <c r="D821" s="45" t="str">
        <f t="shared" si="100"/>
        <v>PrimalItemConsumable_Egg</v>
      </c>
      <c r="E821" s="8" t="s">
        <v>3878</v>
      </c>
      <c r="F821" s="8" t="s">
        <v>3879</v>
      </c>
      <c r="G821" s="45" t="str">
        <f t="shared" si="101"/>
        <v>cheat gfi PrimalItemConsumable_Egg_Sarco_Fertilized_Alpha_C 1 100 0</v>
      </c>
      <c r="H821" s="8" t="s">
        <v>3880</v>
      </c>
      <c r="I821" s="45" t="str">
        <f t="shared" si="102"/>
        <v>EngramEntry_Egg_Sarco_Fertilized_Alpha_C</v>
      </c>
      <c r="J821" s="45" t="str">
        <f t="shared" si="103"/>
        <v>OverrideNamedEngramEntries=(EngramEntry_Egg_Sarco_Fertilized_Alpha_C,EngramHidden=true)</v>
      </c>
      <c r="K821" s="2"/>
    </row>
    <row r="822">
      <c r="A822" s="7"/>
      <c r="B822" s="7"/>
      <c r="C822" s="46">
        <f t="shared" si="99"/>
        <v>20</v>
      </c>
      <c r="D822" s="46" t="str">
        <f t="shared" si="100"/>
        <v>PrimalItemConsumable_Egg</v>
      </c>
      <c r="E822" s="11" t="s">
        <v>3881</v>
      </c>
      <c r="F822" s="11" t="s">
        <v>3882</v>
      </c>
      <c r="G822" s="46" t="str">
        <f t="shared" si="101"/>
        <v>cheat gfi PrimalItemConsumable_Egg_Sarco_Fertilized_Alpha_C_C 1 100 0</v>
      </c>
      <c r="H822" s="11" t="s">
        <v>3883</v>
      </c>
      <c r="I822" s="46" t="str">
        <f t="shared" si="102"/>
        <v>EngramEntry_Egg_Sarco_Fertilized_Alpha_C_C</v>
      </c>
      <c r="J822" s="46" t="str">
        <f t="shared" si="103"/>
        <v>OverrideNamedEngramEntries=(EngramEntry_Egg_Sarco_Fertilized_Alpha_C_C,EngramHidden=true)</v>
      </c>
      <c r="K822" s="2"/>
    </row>
    <row r="823">
      <c r="A823" s="7"/>
      <c r="B823" s="7"/>
      <c r="C823" s="45">
        <f t="shared" si="99"/>
        <v>20</v>
      </c>
      <c r="D823" s="45" t="str">
        <f t="shared" si="100"/>
        <v>PrimalItemConsumable_Egg</v>
      </c>
      <c r="E823" s="8" t="s">
        <v>3884</v>
      </c>
      <c r="F823" s="8" t="s">
        <v>3885</v>
      </c>
      <c r="G823" s="45" t="str">
        <f t="shared" si="101"/>
        <v>cheat gfi PrimalItemConsumable_Egg_Sarco_Fertilized_Alpha_P_C 1 100 0</v>
      </c>
      <c r="H823" s="8" t="s">
        <v>3886</v>
      </c>
      <c r="I823" s="45" t="str">
        <f t="shared" si="102"/>
        <v>EngramEntry_Egg_Sarco_Fertilized_Alpha_P_C</v>
      </c>
      <c r="J823" s="45" t="str">
        <f t="shared" si="103"/>
        <v>OverrideNamedEngramEntries=(EngramEntry_Egg_Sarco_Fertilized_Alpha_P_C,EngramHidden=true)</v>
      </c>
      <c r="K823" s="2"/>
    </row>
    <row r="824">
      <c r="A824" s="7"/>
      <c r="B824" s="7"/>
      <c r="C824" s="46">
        <f t="shared" si="99"/>
        <v>20</v>
      </c>
      <c r="D824" s="46" t="str">
        <f t="shared" si="100"/>
        <v>PrimalItemConsumable_Egg</v>
      </c>
      <c r="E824" s="11" t="s">
        <v>3887</v>
      </c>
      <c r="F824" s="11" t="s">
        <v>3888</v>
      </c>
      <c r="G824" s="46" t="str">
        <f t="shared" si="101"/>
        <v>cheat gfi PrimalItemConsumable_Egg_Sarco_Fertilized_Apex_C 1 100 0</v>
      </c>
      <c r="H824" s="11" t="s">
        <v>3889</v>
      </c>
      <c r="I824" s="46" t="str">
        <f t="shared" si="102"/>
        <v>EngramEntry_Egg_Sarco_Fertilized_Apex_C</v>
      </c>
      <c r="J824" s="46" t="str">
        <f t="shared" si="103"/>
        <v>OverrideNamedEngramEntries=(EngramEntry_Egg_Sarco_Fertilized_Apex_C,EngramHidden=true)</v>
      </c>
      <c r="K824" s="2"/>
    </row>
    <row r="825">
      <c r="A825" s="7"/>
      <c r="B825" s="7"/>
      <c r="C825" s="45">
        <f t="shared" si="99"/>
        <v>20</v>
      </c>
      <c r="D825" s="45" t="str">
        <f t="shared" si="100"/>
        <v>PrimalItemConsumable_Egg</v>
      </c>
      <c r="E825" s="8" t="s">
        <v>3890</v>
      </c>
      <c r="F825" s="8" t="s">
        <v>3891</v>
      </c>
      <c r="G825" s="45" t="str">
        <f t="shared" si="101"/>
        <v>cheat gfi PrimalItemConsumable_Egg_Sarco_Fertilized_Atlantic_C 1 100 0</v>
      </c>
      <c r="H825" s="8" t="s">
        <v>3892</v>
      </c>
      <c r="I825" s="45" t="str">
        <f t="shared" si="102"/>
        <v>EngramEntry_Egg_Sarco_Fertilized_Atlantic_C</v>
      </c>
      <c r="J825" s="45" t="str">
        <f t="shared" si="103"/>
        <v>OverrideNamedEngramEntries=(EngramEntry_Egg_Sarco_Fertilized_Atlantic_C,EngramHidden=true)</v>
      </c>
      <c r="K825" s="2"/>
    </row>
    <row r="826">
      <c r="A826" s="7"/>
      <c r="B826" s="7"/>
      <c r="C826" s="46">
        <f t="shared" si="99"/>
        <v>20</v>
      </c>
      <c r="D826" s="46" t="str">
        <f t="shared" si="100"/>
        <v>PrimalItemConsumable_Egg</v>
      </c>
      <c r="E826" s="11" t="s">
        <v>3893</v>
      </c>
      <c r="F826" s="11" t="s">
        <v>3894</v>
      </c>
      <c r="G826" s="46" t="str">
        <f t="shared" si="101"/>
        <v>cheat gfi PrimalItemConsumable_Egg_Sarco_Fertilized_Beta_C 1 100 0</v>
      </c>
      <c r="H826" s="11" t="s">
        <v>3895</v>
      </c>
      <c r="I826" s="46" t="str">
        <f t="shared" si="102"/>
        <v>EngramEntry_Egg_Sarco_Fertilized_Beta_C</v>
      </c>
      <c r="J826" s="46" t="str">
        <f t="shared" si="103"/>
        <v>OverrideNamedEngramEntries=(EngramEntry_Egg_Sarco_Fertilized_Beta_C,EngramHidden=true)</v>
      </c>
      <c r="K826" s="2"/>
    </row>
    <row r="827">
      <c r="A827" s="7"/>
      <c r="B827" s="7"/>
      <c r="C827" s="45">
        <f t="shared" si="99"/>
        <v>20</v>
      </c>
      <c r="D827" s="45" t="str">
        <f t="shared" si="100"/>
        <v>PrimalItemConsumable_Egg</v>
      </c>
      <c r="E827" s="8" t="s">
        <v>3896</v>
      </c>
      <c r="F827" s="8" t="s">
        <v>3897</v>
      </c>
      <c r="G827" s="45" t="str">
        <f t="shared" si="101"/>
        <v>cheat gfi PrimalItemConsumable_Egg_Sarco_Fertilized_Hydro_C 1 100 0</v>
      </c>
      <c r="H827" s="8" t="s">
        <v>3898</v>
      </c>
      <c r="I827" s="45" t="str">
        <f t="shared" si="102"/>
        <v>EngramEntry_Egg_Sarco_Fertilized_Hydro_C</v>
      </c>
      <c r="J827" s="45" t="str">
        <f t="shared" si="103"/>
        <v>OverrideNamedEngramEntries=(EngramEntry_Egg_Sarco_Fertilized_Hydro_C,EngramHidden=true)</v>
      </c>
      <c r="K827" s="2"/>
    </row>
    <row r="828">
      <c r="A828" s="7"/>
      <c r="B828" s="7"/>
      <c r="C828" s="46">
        <f t="shared" si="99"/>
        <v>20</v>
      </c>
      <c r="D828" s="46" t="str">
        <f t="shared" si="100"/>
        <v>PrimalItemConsumable_Egg</v>
      </c>
      <c r="E828" s="11" t="s">
        <v>3899</v>
      </c>
      <c r="F828" s="11" t="s">
        <v>3900</v>
      </c>
      <c r="G828" s="46" t="str">
        <f t="shared" si="101"/>
        <v>cheat gfi PrimalItemConsumable_Egg_Sarco_Fertilized_Pacific_C 1 100 0</v>
      </c>
      <c r="H828" s="11" t="s">
        <v>3901</v>
      </c>
      <c r="I828" s="46" t="str">
        <f t="shared" si="102"/>
        <v>EngramEntry_Egg_Sarco_Fertilized_Pacific_C</v>
      </c>
      <c r="J828" s="46" t="str">
        <f t="shared" si="103"/>
        <v>OverrideNamedEngramEntries=(EngramEntry_Egg_Sarco_Fertilized_Pacific_C,EngramHidden=true)</v>
      </c>
      <c r="K828" s="2"/>
    </row>
    <row r="829">
      <c r="A829" s="7"/>
      <c r="B829" s="7"/>
      <c r="C829" s="45">
        <f t="shared" si="99"/>
        <v>20</v>
      </c>
      <c r="D829" s="45" t="str">
        <f t="shared" si="100"/>
        <v>PrimalItemConsumable_Egg</v>
      </c>
      <c r="E829" s="8" t="s">
        <v>3902</v>
      </c>
      <c r="F829" s="8" t="s">
        <v>3903</v>
      </c>
      <c r="G829" s="45" t="str">
        <f t="shared" si="101"/>
        <v>cheat gfi PrimalItemConsumable_Egg_Scorpion_Fertilized_Alpha_C 1 100 0</v>
      </c>
      <c r="H829" s="8" t="s">
        <v>3904</v>
      </c>
      <c r="I829" s="45" t="str">
        <f t="shared" si="102"/>
        <v>EngramEntry_Egg_Scorpion_Fertilized_Alpha_C</v>
      </c>
      <c r="J829" s="45" t="str">
        <f t="shared" si="103"/>
        <v>OverrideNamedEngramEntries=(EngramEntry_Egg_Scorpion_Fertilized_Alpha_C,EngramHidden=true)</v>
      </c>
      <c r="K829" s="2"/>
    </row>
    <row r="830">
      <c r="A830" s="7"/>
      <c r="B830" s="7"/>
      <c r="C830" s="46">
        <f t="shared" si="99"/>
        <v>20</v>
      </c>
      <c r="D830" s="46" t="str">
        <f t="shared" si="100"/>
        <v>PrimalItemConsumable_Egg</v>
      </c>
      <c r="E830" s="11" t="s">
        <v>3905</v>
      </c>
      <c r="F830" s="11" t="s">
        <v>3906</v>
      </c>
      <c r="G830" s="46" t="str">
        <f t="shared" si="101"/>
        <v>cheat gfi PrimalItemConsumable_Egg_Scorpion_Fertilized_Alpha_C_C 1 100 0</v>
      </c>
      <c r="H830" s="11" t="s">
        <v>3907</v>
      </c>
      <c r="I830" s="46" t="str">
        <f t="shared" si="102"/>
        <v>EngramEntry_Egg_Scorpion_Fertilized_Alpha_C_C</v>
      </c>
      <c r="J830" s="46" t="str">
        <f t="shared" si="103"/>
        <v>OverrideNamedEngramEntries=(EngramEntry_Egg_Scorpion_Fertilized_Alpha_C_C,EngramHidden=true)</v>
      </c>
      <c r="K830" s="2"/>
    </row>
    <row r="831">
      <c r="A831" s="7"/>
      <c r="B831" s="7"/>
      <c r="C831" s="45">
        <f t="shared" si="99"/>
        <v>20</v>
      </c>
      <c r="D831" s="45" t="str">
        <f t="shared" si="100"/>
        <v>PrimalItemConsumable_Egg</v>
      </c>
      <c r="E831" s="8" t="s">
        <v>3908</v>
      </c>
      <c r="F831" s="8" t="s">
        <v>3909</v>
      </c>
      <c r="G831" s="45" t="str">
        <f t="shared" si="101"/>
        <v>cheat gfi PrimalItemConsumable_Egg_Scorpion_Fertilized_Alpha_P_C 1 100 0</v>
      </c>
      <c r="H831" s="8" t="s">
        <v>3910</v>
      </c>
      <c r="I831" s="45" t="str">
        <f t="shared" si="102"/>
        <v>EngramEntry_Egg_Scorpion_Fertilized_Alpha_P_C</v>
      </c>
      <c r="J831" s="45" t="str">
        <f t="shared" si="103"/>
        <v>OverrideNamedEngramEntries=(EngramEntry_Egg_Scorpion_Fertilized_Alpha_P_C,EngramHidden=true)</v>
      </c>
      <c r="K831" s="2"/>
    </row>
    <row r="832">
      <c r="A832" s="7"/>
      <c r="B832" s="7"/>
      <c r="C832" s="46">
        <f t="shared" si="99"/>
        <v>20</v>
      </c>
      <c r="D832" s="46" t="str">
        <f t="shared" si="100"/>
        <v>PrimalItemConsumable_Egg</v>
      </c>
      <c r="E832" s="11" t="s">
        <v>3911</v>
      </c>
      <c r="F832" s="11" t="s">
        <v>3912</v>
      </c>
      <c r="G832" s="46" t="str">
        <f t="shared" si="101"/>
        <v>cheat gfi PrimalItemConsumable_Egg_Scorpion_Fertilized_Apex_C 1 100 0</v>
      </c>
      <c r="H832" s="11" t="s">
        <v>3913</v>
      </c>
      <c r="I832" s="46" t="str">
        <f t="shared" si="102"/>
        <v>EngramEntry_Egg_Scorpion_Fertilized_Apex_C</v>
      </c>
      <c r="J832" s="46" t="str">
        <f t="shared" si="103"/>
        <v>OverrideNamedEngramEntries=(EngramEntry_Egg_Scorpion_Fertilized_Apex_C,EngramHidden=true)</v>
      </c>
      <c r="K832" s="2"/>
    </row>
    <row r="833">
      <c r="A833" s="7"/>
      <c r="B833" s="7"/>
      <c r="C833" s="45">
        <f t="shared" si="99"/>
        <v>20</v>
      </c>
      <c r="D833" s="45" t="str">
        <f t="shared" si="100"/>
        <v>PrimalItemConsumable_Egg</v>
      </c>
      <c r="E833" s="8" t="s">
        <v>3914</v>
      </c>
      <c r="F833" s="8" t="s">
        <v>3915</v>
      </c>
      <c r="G833" s="45" t="str">
        <f t="shared" si="101"/>
        <v>cheat gfi PrimalItemConsumable_Egg_Spider_Fertilized_Alpha_C 1 100 0</v>
      </c>
      <c r="H833" s="8" t="s">
        <v>3916</v>
      </c>
      <c r="I833" s="45" t="str">
        <f t="shared" si="102"/>
        <v>EngramEntry_Egg_Spider_Fertilized_Alpha_C</v>
      </c>
      <c r="J833" s="45" t="str">
        <f t="shared" si="103"/>
        <v>OverrideNamedEngramEntries=(EngramEntry_Egg_Spider_Fertilized_Alpha_C,EngramHidden=true)</v>
      </c>
      <c r="K833" s="2"/>
    </row>
    <row r="834">
      <c r="A834" s="7"/>
      <c r="B834" s="7"/>
      <c r="C834" s="46">
        <f t="shared" si="99"/>
        <v>20</v>
      </c>
      <c r="D834" s="46" t="str">
        <f t="shared" si="100"/>
        <v>PrimalItemConsumable_Egg</v>
      </c>
      <c r="E834" s="11" t="s">
        <v>3917</v>
      </c>
      <c r="F834" s="11" t="s">
        <v>3918</v>
      </c>
      <c r="G834" s="46" t="str">
        <f t="shared" si="101"/>
        <v>cheat gfi PrimalItemConsumable_Egg_Spider_Fertilized_Alpha_C_C 1 100 0</v>
      </c>
      <c r="H834" s="11" t="s">
        <v>3919</v>
      </c>
      <c r="I834" s="46" t="str">
        <f t="shared" si="102"/>
        <v>EngramEntry_Egg_Spider_Fertilized_Alpha_C_C</v>
      </c>
      <c r="J834" s="46" t="str">
        <f t="shared" si="103"/>
        <v>OverrideNamedEngramEntries=(EngramEntry_Egg_Spider_Fertilized_Alpha_C_C,EngramHidden=true)</v>
      </c>
      <c r="K834" s="2"/>
    </row>
    <row r="835">
      <c r="A835" s="7"/>
      <c r="B835" s="7"/>
      <c r="C835" s="45">
        <f t="shared" si="99"/>
        <v>20</v>
      </c>
      <c r="D835" s="45" t="str">
        <f t="shared" si="100"/>
        <v>PrimalItemConsumable_Egg</v>
      </c>
      <c r="E835" s="8" t="s">
        <v>3920</v>
      </c>
      <c r="F835" s="8" t="s">
        <v>3921</v>
      </c>
      <c r="G835" s="45" t="str">
        <f t="shared" si="101"/>
        <v>cheat gfi PrimalItemConsumable_Egg_Spider_Fertilized_Alpha_P_C 1 100 0</v>
      </c>
      <c r="H835" s="8" t="s">
        <v>3922</v>
      </c>
      <c r="I835" s="45" t="str">
        <f t="shared" si="102"/>
        <v>EngramEntry_Egg_Spider_Fertilized_Alpha_P_C</v>
      </c>
      <c r="J835" s="45" t="str">
        <f t="shared" si="103"/>
        <v>OverrideNamedEngramEntries=(EngramEntry_Egg_Spider_Fertilized_Alpha_P_C,EngramHidden=true)</v>
      </c>
      <c r="K835" s="2"/>
    </row>
    <row r="836">
      <c r="A836" s="7"/>
      <c r="B836" s="7"/>
      <c r="C836" s="46">
        <f t="shared" si="99"/>
        <v>20</v>
      </c>
      <c r="D836" s="46" t="str">
        <f t="shared" si="100"/>
        <v>PrimalItemConsumable_Egg</v>
      </c>
      <c r="E836" s="11" t="s">
        <v>3923</v>
      </c>
      <c r="F836" s="11" t="s">
        <v>3924</v>
      </c>
      <c r="G836" s="46" t="str">
        <f t="shared" si="101"/>
        <v>cheat gfi PrimalItemConsumable_Egg_Spider_Fertilized_Apex_C 1 100 0</v>
      </c>
      <c r="H836" s="11" t="s">
        <v>3925</v>
      </c>
      <c r="I836" s="46" t="str">
        <f t="shared" si="102"/>
        <v>EngramEntry_Egg_Spider_Fertilized_Apex_C</v>
      </c>
      <c r="J836" s="46" t="str">
        <f t="shared" si="103"/>
        <v>OverrideNamedEngramEntries=(EngramEntry_Egg_Spider_Fertilized_Apex_C,EngramHidden=true)</v>
      </c>
      <c r="K836" s="2"/>
    </row>
    <row r="837">
      <c r="A837" s="7"/>
      <c r="B837" s="7"/>
      <c r="C837" s="45">
        <f t="shared" si="99"/>
        <v>20</v>
      </c>
      <c r="D837" s="45" t="str">
        <f t="shared" si="100"/>
        <v>PrimalItemConsumable_Egg</v>
      </c>
      <c r="E837" s="8" t="s">
        <v>3926</v>
      </c>
      <c r="F837" s="8" t="s">
        <v>3927</v>
      </c>
      <c r="G837" s="45" t="str">
        <f t="shared" si="101"/>
        <v>cheat gfi PrimalItemConsumable_Egg_Spider_Fertilized_Bionic_C 1 100 0</v>
      </c>
      <c r="H837" s="8" t="s">
        <v>3928</v>
      </c>
      <c r="I837" s="45" t="str">
        <f t="shared" si="102"/>
        <v>EngramEntry_Egg_Spider_Fertilized_Bionic_C</v>
      </c>
      <c r="J837" s="45" t="str">
        <f t="shared" si="103"/>
        <v>OverrideNamedEngramEntries=(EngramEntry_Egg_Spider_Fertilized_Bionic_C,EngramHidden=true)</v>
      </c>
      <c r="K837" s="2"/>
    </row>
    <row r="838">
      <c r="A838" s="7"/>
      <c r="B838" s="7"/>
      <c r="C838" s="46">
        <f t="shared" si="99"/>
        <v>20</v>
      </c>
      <c r="D838" s="46" t="str">
        <f t="shared" si="100"/>
        <v>PrimalItemConsumable_Egg</v>
      </c>
      <c r="E838" s="11" t="s">
        <v>3929</v>
      </c>
      <c r="F838" s="11" t="s">
        <v>3930</v>
      </c>
      <c r="G838" s="46" t="str">
        <f t="shared" si="101"/>
        <v>cheat gfi PrimalItemConsumable_Egg_Spider_Fertilized_Electric_C 1 100 0</v>
      </c>
      <c r="H838" s="11" t="s">
        <v>3931</v>
      </c>
      <c r="I838" s="46" t="str">
        <f t="shared" si="102"/>
        <v>EngramEntry_Egg_Spider_Fertilized_Electric_C</v>
      </c>
      <c r="J838" s="46" t="str">
        <f t="shared" si="103"/>
        <v>OverrideNamedEngramEntries=(EngramEntry_Egg_Spider_Fertilized_Electric_C,EngramHidden=true)</v>
      </c>
      <c r="K838" s="2"/>
    </row>
    <row r="839">
      <c r="A839" s="7"/>
      <c r="B839" s="7"/>
      <c r="C839" s="45">
        <f t="shared" si="99"/>
        <v>20</v>
      </c>
      <c r="D839" s="45" t="str">
        <f t="shared" si="100"/>
        <v>PrimalItemConsumable_Egg</v>
      </c>
      <c r="E839" s="8" t="s">
        <v>3932</v>
      </c>
      <c r="F839" s="8" t="s">
        <v>3933</v>
      </c>
      <c r="G839" s="45" t="str">
        <f t="shared" si="101"/>
        <v>cheat gfi PrimalItemConsumable_Egg_SpineCroc_Fertilized_Atlantic_C 1 100 0</v>
      </c>
      <c r="H839" s="8" t="s">
        <v>3934</v>
      </c>
      <c r="I839" s="45" t="str">
        <f t="shared" si="102"/>
        <v>EngramEntry_Egg_SpineCroc_Fertilized_Atlantic_C</v>
      </c>
      <c r="J839" s="45" t="str">
        <f t="shared" si="103"/>
        <v>OverrideNamedEngramEntries=(EngramEntry_Egg_SpineCroc_Fertilized_Atlantic_C,EngramHidden=true)</v>
      </c>
      <c r="K839" s="2"/>
    </row>
    <row r="840">
      <c r="A840" s="7"/>
      <c r="B840" s="7"/>
      <c r="C840" s="46">
        <f t="shared" si="99"/>
        <v>20</v>
      </c>
      <c r="D840" s="46" t="str">
        <f t="shared" si="100"/>
        <v>PrimalItemConsumable_Egg</v>
      </c>
      <c r="E840" s="11" t="s">
        <v>3935</v>
      </c>
      <c r="F840" s="11" t="s">
        <v>3936</v>
      </c>
      <c r="G840" s="46" t="str">
        <f t="shared" si="101"/>
        <v>cheat gfi PrimalItemConsumable_Egg_SpineCroc_Fertilized_Pacific_C 1 100 0</v>
      </c>
      <c r="H840" s="11" t="s">
        <v>3937</v>
      </c>
      <c r="I840" s="46" t="str">
        <f t="shared" si="102"/>
        <v>EngramEntry_Egg_SpineCroc_Fertilized_Pacific_C</v>
      </c>
      <c r="J840" s="46" t="str">
        <f t="shared" si="103"/>
        <v>OverrideNamedEngramEntries=(EngramEntry_Egg_SpineCroc_Fertilized_Pacific_C,EngramHidden=true)</v>
      </c>
      <c r="K840" s="2"/>
    </row>
    <row r="841">
      <c r="A841" s="7"/>
      <c r="B841" s="7"/>
      <c r="C841" s="45">
        <f t="shared" si="99"/>
        <v>20</v>
      </c>
      <c r="D841" s="45" t="str">
        <f t="shared" si="100"/>
        <v>PrimalItemConsumable_Egg</v>
      </c>
      <c r="E841" s="8" t="s">
        <v>3938</v>
      </c>
      <c r="F841" s="8" t="s">
        <v>3939</v>
      </c>
      <c r="G841" s="45" t="str">
        <f t="shared" si="101"/>
        <v>cheat gfi PrimalItemConsumable_Egg_SpineyLizard_Fertilized_Volcanic_C 1 100 0</v>
      </c>
      <c r="H841" s="8" t="s">
        <v>3940</v>
      </c>
      <c r="I841" s="45" t="str">
        <f t="shared" si="102"/>
        <v>EngramEntry_Egg_SpineyLizard_Fertilized_Volcanic_C</v>
      </c>
      <c r="J841" s="45" t="str">
        <f t="shared" si="103"/>
        <v>OverrideNamedEngramEntries=(EngramEntry_Egg_SpineyLizard_Fertilized_Volcanic_C,EngramHidden=true)</v>
      </c>
      <c r="K841" s="2"/>
    </row>
    <row r="842">
      <c r="A842" s="7"/>
      <c r="B842" s="7"/>
      <c r="C842" s="46">
        <f t="shared" si="99"/>
        <v>20</v>
      </c>
      <c r="D842" s="46" t="str">
        <f t="shared" si="100"/>
        <v>PrimalItemConsumable_Egg</v>
      </c>
      <c r="E842" s="11" t="s">
        <v>3941</v>
      </c>
      <c r="F842" s="11" t="s">
        <v>3942</v>
      </c>
      <c r="G842" s="46" t="str">
        <f t="shared" si="101"/>
        <v>cheat gfi PrimalItemConsumable_Egg_Spino_Fertilized_Alpha_C 1 100 0</v>
      </c>
      <c r="H842" s="11" t="s">
        <v>3943</v>
      </c>
      <c r="I842" s="46" t="str">
        <f t="shared" si="102"/>
        <v>EngramEntry_Egg_Spino_Fertilized_Alpha_C</v>
      </c>
      <c r="J842" s="46" t="str">
        <f t="shared" si="103"/>
        <v>OverrideNamedEngramEntries=(EngramEntry_Egg_Spino_Fertilized_Alpha_C,EngramHidden=true)</v>
      </c>
      <c r="K842" s="2"/>
    </row>
    <row r="843">
      <c r="A843" s="7"/>
      <c r="B843" s="7"/>
      <c r="C843" s="45">
        <f t="shared" si="99"/>
        <v>20</v>
      </c>
      <c r="D843" s="45" t="str">
        <f t="shared" si="100"/>
        <v>PrimalItemConsumable_Egg</v>
      </c>
      <c r="E843" s="8" t="s">
        <v>3944</v>
      </c>
      <c r="F843" s="8" t="s">
        <v>3945</v>
      </c>
      <c r="G843" s="45" t="str">
        <f t="shared" si="101"/>
        <v>cheat gfi PrimalItemConsumable_Egg_Spino_Fertilized_Alpha_C_C 1 100 0</v>
      </c>
      <c r="H843" s="8" t="s">
        <v>3946</v>
      </c>
      <c r="I843" s="45" t="str">
        <f t="shared" si="102"/>
        <v>EngramEntry_Egg_Spino_Fertilized_Alpha_C_C</v>
      </c>
      <c r="J843" s="45" t="str">
        <f t="shared" si="103"/>
        <v>OverrideNamedEngramEntries=(EngramEntry_Egg_Spino_Fertilized_Alpha_C_C,EngramHidden=true)</v>
      </c>
      <c r="K843" s="2"/>
    </row>
    <row r="844">
      <c r="A844" s="7"/>
      <c r="B844" s="7"/>
      <c r="C844" s="46">
        <f t="shared" si="99"/>
        <v>20</v>
      </c>
      <c r="D844" s="46" t="str">
        <f t="shared" si="100"/>
        <v>PrimalItemConsumable_Egg</v>
      </c>
      <c r="E844" s="11" t="s">
        <v>3947</v>
      </c>
      <c r="F844" s="11" t="s">
        <v>3948</v>
      </c>
      <c r="G844" s="46" t="str">
        <f t="shared" si="101"/>
        <v>cheat gfi PrimalItemConsumable_Egg_Spino_Fertilized_Alpha_P_C 1 100 0</v>
      </c>
      <c r="H844" s="11" t="s">
        <v>3949</v>
      </c>
      <c r="I844" s="46" t="str">
        <f t="shared" si="102"/>
        <v>EngramEntry_Egg_Spino_Fertilized_Alpha_P_C</v>
      </c>
      <c r="J844" s="46" t="str">
        <f t="shared" si="103"/>
        <v>OverrideNamedEngramEntries=(EngramEntry_Egg_Spino_Fertilized_Alpha_P_C,EngramHidden=true)</v>
      </c>
      <c r="K844" s="2"/>
    </row>
    <row r="845">
      <c r="A845" s="7"/>
      <c r="B845" s="7"/>
      <c r="C845" s="45">
        <f t="shared" si="99"/>
        <v>20</v>
      </c>
      <c r="D845" s="45" t="str">
        <f t="shared" si="100"/>
        <v>PrimalItemConsumable_Egg</v>
      </c>
      <c r="E845" s="8" t="s">
        <v>3950</v>
      </c>
      <c r="F845" s="8" t="s">
        <v>3951</v>
      </c>
      <c r="G845" s="45" t="str">
        <f t="shared" si="101"/>
        <v>cheat gfi PrimalItemConsumable_Egg_Spino_Fertilized_Apex_C 1 100 0</v>
      </c>
      <c r="H845" s="8" t="s">
        <v>3952</v>
      </c>
      <c r="I845" s="45" t="str">
        <f t="shared" si="102"/>
        <v>EngramEntry_Egg_Spino_Fertilized_Apex_C</v>
      </c>
      <c r="J845" s="45" t="str">
        <f t="shared" si="103"/>
        <v>OverrideNamedEngramEntries=(EngramEntry_Egg_Spino_Fertilized_Apex_C,EngramHidden=true)</v>
      </c>
      <c r="K845" s="2"/>
    </row>
    <row r="846">
      <c r="A846" s="7"/>
      <c r="B846" s="7"/>
      <c r="C846" s="46">
        <f t="shared" si="99"/>
        <v>20</v>
      </c>
      <c r="D846" s="46" t="str">
        <f t="shared" si="100"/>
        <v>PrimalItemConsumable_Egg</v>
      </c>
      <c r="E846" s="11" t="s">
        <v>3953</v>
      </c>
      <c r="F846" s="11" t="s">
        <v>3954</v>
      </c>
      <c r="G846" s="46" t="str">
        <f t="shared" si="101"/>
        <v>cheat gfi PrimalItemConsumable_Egg_Spino_Fertilized_Hydro_C 1 100 0</v>
      </c>
      <c r="H846" s="11" t="s">
        <v>3955</v>
      </c>
      <c r="I846" s="46" t="str">
        <f t="shared" si="102"/>
        <v>EngramEntry_Egg_Spino_Fertilized_Hydro_C</v>
      </c>
      <c r="J846" s="46" t="str">
        <f t="shared" si="103"/>
        <v>OverrideNamedEngramEntries=(EngramEntry_Egg_Spino_Fertilized_Hydro_C,EngramHidden=true)</v>
      </c>
      <c r="K846" s="2"/>
    </row>
    <row r="847">
      <c r="A847" s="7"/>
      <c r="B847" s="7"/>
      <c r="C847" s="45">
        <f t="shared" si="99"/>
        <v>20</v>
      </c>
      <c r="D847" s="45" t="str">
        <f t="shared" si="100"/>
        <v>PrimalItemConsumable_Egg</v>
      </c>
      <c r="E847" s="8" t="s">
        <v>3956</v>
      </c>
      <c r="F847" s="8" t="s">
        <v>3957</v>
      </c>
      <c r="G847" s="45" t="str">
        <f t="shared" si="101"/>
        <v>cheat gfi PrimalItemConsumable_Egg_Spino_Fertilized_Volcanic_C 1 100 0</v>
      </c>
      <c r="H847" s="8" t="s">
        <v>3958</v>
      </c>
      <c r="I847" s="45" t="str">
        <f t="shared" si="102"/>
        <v>EngramEntry_Egg_Spino_Fertilized_Volcanic_C</v>
      </c>
      <c r="J847" s="45" t="str">
        <f t="shared" si="103"/>
        <v>OverrideNamedEngramEntries=(EngramEntry_Egg_Spino_Fertilized_Volcanic_C,EngramHidden=true)</v>
      </c>
      <c r="K847" s="2"/>
    </row>
    <row r="848">
      <c r="A848" s="7"/>
      <c r="B848" s="7"/>
      <c r="C848" s="46">
        <f t="shared" si="99"/>
        <v>20</v>
      </c>
      <c r="D848" s="46" t="str">
        <f t="shared" si="100"/>
        <v>PrimalItemConsumable_Egg</v>
      </c>
      <c r="E848" s="11" t="s">
        <v>3959</v>
      </c>
      <c r="F848" s="11" t="s">
        <v>3960</v>
      </c>
      <c r="G848" s="46" t="str">
        <f t="shared" si="101"/>
        <v>cheat gfi PrimalItemConsumable_Egg_Stego_Fertilized_Alpha_C 1 100 0</v>
      </c>
      <c r="H848" s="11" t="s">
        <v>3961</v>
      </c>
      <c r="I848" s="46" t="str">
        <f t="shared" si="102"/>
        <v>EngramEntry_Egg_Stego_Fertilized_Alpha_C</v>
      </c>
      <c r="J848" s="46" t="str">
        <f t="shared" si="103"/>
        <v>OverrideNamedEngramEntries=(EngramEntry_Egg_Stego_Fertilized_Alpha_C,EngramHidden=true)</v>
      </c>
      <c r="K848" s="2"/>
    </row>
    <row r="849">
      <c r="A849" s="7"/>
      <c r="B849" s="7"/>
      <c r="C849" s="45">
        <f t="shared" si="99"/>
        <v>20</v>
      </c>
      <c r="D849" s="45" t="str">
        <f t="shared" si="100"/>
        <v>PrimalItemConsumable_Egg</v>
      </c>
      <c r="E849" s="8" t="s">
        <v>3962</v>
      </c>
      <c r="F849" s="8" t="s">
        <v>3963</v>
      </c>
      <c r="G849" s="45" t="str">
        <f t="shared" si="101"/>
        <v>cheat gfi PrimalItemConsumable_Egg_Stego_Fertilized_Alpha_C_C 1 100 0</v>
      </c>
      <c r="H849" s="8" t="s">
        <v>3964</v>
      </c>
      <c r="I849" s="45" t="str">
        <f t="shared" si="102"/>
        <v>EngramEntry_Egg_Stego_Fertilized_Alpha_C_C</v>
      </c>
      <c r="J849" s="45" t="str">
        <f t="shared" si="103"/>
        <v>OverrideNamedEngramEntries=(EngramEntry_Egg_Stego_Fertilized_Alpha_C_C,EngramHidden=true)</v>
      </c>
      <c r="K849" s="2"/>
    </row>
    <row r="850">
      <c r="A850" s="7"/>
      <c r="B850" s="7"/>
      <c r="C850" s="46">
        <f t="shared" si="99"/>
        <v>20</v>
      </c>
      <c r="D850" s="46" t="str">
        <f t="shared" si="100"/>
        <v>PrimalItemConsumable_Egg</v>
      </c>
      <c r="E850" s="11" t="s">
        <v>3965</v>
      </c>
      <c r="F850" s="11" t="s">
        <v>3966</v>
      </c>
      <c r="G850" s="46" t="str">
        <f t="shared" si="101"/>
        <v>cheat gfi PrimalItemConsumable_Egg_Stego_Fertilized_Alpha_P_C 1 100 0</v>
      </c>
      <c r="H850" s="11" t="s">
        <v>3967</v>
      </c>
      <c r="I850" s="46" t="str">
        <f t="shared" si="102"/>
        <v>EngramEntry_Egg_Stego_Fertilized_Alpha_P_C</v>
      </c>
      <c r="J850" s="46" t="str">
        <f t="shared" si="103"/>
        <v>OverrideNamedEngramEntries=(EngramEntry_Egg_Stego_Fertilized_Alpha_P_C,EngramHidden=true)</v>
      </c>
      <c r="K850" s="2"/>
    </row>
    <row r="851">
      <c r="A851" s="7"/>
      <c r="B851" s="7"/>
      <c r="C851" s="45">
        <f t="shared" si="99"/>
        <v>20</v>
      </c>
      <c r="D851" s="45" t="str">
        <f t="shared" si="100"/>
        <v>PrimalItemConsumable_Egg</v>
      </c>
      <c r="E851" s="8" t="s">
        <v>3968</v>
      </c>
      <c r="F851" s="8" t="s">
        <v>3969</v>
      </c>
      <c r="G851" s="45" t="str">
        <f t="shared" si="101"/>
        <v>cheat gfi PrimalItemConsumable_Egg_Stego_Fertilized_Apex_C 1 100 0</v>
      </c>
      <c r="H851" s="8" t="s">
        <v>3970</v>
      </c>
      <c r="I851" s="45" t="str">
        <f t="shared" si="102"/>
        <v>EngramEntry_Egg_Stego_Fertilized_Apex_C</v>
      </c>
      <c r="J851" s="45" t="str">
        <f t="shared" si="103"/>
        <v>OverrideNamedEngramEntries=(EngramEntry_Egg_Stego_Fertilized_Apex_C,EngramHidden=true)</v>
      </c>
      <c r="K851" s="2"/>
    </row>
    <row r="852">
      <c r="A852" s="7"/>
      <c r="B852" s="7"/>
      <c r="C852" s="46">
        <f t="shared" si="99"/>
        <v>20</v>
      </c>
      <c r="D852" s="46" t="str">
        <f t="shared" si="100"/>
        <v>PrimalItemConsumable_Egg</v>
      </c>
      <c r="E852" s="11" t="s">
        <v>3971</v>
      </c>
      <c r="F852" s="11" t="s">
        <v>3972</v>
      </c>
      <c r="G852" s="46" t="str">
        <f t="shared" si="101"/>
        <v>cheat gfi PrimalItemConsumable_Egg_Tapejara_Fertilized_Alpha_C 1 100 0</v>
      </c>
      <c r="H852" s="11" t="s">
        <v>3973</v>
      </c>
      <c r="I852" s="46" t="str">
        <f t="shared" si="102"/>
        <v>EngramEntry_Egg_Tapejara_Fertilized_Alpha_C</v>
      </c>
      <c r="J852" s="46" t="str">
        <f t="shared" si="103"/>
        <v>OverrideNamedEngramEntries=(EngramEntry_Egg_Tapejara_Fertilized_Alpha_C,EngramHidden=true)</v>
      </c>
      <c r="K852" s="2"/>
    </row>
    <row r="853">
      <c r="A853" s="7"/>
      <c r="B853" s="7"/>
      <c r="C853" s="45">
        <f t="shared" si="99"/>
        <v>20</v>
      </c>
      <c r="D853" s="45" t="str">
        <f t="shared" si="100"/>
        <v>PrimalItemConsumable_Egg</v>
      </c>
      <c r="E853" s="8" t="s">
        <v>3974</v>
      </c>
      <c r="F853" s="8" t="s">
        <v>3975</v>
      </c>
      <c r="G853" s="45" t="str">
        <f t="shared" si="101"/>
        <v>cheat gfi PrimalItemConsumable_Egg_Tapejara_Fertilized_Alpha_C_C 1 100 0</v>
      </c>
      <c r="H853" s="8" t="s">
        <v>3976</v>
      </c>
      <c r="I853" s="45" t="str">
        <f t="shared" si="102"/>
        <v>EngramEntry_Egg_Tapejara_Fertilized_Alpha_C_C</v>
      </c>
      <c r="J853" s="45" t="str">
        <f t="shared" si="103"/>
        <v>OverrideNamedEngramEntries=(EngramEntry_Egg_Tapejara_Fertilized_Alpha_C_C,EngramHidden=true)</v>
      </c>
      <c r="K853" s="2"/>
    </row>
    <row r="854">
      <c r="A854" s="7"/>
      <c r="B854" s="7"/>
      <c r="C854" s="46">
        <f t="shared" si="99"/>
        <v>20</v>
      </c>
      <c r="D854" s="46" t="str">
        <f t="shared" si="100"/>
        <v>PrimalItemConsumable_Egg</v>
      </c>
      <c r="E854" s="11" t="s">
        <v>3977</v>
      </c>
      <c r="F854" s="11" t="s">
        <v>3978</v>
      </c>
      <c r="G854" s="46" t="str">
        <f t="shared" si="101"/>
        <v>cheat gfi PrimalItemConsumable_Egg_Tapejara_Fertilized_Alpha_P_C 1 100 0</v>
      </c>
      <c r="H854" s="11" t="s">
        <v>3979</v>
      </c>
      <c r="I854" s="46" t="str">
        <f t="shared" si="102"/>
        <v>EngramEntry_Egg_Tapejara_Fertilized_Alpha_P_C</v>
      </c>
      <c r="J854" s="46" t="str">
        <f t="shared" si="103"/>
        <v>OverrideNamedEngramEntries=(EngramEntry_Egg_Tapejara_Fertilized_Alpha_P_C,EngramHidden=true)</v>
      </c>
      <c r="K854" s="2"/>
    </row>
    <row r="855">
      <c r="A855" s="7"/>
      <c r="B855" s="7"/>
      <c r="C855" s="45">
        <f t="shared" si="99"/>
        <v>20</v>
      </c>
      <c r="D855" s="45" t="str">
        <f t="shared" si="100"/>
        <v>PrimalItemConsumable_Egg</v>
      </c>
      <c r="E855" s="8" t="s">
        <v>3980</v>
      </c>
      <c r="F855" s="8" t="s">
        <v>3981</v>
      </c>
      <c r="G855" s="45" t="str">
        <f t="shared" si="101"/>
        <v>cheat gfi PrimalItemConsumable_Egg_Tapejara_Fertilized_Apex_C 1 100 0</v>
      </c>
      <c r="H855" s="8" t="s">
        <v>3982</v>
      </c>
      <c r="I855" s="45" t="str">
        <f t="shared" si="102"/>
        <v>EngramEntry_Egg_Tapejara_Fertilized_Apex_C</v>
      </c>
      <c r="J855" s="45" t="str">
        <f t="shared" si="103"/>
        <v>OverrideNamedEngramEntries=(EngramEntry_Egg_Tapejara_Fertilized_Apex_C,EngramHidden=true)</v>
      </c>
      <c r="K855" s="2"/>
    </row>
    <row r="856">
      <c r="A856" s="7"/>
      <c r="B856" s="7"/>
      <c r="C856" s="46">
        <f t="shared" si="99"/>
        <v>20</v>
      </c>
      <c r="D856" s="46" t="str">
        <f t="shared" si="100"/>
        <v>PrimalItemConsumable_Egg</v>
      </c>
      <c r="E856" s="11" t="s">
        <v>3983</v>
      </c>
      <c r="F856" s="11" t="s">
        <v>3984</v>
      </c>
      <c r="G856" s="46" t="str">
        <f t="shared" si="101"/>
        <v>cheat gfi PrimalItemConsumable_Egg_Tapejara_Fertilized_Volcanic_C 1 100 0</v>
      </c>
      <c r="H856" s="11" t="s">
        <v>3985</v>
      </c>
      <c r="I856" s="46" t="str">
        <f t="shared" si="102"/>
        <v>EngramEntry_Egg_Tapejara_Fertilized_Volcanic_C</v>
      </c>
      <c r="J856" s="46" t="str">
        <f t="shared" si="103"/>
        <v>OverrideNamedEngramEntries=(EngramEntry_Egg_Tapejara_Fertilized_Volcanic_C,EngramHidden=true)</v>
      </c>
      <c r="K856" s="2"/>
    </row>
    <row r="857">
      <c r="A857" s="7"/>
      <c r="B857" s="7"/>
      <c r="C857" s="45">
        <f t="shared" si="99"/>
        <v>20</v>
      </c>
      <c r="D857" s="45" t="str">
        <f t="shared" si="100"/>
        <v>PrimalItemConsumable_Egg</v>
      </c>
      <c r="E857" s="8" t="s">
        <v>3986</v>
      </c>
      <c r="F857" s="8" t="s">
        <v>3987</v>
      </c>
      <c r="G857" s="45" t="str">
        <f t="shared" si="101"/>
        <v>cheat gfi PrimalItemConsumable_Egg_TerrorBird_Fertilized_Alpha_C 1 100 0</v>
      </c>
      <c r="H857" s="8" t="s">
        <v>3988</v>
      </c>
      <c r="I857" s="45" t="str">
        <f t="shared" si="102"/>
        <v>EngramEntry_Egg_TerrorBird_Fertilized_Alpha_C</v>
      </c>
      <c r="J857" s="45" t="str">
        <f t="shared" si="103"/>
        <v>OverrideNamedEngramEntries=(EngramEntry_Egg_TerrorBird_Fertilized_Alpha_C,EngramHidden=true)</v>
      </c>
      <c r="K857" s="2"/>
    </row>
    <row r="858">
      <c r="A858" s="7"/>
      <c r="B858" s="7"/>
      <c r="C858" s="46">
        <f t="shared" si="99"/>
        <v>20</v>
      </c>
      <c r="D858" s="46" t="str">
        <f t="shared" si="100"/>
        <v>PrimalItemConsumable_Egg</v>
      </c>
      <c r="E858" s="11" t="s">
        <v>3989</v>
      </c>
      <c r="F858" s="11" t="s">
        <v>3990</v>
      </c>
      <c r="G858" s="46" t="str">
        <f t="shared" si="101"/>
        <v>cheat gfi PrimalItemConsumable_Egg_TerrorBird_Fertilized_Alpha_C_C 1 100 0</v>
      </c>
      <c r="H858" s="11" t="s">
        <v>3991</v>
      </c>
      <c r="I858" s="46" t="str">
        <f t="shared" si="102"/>
        <v>EngramEntry_Egg_TerrorBird_Fertilized_Alpha_C_C</v>
      </c>
      <c r="J858" s="46" t="str">
        <f t="shared" si="103"/>
        <v>OverrideNamedEngramEntries=(EngramEntry_Egg_TerrorBird_Fertilized_Alpha_C_C,EngramHidden=true)</v>
      </c>
      <c r="K858" s="2"/>
    </row>
    <row r="859">
      <c r="A859" s="7"/>
      <c r="B859" s="7"/>
      <c r="C859" s="45">
        <f t="shared" si="99"/>
        <v>20</v>
      </c>
      <c r="D859" s="45" t="str">
        <f t="shared" si="100"/>
        <v>PrimalItemConsumable_Egg</v>
      </c>
      <c r="E859" s="8" t="s">
        <v>3992</v>
      </c>
      <c r="F859" s="8" t="s">
        <v>3993</v>
      </c>
      <c r="G859" s="45" t="str">
        <f t="shared" si="101"/>
        <v>cheat gfi PrimalItemConsumable_Egg_TerrorBird_Fertilized_Alpha_P_C 1 100 0</v>
      </c>
      <c r="H859" s="8" t="s">
        <v>3994</v>
      </c>
      <c r="I859" s="45" t="str">
        <f t="shared" si="102"/>
        <v>EngramEntry_Egg_TerrorBird_Fertilized_Alpha_P_C</v>
      </c>
      <c r="J859" s="45" t="str">
        <f t="shared" si="103"/>
        <v>OverrideNamedEngramEntries=(EngramEntry_Egg_TerrorBird_Fertilized_Alpha_P_C,EngramHidden=true)</v>
      </c>
      <c r="K859" s="2"/>
    </row>
    <row r="860">
      <c r="A860" s="7"/>
      <c r="B860" s="7"/>
      <c r="C860" s="46">
        <f t="shared" si="99"/>
        <v>20</v>
      </c>
      <c r="D860" s="46" t="str">
        <f t="shared" si="100"/>
        <v>PrimalItemConsumable_Egg</v>
      </c>
      <c r="E860" s="11" t="s">
        <v>3995</v>
      </c>
      <c r="F860" s="11" t="s">
        <v>3996</v>
      </c>
      <c r="G860" s="46" t="str">
        <f t="shared" si="101"/>
        <v>cheat gfi PrimalItemConsumable_Egg_TerrorBird_Fertilized_Apex_C 1 100 0</v>
      </c>
      <c r="H860" s="11" t="s">
        <v>3997</v>
      </c>
      <c r="I860" s="46" t="str">
        <f t="shared" si="102"/>
        <v>EngramEntry_Egg_TerrorBird_Fertilized_Apex_C</v>
      </c>
      <c r="J860" s="46" t="str">
        <f t="shared" si="103"/>
        <v>OverrideNamedEngramEntries=(EngramEntry_Egg_TerrorBird_Fertilized_Apex_C,EngramHidden=true)</v>
      </c>
      <c r="K860" s="2"/>
    </row>
    <row r="861">
      <c r="A861" s="7"/>
      <c r="B861" s="7"/>
      <c r="C861" s="45">
        <f t="shared" si="99"/>
        <v>20</v>
      </c>
      <c r="D861" s="45" t="str">
        <f t="shared" si="100"/>
        <v>PrimalItemConsumable_Egg</v>
      </c>
      <c r="E861" s="8" t="s">
        <v>3998</v>
      </c>
      <c r="F861" s="8" t="s">
        <v>3999</v>
      </c>
      <c r="G861" s="45" t="str">
        <f t="shared" si="101"/>
        <v>cheat gfi PrimalItemConsumable_Egg_TerrorBird_Fertilized_Electric_C 1 100 0</v>
      </c>
      <c r="H861" s="8" t="s">
        <v>4000</v>
      </c>
      <c r="I861" s="45" t="str">
        <f t="shared" si="102"/>
        <v>EngramEntry_Egg_TerrorBird_Fertilized_Electric_C</v>
      </c>
      <c r="J861" s="45" t="str">
        <f t="shared" si="103"/>
        <v>OverrideNamedEngramEntries=(EngramEntry_Egg_TerrorBird_Fertilized_Electric_C,EngramHidden=true)</v>
      </c>
      <c r="K861" s="2"/>
    </row>
    <row r="862">
      <c r="A862" s="7"/>
      <c r="B862" s="7"/>
      <c r="C862" s="46">
        <f t="shared" si="99"/>
        <v>20</v>
      </c>
      <c r="D862" s="46" t="str">
        <f t="shared" si="100"/>
        <v>PrimalItemConsumable_Egg</v>
      </c>
      <c r="E862" s="11" t="s">
        <v>4001</v>
      </c>
      <c r="F862" s="11" t="s">
        <v>4002</v>
      </c>
      <c r="G862" s="46" t="str">
        <f t="shared" si="101"/>
        <v>cheat gfi PrimalItemConsumable_Egg_Therizino_Fertilized_Alpha_C 1 100 0</v>
      </c>
      <c r="H862" s="11" t="s">
        <v>4003</v>
      </c>
      <c r="I862" s="46" t="str">
        <f t="shared" si="102"/>
        <v>EngramEntry_Egg_Therizino_Fertilized_Alpha_C</v>
      </c>
      <c r="J862" s="46" t="str">
        <f t="shared" si="103"/>
        <v>OverrideNamedEngramEntries=(EngramEntry_Egg_Therizino_Fertilized_Alpha_C,EngramHidden=true)</v>
      </c>
      <c r="K862" s="2"/>
    </row>
    <row r="863">
      <c r="A863" s="7"/>
      <c r="B863" s="7"/>
      <c r="C863" s="45">
        <f t="shared" si="99"/>
        <v>20</v>
      </c>
      <c r="D863" s="45" t="str">
        <f t="shared" si="100"/>
        <v>PrimalItemConsumable_Egg</v>
      </c>
      <c r="E863" s="8" t="s">
        <v>4004</v>
      </c>
      <c r="F863" s="8" t="s">
        <v>4005</v>
      </c>
      <c r="G863" s="45" t="str">
        <f t="shared" si="101"/>
        <v>cheat gfi PrimalItemConsumable_Egg_Therizino_Fertilized_Alpha_C_C 1 100 0</v>
      </c>
      <c r="H863" s="8" t="s">
        <v>4006</v>
      </c>
      <c r="I863" s="45" t="str">
        <f t="shared" si="102"/>
        <v>EngramEntry_Egg_Therizino_Fertilized_Alpha_C_C</v>
      </c>
      <c r="J863" s="45" t="str">
        <f t="shared" si="103"/>
        <v>OverrideNamedEngramEntries=(EngramEntry_Egg_Therizino_Fertilized_Alpha_C_C,EngramHidden=true)</v>
      </c>
      <c r="K863" s="2"/>
    </row>
    <row r="864">
      <c r="A864" s="7"/>
      <c r="B864" s="7"/>
      <c r="C864" s="46">
        <f t="shared" si="99"/>
        <v>20</v>
      </c>
      <c r="D864" s="46" t="str">
        <f t="shared" si="100"/>
        <v>PrimalItemConsumable_Egg</v>
      </c>
      <c r="E864" s="11" t="s">
        <v>4007</v>
      </c>
      <c r="F864" s="11" t="s">
        <v>4008</v>
      </c>
      <c r="G864" s="46" t="str">
        <f t="shared" si="101"/>
        <v>cheat gfi PrimalItemConsumable_Egg_Therizino_Fertilized_Alpha_P_C 1 100 0</v>
      </c>
      <c r="H864" s="11" t="s">
        <v>4009</v>
      </c>
      <c r="I864" s="46" t="str">
        <f t="shared" si="102"/>
        <v>EngramEntry_Egg_Therizino_Fertilized_Alpha_P_C</v>
      </c>
      <c r="J864" s="46" t="str">
        <f t="shared" si="103"/>
        <v>OverrideNamedEngramEntries=(EngramEntry_Egg_Therizino_Fertilized_Alpha_P_C,EngramHidden=true)</v>
      </c>
      <c r="K864" s="2"/>
    </row>
    <row r="865">
      <c r="A865" s="7"/>
      <c r="B865" s="7"/>
      <c r="C865" s="45">
        <f t="shared" si="99"/>
        <v>20</v>
      </c>
      <c r="D865" s="45" t="str">
        <f t="shared" si="100"/>
        <v>PrimalItemConsumable_Egg</v>
      </c>
      <c r="E865" s="8" t="s">
        <v>4010</v>
      </c>
      <c r="F865" s="8" t="s">
        <v>4011</v>
      </c>
      <c r="G865" s="45" t="str">
        <f t="shared" si="101"/>
        <v>cheat gfi PrimalItemConsumable_Egg_Therizino_Fertilized_Apex_C 1 100 0</v>
      </c>
      <c r="H865" s="8" t="s">
        <v>4012</v>
      </c>
      <c r="I865" s="45" t="str">
        <f t="shared" si="102"/>
        <v>EngramEntry_Egg_Therizino_Fertilized_Apex_C</v>
      </c>
      <c r="J865" s="45" t="str">
        <f t="shared" si="103"/>
        <v>OverrideNamedEngramEntries=(EngramEntry_Egg_Therizino_Fertilized_Apex_C,EngramHidden=true)</v>
      </c>
      <c r="K865" s="2"/>
    </row>
    <row r="866">
      <c r="A866" s="7"/>
      <c r="B866" s="7"/>
      <c r="C866" s="46"/>
      <c r="D866" s="46"/>
      <c r="E866" s="11" t="s">
        <v>4013</v>
      </c>
      <c r="F866" s="11" t="s">
        <v>4014</v>
      </c>
      <c r="G866" s="46" t="str">
        <f t="shared" si="101"/>
        <v>cheat gfi PrimalItemStructure_TitanEGG_Earth_C 1 100 0</v>
      </c>
      <c r="H866" s="11" t="s">
        <v>4015</v>
      </c>
      <c r="I866" s="46" t="str">
        <f t="shared" si="102"/>
        <v>EngramEntry_TitanEGG_Earth_C</v>
      </c>
      <c r="J866" s="46" t="str">
        <f t="shared" si="103"/>
        <v>OverrideNamedEngramEntries=(EngramEntry_TitanEGG_Earth_C,EngramHidden=true)</v>
      </c>
      <c r="K866" s="2"/>
    </row>
    <row r="867">
      <c r="A867" s="7"/>
      <c r="B867" s="7"/>
      <c r="C867" s="45"/>
      <c r="D867" s="45"/>
      <c r="E867" s="8" t="s">
        <v>4016</v>
      </c>
      <c r="F867" s="8" t="s">
        <v>4017</v>
      </c>
      <c r="G867" s="45" t="str">
        <f t="shared" si="101"/>
        <v>cheat gfi PrimalItemStructure_TitanEGG_Frost_C 1 100 0</v>
      </c>
      <c r="H867" s="8" t="s">
        <v>4018</v>
      </c>
      <c r="I867" s="45" t="str">
        <f t="shared" si="102"/>
        <v>EngramEntry_TitanEGG_Frost_C</v>
      </c>
      <c r="J867" s="45" t="str">
        <f t="shared" si="103"/>
        <v>OverrideNamedEngramEntries=(EngramEntry_TitanEGG_Frost_C,EngramHidden=true)</v>
      </c>
      <c r="K867" s="2"/>
    </row>
    <row r="868">
      <c r="A868" s="7"/>
      <c r="B868" s="7"/>
      <c r="C868" s="46"/>
      <c r="D868" s="46"/>
      <c r="E868" s="11" t="s">
        <v>4019</v>
      </c>
      <c r="F868" s="11" t="s">
        <v>4020</v>
      </c>
      <c r="G868" s="46" t="str">
        <f t="shared" si="101"/>
        <v>cheat gfi PrimalItemStructure_TitanEGG_Hydro_C 1 100 0</v>
      </c>
      <c r="H868" s="11" t="s">
        <v>4021</v>
      </c>
      <c r="I868" s="46" t="str">
        <f t="shared" si="102"/>
        <v>EngramEntry_TitanEGG_Hydro_C</v>
      </c>
      <c r="J868" s="46" t="str">
        <f t="shared" si="103"/>
        <v>OverrideNamedEngramEntries=(EngramEntry_TitanEGG_Hydro_C,EngramHidden=true)</v>
      </c>
      <c r="K868" s="2"/>
    </row>
    <row r="869">
      <c r="A869" s="7"/>
      <c r="B869" s="7"/>
      <c r="C869" s="45"/>
      <c r="D869" s="45"/>
      <c r="E869" s="28" t="s">
        <v>4022</v>
      </c>
      <c r="F869" s="8" t="s">
        <v>4023</v>
      </c>
      <c r="G869" s="45" t="str">
        <f t="shared" si="101"/>
        <v>cheat gfi PrimalItemStructure_TitanEGG_Nature_C 1 100 0</v>
      </c>
      <c r="H869" s="8" t="s">
        <v>4024</v>
      </c>
      <c r="I869" s="45" t="str">
        <f t="shared" si="102"/>
        <v>EngramEntry_TitanEGG_Nature_C</v>
      </c>
      <c r="J869" s="45" t="str">
        <f t="shared" si="103"/>
        <v>OverrideNamedEngramEntries=(EngramEntry_TitanEGG_Nature_C,EngramHidden=true)</v>
      </c>
      <c r="K869" s="2"/>
    </row>
    <row r="870">
      <c r="A870" s="7"/>
      <c r="B870" s="7"/>
      <c r="C870" s="46"/>
      <c r="D870" s="46"/>
      <c r="E870" s="11" t="s">
        <v>4025</v>
      </c>
      <c r="F870" s="11" t="s">
        <v>4026</v>
      </c>
      <c r="G870" s="46" t="str">
        <f t="shared" si="101"/>
        <v>cheat gfi PrimalItemStructure_TitanEGG_Storm_C 1 100 0</v>
      </c>
      <c r="H870" s="11" t="s">
        <v>4027</v>
      </c>
      <c r="I870" s="46" t="str">
        <f t="shared" si="102"/>
        <v>EngramEntry_TitanEGG_Storm_C</v>
      </c>
      <c r="J870" s="46" t="str">
        <f t="shared" si="103"/>
        <v>OverrideNamedEngramEntries=(EngramEntry_TitanEGG_Storm_C,EngramHidden=true)</v>
      </c>
      <c r="K870" s="2"/>
    </row>
    <row r="871">
      <c r="A871" s="7"/>
      <c r="B871" s="7"/>
      <c r="C871" s="45"/>
      <c r="D871" s="45"/>
      <c r="E871" s="8" t="s">
        <v>4028</v>
      </c>
      <c r="F871" s="8" t="s">
        <v>4029</v>
      </c>
      <c r="G871" s="45" t="str">
        <f t="shared" si="101"/>
        <v>cheat gfi PrimalItemStructure_TitanEGG_Volcanic_C 1 100 0</v>
      </c>
      <c r="H871" s="8" t="s">
        <v>4030</v>
      </c>
      <c r="I871" s="45" t="str">
        <f t="shared" si="102"/>
        <v>EngramEntry_TitanEGG_Volcanic_C</v>
      </c>
      <c r="J871" s="45" t="str">
        <f t="shared" si="103"/>
        <v>OverrideNamedEngramEntries=(EngramEntry_TitanEGG_Volcanic_C,EngramHidden=true)</v>
      </c>
      <c r="K871" s="2"/>
    </row>
    <row r="872">
      <c r="A872" s="7"/>
      <c r="B872" s="7"/>
      <c r="C872" s="46">
        <f t="shared" ref="C872:C892" si="104">IF(D872="PrimalItemConsumable_Blood",1)+IF(D872="PrimalItemConsumable_Narcotic",2)+IF(D872="PrimalItemConsumable_Seed",3)+IF(D872="PrimalItemConsumable_Fruit",4)+IF(D872="PrimalItemConsumable_Egg_Unfertilized",5)+IF(D872="PrimalItemConsumable_Kibble",6)+IF(D872="PrimalItemConsumable_Potion",7)+IF(D872="PrimalItemConsumable_XP",8)+IF(D872="PrimalItemConsumable_Food",9)+IF(D872="PrimalItemResource",10)+IF(D872="PrimalItemResource_Hide",11)+IF(D872="PrimalItemResource_MetalIngot",12)+IF(D872="PrimalItemConsumable_Summon",13)+IF(D872="PrimalItemStructure",14)+IF(D872="PrimalItem_Weapon",15)+IF(D872="PrimalItemAmmo",16)+IF(D872="PrimalItemArmor",17)+IF(D872="PrimalItemSaddle",18)+IF(D872="PrimalItemConsumable_UnderwaterEgg",19)+IF(D872="PrimalItemConsumable_Egg",20)</f>
        <v>20</v>
      </c>
      <c r="D872" s="46" t="str">
        <f t="shared" ref="D872:D892" si="105">Left(F872,find("Egg",F872)+2)</f>
        <v>PrimalItemConsumable_Egg</v>
      </c>
      <c r="E872" s="11" t="s">
        <v>4031</v>
      </c>
      <c r="F872" s="11" t="s">
        <v>4032</v>
      </c>
      <c r="G872" s="46" t="str">
        <f t="shared" si="101"/>
        <v>cheat gfi PrimalItemConsumable_Egg_Trike_Fertilized_Alpha_C 1 100 0</v>
      </c>
      <c r="H872" s="11" t="s">
        <v>4033</v>
      </c>
      <c r="I872" s="46" t="str">
        <f t="shared" si="102"/>
        <v>EngramEntry_Egg_Trike_Fertilized_Alpha_C</v>
      </c>
      <c r="J872" s="46" t="str">
        <f t="shared" si="103"/>
        <v>OverrideNamedEngramEntries=(EngramEntry_Egg_Trike_Fertilized_Alpha_C,EngramHidden=true)</v>
      </c>
      <c r="K872" s="2"/>
    </row>
    <row r="873">
      <c r="A873" s="7"/>
      <c r="B873" s="7"/>
      <c r="C873" s="45">
        <f t="shared" si="104"/>
        <v>20</v>
      </c>
      <c r="D873" s="45" t="str">
        <f t="shared" si="105"/>
        <v>PrimalItemConsumable_Egg</v>
      </c>
      <c r="E873" s="8" t="s">
        <v>4034</v>
      </c>
      <c r="F873" s="8" t="s">
        <v>4035</v>
      </c>
      <c r="G873" s="45" t="str">
        <f t="shared" si="101"/>
        <v>cheat gfi PrimalItemConsumable_Egg_Trike_Fertilized_Alpha_C_C 1 100 0</v>
      </c>
      <c r="H873" s="8" t="s">
        <v>4036</v>
      </c>
      <c r="I873" s="45" t="str">
        <f t="shared" si="102"/>
        <v>EngramEntry_Egg_Trike_Fertilized_Alpha_C_C</v>
      </c>
      <c r="J873" s="45" t="str">
        <f t="shared" si="103"/>
        <v>OverrideNamedEngramEntries=(EngramEntry_Egg_Trike_Fertilized_Alpha_C_C,EngramHidden=true)</v>
      </c>
      <c r="K873" s="2"/>
    </row>
    <row r="874">
      <c r="A874" s="7"/>
      <c r="B874" s="7"/>
      <c r="C874" s="46">
        <f t="shared" si="104"/>
        <v>20</v>
      </c>
      <c r="D874" s="46" t="str">
        <f t="shared" si="105"/>
        <v>PrimalItemConsumable_Egg</v>
      </c>
      <c r="E874" s="11" t="s">
        <v>4037</v>
      </c>
      <c r="F874" s="11" t="s">
        <v>4038</v>
      </c>
      <c r="G874" s="46" t="str">
        <f t="shared" si="101"/>
        <v>cheat gfi PrimalItemConsumable_Egg_Trike_Fertilized_Alpha_P_C 1 100 0</v>
      </c>
      <c r="H874" s="11" t="s">
        <v>4039</v>
      </c>
      <c r="I874" s="46" t="str">
        <f t="shared" si="102"/>
        <v>EngramEntry_Egg_Trike_Fertilized_Alpha_P_C</v>
      </c>
      <c r="J874" s="46" t="str">
        <f t="shared" si="103"/>
        <v>OverrideNamedEngramEntries=(EngramEntry_Egg_Trike_Fertilized_Alpha_P_C,EngramHidden=true)</v>
      </c>
      <c r="K874" s="2"/>
    </row>
    <row r="875">
      <c r="A875" s="7"/>
      <c r="B875" s="7"/>
      <c r="C875" s="45">
        <f t="shared" si="104"/>
        <v>20</v>
      </c>
      <c r="D875" s="45" t="str">
        <f t="shared" si="105"/>
        <v>PrimalItemConsumable_Egg</v>
      </c>
      <c r="E875" s="8" t="s">
        <v>4040</v>
      </c>
      <c r="F875" s="8" t="s">
        <v>4041</v>
      </c>
      <c r="G875" s="45" t="str">
        <f t="shared" si="101"/>
        <v>cheat gfi PrimalItemConsumable_Egg_Trike_Fertilized_Apex_C 1 100 0</v>
      </c>
      <c r="H875" s="8" t="s">
        <v>4042</v>
      </c>
      <c r="I875" s="45" t="str">
        <f t="shared" si="102"/>
        <v>EngramEntry_Egg_Trike_Fertilized_Apex_C</v>
      </c>
      <c r="J875" s="45" t="str">
        <f t="shared" si="103"/>
        <v>OverrideNamedEngramEntries=(EngramEntry_Egg_Trike_Fertilized_Apex_C,EngramHidden=true)</v>
      </c>
      <c r="K875" s="2"/>
    </row>
    <row r="876">
      <c r="A876" s="7"/>
      <c r="B876" s="7"/>
      <c r="C876" s="46">
        <f t="shared" si="104"/>
        <v>20</v>
      </c>
      <c r="D876" s="46" t="str">
        <f t="shared" si="105"/>
        <v>PrimalItemConsumable_Egg</v>
      </c>
      <c r="E876" s="11" t="s">
        <v>4043</v>
      </c>
      <c r="F876" s="11" t="s">
        <v>4044</v>
      </c>
      <c r="G876" s="46" t="str">
        <f t="shared" si="101"/>
        <v>cheat gfi PrimalItemConsumable_Egg_Trike_Fertilized_Volcanic_C 1 100 0</v>
      </c>
      <c r="H876" s="11" t="s">
        <v>4045</v>
      </c>
      <c r="I876" s="46" t="str">
        <f t="shared" si="102"/>
        <v>EngramEntry_Egg_Trike_Fertilized_Volcanic_C</v>
      </c>
      <c r="J876" s="46" t="str">
        <f t="shared" si="103"/>
        <v>OverrideNamedEngramEntries=(EngramEntry_Egg_Trike_Fertilized_Volcanic_C,EngramHidden=true)</v>
      </c>
      <c r="K876" s="2"/>
    </row>
    <row r="877">
      <c r="A877" s="7"/>
      <c r="B877" s="7"/>
      <c r="C877" s="45">
        <f t="shared" si="104"/>
        <v>20</v>
      </c>
      <c r="D877" s="45" t="str">
        <f t="shared" si="105"/>
        <v>PrimalItemConsumable_Egg</v>
      </c>
      <c r="E877" s="8" t="s">
        <v>4046</v>
      </c>
      <c r="F877" s="8" t="s">
        <v>4047</v>
      </c>
      <c r="G877" s="45" t="str">
        <f t="shared" si="101"/>
        <v>cheat gfi PrimalItemConsumable_Egg_Troodon_Fertilized_Alpha_C 1 100 0</v>
      </c>
      <c r="H877" s="8" t="s">
        <v>4048</v>
      </c>
      <c r="I877" s="45" t="str">
        <f t="shared" si="102"/>
        <v>EngramEntry_Egg_Troodon_Fertilized_Alpha_C</v>
      </c>
      <c r="J877" s="45" t="str">
        <f t="shared" si="103"/>
        <v>OverrideNamedEngramEntries=(EngramEntry_Egg_Troodon_Fertilized_Alpha_C,EngramHidden=true)</v>
      </c>
      <c r="K877" s="2"/>
    </row>
    <row r="878">
      <c r="A878" s="7"/>
      <c r="B878" s="7"/>
      <c r="C878" s="46">
        <f t="shared" si="104"/>
        <v>20</v>
      </c>
      <c r="D878" s="46" t="str">
        <f t="shared" si="105"/>
        <v>PrimalItemConsumable_Egg</v>
      </c>
      <c r="E878" s="11" t="s">
        <v>4049</v>
      </c>
      <c r="F878" s="11" t="s">
        <v>4050</v>
      </c>
      <c r="G878" s="46" t="str">
        <f t="shared" si="101"/>
        <v>cheat gfi PrimalItemConsumable_Egg_Troodon_Fertilized_Alpha_C_C 1 100 0</v>
      </c>
      <c r="H878" s="11" t="s">
        <v>4051</v>
      </c>
      <c r="I878" s="46" t="str">
        <f t="shared" si="102"/>
        <v>EngramEntry_Egg_Troodon_Fertilized_Alpha_C_C</v>
      </c>
      <c r="J878" s="46" t="str">
        <f t="shared" si="103"/>
        <v>OverrideNamedEngramEntries=(EngramEntry_Egg_Troodon_Fertilized_Alpha_C_C,EngramHidden=true)</v>
      </c>
      <c r="K878" s="2"/>
    </row>
    <row r="879">
      <c r="A879" s="7"/>
      <c r="B879" s="7"/>
      <c r="C879" s="45">
        <f t="shared" si="104"/>
        <v>20</v>
      </c>
      <c r="D879" s="45" t="str">
        <f t="shared" si="105"/>
        <v>PrimalItemConsumable_Egg</v>
      </c>
      <c r="E879" s="8" t="s">
        <v>4052</v>
      </c>
      <c r="F879" s="8" t="s">
        <v>4053</v>
      </c>
      <c r="G879" s="45" t="str">
        <f t="shared" si="101"/>
        <v>cheat gfi PrimalItemConsumable_Egg_Troodon_Fertilized_Alpha_P_C 1 100 0</v>
      </c>
      <c r="H879" s="8" t="s">
        <v>4054</v>
      </c>
      <c r="I879" s="45" t="str">
        <f t="shared" si="102"/>
        <v>EngramEntry_Egg_Troodon_Fertilized_Alpha_P_C</v>
      </c>
      <c r="J879" s="45" t="str">
        <f t="shared" si="103"/>
        <v>OverrideNamedEngramEntries=(EngramEntry_Egg_Troodon_Fertilized_Alpha_P_C,EngramHidden=true)</v>
      </c>
      <c r="K879" s="2"/>
    </row>
    <row r="880">
      <c r="A880" s="7"/>
      <c r="B880" s="7"/>
      <c r="C880" s="46">
        <f t="shared" si="104"/>
        <v>20</v>
      </c>
      <c r="D880" s="46" t="str">
        <f t="shared" si="105"/>
        <v>PrimalItemConsumable_Egg</v>
      </c>
      <c r="E880" s="11" t="s">
        <v>4055</v>
      </c>
      <c r="F880" s="11" t="s">
        <v>4056</v>
      </c>
      <c r="G880" s="46" t="str">
        <f t="shared" si="101"/>
        <v>cheat gfi PrimalItemConsumable_Egg_Troodon_Fertilized_Apex_C 1 100 0</v>
      </c>
      <c r="H880" s="11" t="s">
        <v>4057</v>
      </c>
      <c r="I880" s="46" t="str">
        <f t="shared" si="102"/>
        <v>EngramEntry_Egg_Troodon_Fertilized_Apex_C</v>
      </c>
      <c r="J880" s="46" t="str">
        <f t="shared" si="103"/>
        <v>OverrideNamedEngramEntries=(EngramEntry_Egg_Troodon_Fertilized_Apex_C,EngramHidden=true)</v>
      </c>
      <c r="K880" s="2"/>
    </row>
    <row r="881">
      <c r="A881" s="7"/>
      <c r="B881" s="7"/>
      <c r="C881" s="45">
        <f t="shared" si="104"/>
        <v>20</v>
      </c>
      <c r="D881" s="45" t="str">
        <f t="shared" si="105"/>
        <v>PrimalItemConsumable_Egg</v>
      </c>
      <c r="E881" s="8" t="s">
        <v>4058</v>
      </c>
      <c r="F881" s="8" t="s">
        <v>4059</v>
      </c>
      <c r="G881" s="45" t="str">
        <f t="shared" si="101"/>
        <v>cheat gfi PrimalItemConsumable_Egg_Turtle_Fertilized_Alpha_C 1 100 0</v>
      </c>
      <c r="H881" s="8" t="s">
        <v>4060</v>
      </c>
      <c r="I881" s="45" t="str">
        <f t="shared" si="102"/>
        <v>EngramEntry_Egg_Turtle_Fertilized_Alpha_C</v>
      </c>
      <c r="J881" s="45" t="str">
        <f t="shared" si="103"/>
        <v>OverrideNamedEngramEntries=(EngramEntry_Egg_Turtle_Fertilized_Alpha_C,EngramHidden=true)</v>
      </c>
      <c r="K881" s="2"/>
    </row>
    <row r="882">
      <c r="A882" s="7"/>
      <c r="B882" s="7"/>
      <c r="C882" s="46">
        <f t="shared" si="104"/>
        <v>20</v>
      </c>
      <c r="D882" s="46" t="str">
        <f t="shared" si="105"/>
        <v>PrimalItemConsumable_Egg</v>
      </c>
      <c r="E882" s="11" t="s">
        <v>4061</v>
      </c>
      <c r="F882" s="11" t="s">
        <v>4062</v>
      </c>
      <c r="G882" s="46" t="str">
        <f t="shared" si="101"/>
        <v>cheat gfi PrimalItemConsumable_Egg_Turtle_Fertilized_Alpha_C_C 1 100 0</v>
      </c>
      <c r="H882" s="11" t="s">
        <v>4063</v>
      </c>
      <c r="I882" s="46" t="str">
        <f t="shared" si="102"/>
        <v>EngramEntry_Egg_Turtle_Fertilized_Alpha_C_C</v>
      </c>
      <c r="J882" s="46" t="str">
        <f t="shared" si="103"/>
        <v>OverrideNamedEngramEntries=(EngramEntry_Egg_Turtle_Fertilized_Alpha_C_C,EngramHidden=true)</v>
      </c>
      <c r="K882" s="2"/>
    </row>
    <row r="883">
      <c r="A883" s="7"/>
      <c r="B883" s="7"/>
      <c r="C883" s="45">
        <f t="shared" si="104"/>
        <v>20</v>
      </c>
      <c r="D883" s="45" t="str">
        <f t="shared" si="105"/>
        <v>PrimalItemConsumable_Egg</v>
      </c>
      <c r="E883" s="8" t="s">
        <v>4064</v>
      </c>
      <c r="F883" s="8" t="s">
        <v>4065</v>
      </c>
      <c r="G883" s="45" t="str">
        <f t="shared" si="101"/>
        <v>cheat gfi PrimalItemConsumable_Egg_Turtle_Fertilized_Alpha_P_C 1 100 0</v>
      </c>
      <c r="H883" s="8" t="s">
        <v>4066</v>
      </c>
      <c r="I883" s="45" t="str">
        <f t="shared" si="102"/>
        <v>EngramEntry_Egg_Turtle_Fertilized_Alpha_P_C</v>
      </c>
      <c r="J883" s="45" t="str">
        <f t="shared" si="103"/>
        <v>OverrideNamedEngramEntries=(EngramEntry_Egg_Turtle_Fertilized_Alpha_P_C,EngramHidden=true)</v>
      </c>
      <c r="K883" s="2"/>
    </row>
    <row r="884">
      <c r="A884" s="7"/>
      <c r="B884" s="7"/>
      <c r="C884" s="46">
        <f t="shared" si="104"/>
        <v>20</v>
      </c>
      <c r="D884" s="46" t="str">
        <f t="shared" si="105"/>
        <v>PrimalItemConsumable_Egg</v>
      </c>
      <c r="E884" s="11" t="s">
        <v>4067</v>
      </c>
      <c r="F884" s="11" t="s">
        <v>4068</v>
      </c>
      <c r="G884" s="46" t="str">
        <f t="shared" si="101"/>
        <v>cheat gfi PrimalItemConsumable_Egg_Turtle_Fertilized_Apex_C 1 100 0</v>
      </c>
      <c r="H884" s="11" t="s">
        <v>4069</v>
      </c>
      <c r="I884" s="46" t="str">
        <f t="shared" si="102"/>
        <v>EngramEntry_Egg_Turtle_Fertilized_Apex_C</v>
      </c>
      <c r="J884" s="46" t="str">
        <f t="shared" si="103"/>
        <v>OverrideNamedEngramEntries=(EngramEntry_Egg_Turtle_Fertilized_Apex_C,EngramHidden=true)</v>
      </c>
      <c r="K884" s="2"/>
    </row>
    <row r="885">
      <c r="A885" s="7"/>
      <c r="B885" s="7"/>
      <c r="C885" s="45">
        <f t="shared" si="104"/>
        <v>20</v>
      </c>
      <c r="D885" s="45" t="str">
        <f t="shared" si="105"/>
        <v>PrimalItemConsumable_Egg</v>
      </c>
      <c r="E885" s="8" t="s">
        <v>4070</v>
      </c>
      <c r="F885" s="8" t="s">
        <v>4071</v>
      </c>
      <c r="G885" s="45" t="str">
        <f t="shared" si="101"/>
        <v>cheat gfi PrimalItemConsumable_Egg_Turtle_Fertilized_Hydro_C 1 100 0</v>
      </c>
      <c r="H885" s="8" t="s">
        <v>4072</v>
      </c>
      <c r="I885" s="45" t="str">
        <f t="shared" si="102"/>
        <v>EngramEntry_Egg_Turtle_Fertilized_Hydro_C</v>
      </c>
      <c r="J885" s="45" t="str">
        <f t="shared" si="103"/>
        <v>OverrideNamedEngramEntries=(EngramEntry_Egg_Turtle_Fertilized_Hydro_C,EngramHidden=true)</v>
      </c>
      <c r="K885" s="2"/>
    </row>
    <row r="886">
      <c r="A886" s="7"/>
      <c r="B886" s="7"/>
      <c r="C886" s="46">
        <f t="shared" si="104"/>
        <v>20</v>
      </c>
      <c r="D886" s="46" t="str">
        <f t="shared" si="105"/>
        <v>PrimalItemConsumable_Egg</v>
      </c>
      <c r="E886" s="11" t="s">
        <v>4073</v>
      </c>
      <c r="F886" s="11" t="s">
        <v>4074</v>
      </c>
      <c r="G886" s="46" t="str">
        <f t="shared" si="101"/>
        <v>cheat gfi PrimalItemConsumable_Egg_Wyvern_Fertilized_Demonic_C 1 100 0</v>
      </c>
      <c r="H886" s="11" t="s">
        <v>4075</v>
      </c>
      <c r="I886" s="46" t="str">
        <f t="shared" si="102"/>
        <v>EngramEntry_Egg_Wyvern_Fertilized_Demonic_C</v>
      </c>
      <c r="J886" s="46" t="str">
        <f t="shared" si="103"/>
        <v>OverrideNamedEngramEntries=(EngramEntry_Egg_Wyvern_Fertilized_Demonic_C,EngramHidden=true)</v>
      </c>
      <c r="K886" s="2"/>
    </row>
    <row r="887">
      <c r="A887" s="7"/>
      <c r="B887" s="7"/>
      <c r="C887" s="45">
        <f t="shared" si="104"/>
        <v>20</v>
      </c>
      <c r="D887" s="45" t="str">
        <f t="shared" si="105"/>
        <v>PrimalItemConsumable_Egg</v>
      </c>
      <c r="E887" s="8" t="s">
        <v>4076</v>
      </c>
      <c r="F887" s="8" t="s">
        <v>4077</v>
      </c>
      <c r="G887" s="45" t="str">
        <f t="shared" si="101"/>
        <v>cheat gfi PrimalItemConsumable_Egg_Wyvern_Fertilized_Frost_C 1 100 0</v>
      </c>
      <c r="H887" s="8" t="s">
        <v>4078</v>
      </c>
      <c r="I887" s="45" t="str">
        <f t="shared" si="102"/>
        <v>EngramEntry_Egg_Wyvern_Fertilized_Frost_C</v>
      </c>
      <c r="J887" s="45" t="str">
        <f t="shared" si="103"/>
        <v>OverrideNamedEngramEntries=(EngramEntry_Egg_Wyvern_Fertilized_Frost_C,EngramHidden=true)</v>
      </c>
      <c r="K887" s="2"/>
    </row>
    <row r="888">
      <c r="A888" s="7"/>
      <c r="B888" s="7"/>
      <c r="C888" s="46">
        <f t="shared" si="104"/>
        <v>20</v>
      </c>
      <c r="D888" s="46" t="str">
        <f t="shared" si="105"/>
        <v>PrimalItemConsumable_Egg</v>
      </c>
      <c r="E888" s="11" t="s">
        <v>4079</v>
      </c>
      <c r="F888" s="11" t="s">
        <v>4080</v>
      </c>
      <c r="G888" s="46" t="str">
        <f t="shared" si="101"/>
        <v>cheat gfi PrimalItemConsumable_Egg_Yuty_Fertilized_Alpha_C 1 100 0</v>
      </c>
      <c r="H888" s="11" t="s">
        <v>4081</v>
      </c>
      <c r="I888" s="46" t="str">
        <f t="shared" si="102"/>
        <v>EngramEntry_Egg_Yuty_Fertilized_Alpha_C</v>
      </c>
      <c r="J888" s="46" t="str">
        <f t="shared" si="103"/>
        <v>OverrideNamedEngramEntries=(EngramEntry_Egg_Yuty_Fertilized_Alpha_C,EngramHidden=true)</v>
      </c>
      <c r="K888" s="2"/>
    </row>
    <row r="889">
      <c r="A889" s="7"/>
      <c r="B889" s="7"/>
      <c r="C889" s="45">
        <f t="shared" si="104"/>
        <v>20</v>
      </c>
      <c r="D889" s="45" t="str">
        <f t="shared" si="105"/>
        <v>PrimalItemConsumable_Egg</v>
      </c>
      <c r="E889" s="8" t="s">
        <v>4082</v>
      </c>
      <c r="F889" s="8" t="s">
        <v>4083</v>
      </c>
      <c r="G889" s="45" t="str">
        <f t="shared" si="101"/>
        <v>cheat gfi PrimalItemConsumable_Egg_Yuty_Fertilized_Alpha_C_C 1 100 0</v>
      </c>
      <c r="H889" s="8" t="s">
        <v>4084</v>
      </c>
      <c r="I889" s="45" t="str">
        <f t="shared" si="102"/>
        <v>EngramEntry_Egg_Yuty_Fertilized_Alpha_C_C</v>
      </c>
      <c r="J889" s="45" t="str">
        <f t="shared" si="103"/>
        <v>OverrideNamedEngramEntries=(EngramEntry_Egg_Yuty_Fertilized_Alpha_C_C,EngramHidden=true)</v>
      </c>
      <c r="K889" s="2"/>
    </row>
    <row r="890">
      <c r="A890" s="7"/>
      <c r="B890" s="7"/>
      <c r="C890" s="46">
        <f t="shared" si="104"/>
        <v>20</v>
      </c>
      <c r="D890" s="46" t="str">
        <f t="shared" si="105"/>
        <v>PrimalItemConsumable_Egg</v>
      </c>
      <c r="E890" s="11" t="s">
        <v>4085</v>
      </c>
      <c r="F890" s="11" t="s">
        <v>4086</v>
      </c>
      <c r="G890" s="46" t="str">
        <f t="shared" si="101"/>
        <v>cheat gfi PrimalItemConsumable_Egg_Yuty_Fertilized_Alpha_P_C 1 100 0</v>
      </c>
      <c r="H890" s="11" t="s">
        <v>4087</v>
      </c>
      <c r="I890" s="46" t="str">
        <f t="shared" si="102"/>
        <v>EngramEntry_Egg_Yuty_Fertilized_Alpha_P_C</v>
      </c>
      <c r="J890" s="46" t="str">
        <f t="shared" si="103"/>
        <v>OverrideNamedEngramEntries=(EngramEntry_Egg_Yuty_Fertilized_Alpha_P_C,EngramHidden=true)</v>
      </c>
      <c r="K890" s="2"/>
    </row>
    <row r="891">
      <c r="A891" s="7"/>
      <c r="B891" s="7"/>
      <c r="C891" s="45">
        <f t="shared" si="104"/>
        <v>20</v>
      </c>
      <c r="D891" s="45" t="str">
        <f t="shared" si="105"/>
        <v>PrimalItemConsumable_Egg</v>
      </c>
      <c r="E891" s="8" t="s">
        <v>4088</v>
      </c>
      <c r="F891" s="8" t="s">
        <v>4089</v>
      </c>
      <c r="G891" s="45" t="str">
        <f t="shared" si="101"/>
        <v>cheat gfi PrimalItemConsumable_Egg_Yuty_Fertilized_Apex_C 1 100 0</v>
      </c>
      <c r="H891" s="8" t="s">
        <v>4090</v>
      </c>
      <c r="I891" s="45" t="str">
        <f t="shared" si="102"/>
        <v>EngramEntry_Egg_Yuty_Fertilized_Apex_C</v>
      </c>
      <c r="J891" s="45" t="str">
        <f t="shared" si="103"/>
        <v>OverrideNamedEngramEntries=(EngramEntry_Egg_Yuty_Fertilized_Apex_C,EngramHidden=true)</v>
      </c>
      <c r="K891" s="2"/>
    </row>
    <row r="892">
      <c r="A892" s="29"/>
      <c r="B892" s="29"/>
      <c r="C892" s="46">
        <f t="shared" si="104"/>
        <v>20</v>
      </c>
      <c r="D892" s="46" t="str">
        <f t="shared" si="105"/>
        <v>PrimalItemConsumable_Egg</v>
      </c>
      <c r="E892" s="11" t="s">
        <v>4091</v>
      </c>
      <c r="F892" s="11" t="s">
        <v>4092</v>
      </c>
      <c r="G892" s="46" t="str">
        <f t="shared" si="101"/>
        <v>cheat gfi PrimalItemConsumable_Egg_Yuty_Fertilized_Frost_C 1 100 0</v>
      </c>
      <c r="H892" s="11" t="s">
        <v>4093</v>
      </c>
      <c r="I892" s="46" t="str">
        <f t="shared" si="102"/>
        <v>EngramEntry_Egg_Yuty_Fertilized_Frost_C</v>
      </c>
      <c r="J892" s="46" t="str">
        <f t="shared" si="103"/>
        <v>OverrideNamedEngramEntries=(EngramEntry_Egg_Yuty_Fertilized_Frost_C,EngramHidden=true)</v>
      </c>
      <c r="K892" s="2"/>
    </row>
    <row r="893" ht="35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</sheetData>
  <autoFilter ref="$E$2:$J$22">
    <sortState ref="E2:J22">
      <sortCondition ref="E2:E22"/>
    </sortState>
  </autoFilter>
  <mergeCells count="16">
    <mergeCell ref="B97:B184"/>
    <mergeCell ref="B186:B205"/>
    <mergeCell ref="B207:B221"/>
    <mergeCell ref="B223:B240"/>
    <mergeCell ref="B242:B282"/>
    <mergeCell ref="B284:B308"/>
    <mergeCell ref="B310:B614"/>
    <mergeCell ref="B616:B632"/>
    <mergeCell ref="A1:J1"/>
    <mergeCell ref="A2:A892"/>
    <mergeCell ref="B2:B22"/>
    <mergeCell ref="B24:B40"/>
    <mergeCell ref="B42:B58"/>
    <mergeCell ref="B60:B80"/>
    <mergeCell ref="B82:B95"/>
    <mergeCell ref="B634:B89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4.38"/>
    <col customWidth="1" hidden="1" min="3" max="3" width="12.75"/>
    <col customWidth="1" min="4" max="4" width="25.5"/>
    <col customWidth="1" hidden="1" min="5" max="5" width="26.38"/>
    <col customWidth="1" min="6" max="6" width="172.38"/>
    <col customWidth="1" min="7" max="19" width="7.63"/>
  </cols>
  <sheetData>
    <row r="1" ht="30.75" customHeight="1">
      <c r="A1" s="2"/>
      <c r="G1" s="2"/>
    </row>
    <row r="2" ht="24.75" customHeight="1">
      <c r="A2" s="2"/>
      <c r="B2" s="3"/>
      <c r="C2" s="4" t="s">
        <v>2</v>
      </c>
      <c r="D2" s="6" t="s">
        <v>4094</v>
      </c>
      <c r="E2" s="5" t="s">
        <v>5</v>
      </c>
      <c r="F2" s="83" t="s">
        <v>4095</v>
      </c>
      <c r="G2" s="2"/>
    </row>
    <row r="3">
      <c r="B3" s="7"/>
      <c r="C3" s="4" t="str">
        <f t="shared" ref="C3:C13" si="1">IF(#REF!="Alpha",1)+IF(#REF!="Apex",2)+IF(#REF!="Earth",3)+IF(#REF!="Frost",3)+IF(#REF!="Nature",3)+IF(#REF!="Storm",4)+IF(#REF!="Volcanic",4)+IF(#REF!="Bionic",5)+IF(#REF!="Legendary",5)+IF(#REF!="Demonic",6)+IF(#REF!="Celestial",6)+IF(#REF!="Godly",7)+IF(#REF!="Loot",8)+IF(#REF!="Boss",9)</f>
        <v>#REF!</v>
      </c>
      <c r="D3" s="84" t="s">
        <v>4096</v>
      </c>
      <c r="E3" s="10"/>
      <c r="F3" s="9"/>
      <c r="G3" s="2"/>
    </row>
    <row r="4">
      <c r="B4" s="7"/>
      <c r="C4" s="4" t="str">
        <f t="shared" si="1"/>
        <v>#REF!</v>
      </c>
      <c r="D4" s="85" t="s">
        <v>4097</v>
      </c>
      <c r="E4" s="13"/>
      <c r="F4" s="86" t="s">
        <v>4098</v>
      </c>
      <c r="G4" s="2"/>
    </row>
    <row r="5">
      <c r="B5" s="7"/>
      <c r="C5" s="4" t="str">
        <f t="shared" si="1"/>
        <v>#REF!</v>
      </c>
      <c r="D5" s="84" t="s">
        <v>1146</v>
      </c>
      <c r="E5" s="10"/>
      <c r="F5" s="87" t="s">
        <v>4099</v>
      </c>
      <c r="G5" s="2"/>
    </row>
    <row r="6">
      <c r="B6" s="7"/>
      <c r="C6" s="4" t="str">
        <f t="shared" si="1"/>
        <v>#REF!</v>
      </c>
      <c r="D6" s="85" t="s">
        <v>717</v>
      </c>
      <c r="E6" s="13"/>
      <c r="F6" s="88" t="s">
        <v>4100</v>
      </c>
      <c r="G6" s="2"/>
    </row>
    <row r="7">
      <c r="B7" s="7"/>
      <c r="C7" s="4" t="str">
        <f t="shared" si="1"/>
        <v>#REF!</v>
      </c>
      <c r="D7" s="84" t="s">
        <v>4101</v>
      </c>
      <c r="E7" s="10"/>
      <c r="F7" s="87" t="s">
        <v>4102</v>
      </c>
      <c r="G7" s="2"/>
    </row>
    <row r="8">
      <c r="B8" s="7"/>
      <c r="C8" s="4" t="str">
        <f t="shared" si="1"/>
        <v>#REF!</v>
      </c>
      <c r="D8" s="85" t="s">
        <v>4103</v>
      </c>
      <c r="E8" s="13"/>
      <c r="F8" s="88" t="s">
        <v>4104</v>
      </c>
      <c r="G8" s="2"/>
    </row>
    <row r="9">
      <c r="B9" s="7"/>
      <c r="C9" s="4" t="str">
        <f t="shared" si="1"/>
        <v>#REF!</v>
      </c>
      <c r="D9" s="84" t="s">
        <v>4105</v>
      </c>
      <c r="E9" s="10"/>
      <c r="F9" s="87" t="s">
        <v>4106</v>
      </c>
      <c r="G9" s="2"/>
    </row>
    <row r="10">
      <c r="B10" s="7"/>
      <c r="C10" s="4" t="str">
        <f t="shared" si="1"/>
        <v>#REF!</v>
      </c>
      <c r="D10" s="85" t="s">
        <v>4107</v>
      </c>
      <c r="E10" s="13"/>
      <c r="F10" s="88" t="s">
        <v>4108</v>
      </c>
      <c r="G10" s="2"/>
    </row>
    <row r="11">
      <c r="B11" s="7"/>
      <c r="C11" s="4" t="str">
        <f t="shared" si="1"/>
        <v>#REF!</v>
      </c>
      <c r="D11" s="84" t="s">
        <v>4109</v>
      </c>
      <c r="E11" s="10"/>
      <c r="F11" s="89" t="s">
        <v>4110</v>
      </c>
      <c r="G11" s="2"/>
    </row>
    <row r="12">
      <c r="B12" s="7"/>
      <c r="C12" s="4" t="str">
        <f t="shared" si="1"/>
        <v>#REF!</v>
      </c>
      <c r="D12" s="12"/>
      <c r="E12" s="13"/>
      <c r="F12" s="12"/>
      <c r="G12" s="2"/>
    </row>
    <row r="13">
      <c r="B13" s="7"/>
      <c r="C13" s="4" t="str">
        <f t="shared" si="1"/>
        <v>#REF!</v>
      </c>
      <c r="D13" s="9"/>
      <c r="E13" s="10"/>
      <c r="F13" s="9"/>
      <c r="G13" s="2"/>
    </row>
    <row r="14">
      <c r="B14" s="7"/>
      <c r="C14" s="4"/>
      <c r="D14" s="90" t="s">
        <v>4111</v>
      </c>
      <c r="E14" s="13"/>
      <c r="F14" s="91" t="s">
        <v>4112</v>
      </c>
      <c r="G14" s="2"/>
    </row>
    <row r="15">
      <c r="B15" s="7"/>
      <c r="C15" s="4" t="str">
        <f t="shared" ref="C15:C82" si="2">IF(#REF!="Alpha",1)+IF(#REF!="Apex",2)+IF(#REF!="Earth",3)+IF(#REF!="Frost",3)+IF(#REF!="Nature",3)+IF(#REF!="Storm",4)+IF(#REF!="Volcanic",4)+IF(#REF!="Bionic",5)+IF(#REF!="Legendary",5)+IF(#REF!="Demonic",6)+IF(#REF!="Celestial",6)+IF(#REF!="Godly",7)+IF(#REF!="Loot",8)+IF(#REF!="Boss",9)</f>
        <v>#REF!</v>
      </c>
      <c r="D15" s="9"/>
      <c r="E15" s="10"/>
      <c r="F15" s="9"/>
      <c r="G15" s="2"/>
    </row>
    <row r="16">
      <c r="B16" s="7"/>
      <c r="C16" s="4" t="str">
        <f t="shared" si="2"/>
        <v>#REF!</v>
      </c>
      <c r="D16" s="12"/>
      <c r="E16" s="13"/>
      <c r="F16" s="12"/>
      <c r="G16" s="2"/>
    </row>
    <row r="17">
      <c r="B17" s="7"/>
      <c r="C17" s="4" t="str">
        <f t="shared" si="2"/>
        <v>#REF!</v>
      </c>
      <c r="D17" s="9"/>
      <c r="E17" s="10"/>
      <c r="F17" s="9"/>
      <c r="G17" s="2"/>
    </row>
    <row r="18">
      <c r="B18" s="7"/>
      <c r="C18" s="4" t="str">
        <f t="shared" si="2"/>
        <v>#REF!</v>
      </c>
      <c r="D18" s="12"/>
      <c r="E18" s="13"/>
      <c r="F18" s="12"/>
      <c r="G18" s="2"/>
    </row>
    <row r="19">
      <c r="B19" s="7"/>
      <c r="C19" s="4" t="str">
        <f t="shared" si="2"/>
        <v>#REF!</v>
      </c>
      <c r="D19" s="9"/>
      <c r="E19" s="10"/>
      <c r="F19" s="9"/>
      <c r="G19" s="2"/>
    </row>
    <row r="20">
      <c r="B20" s="7"/>
      <c r="C20" s="4" t="str">
        <f t="shared" si="2"/>
        <v>#REF!</v>
      </c>
      <c r="D20" s="12"/>
      <c r="E20" s="13"/>
      <c r="F20" s="12"/>
      <c r="G20" s="2"/>
    </row>
    <row r="21">
      <c r="B21" s="7"/>
      <c r="C21" s="4" t="str">
        <f t="shared" si="2"/>
        <v>#REF!</v>
      </c>
      <c r="D21" s="9"/>
      <c r="E21" s="10"/>
      <c r="F21" s="9"/>
      <c r="G21" s="2"/>
    </row>
    <row r="22">
      <c r="B22" s="7"/>
      <c r="C22" s="4" t="str">
        <f t="shared" si="2"/>
        <v>#REF!</v>
      </c>
      <c r="D22" s="12"/>
      <c r="E22" s="13"/>
      <c r="F22" s="12"/>
      <c r="G22" s="2"/>
    </row>
    <row r="23">
      <c r="B23" s="7"/>
      <c r="C23" s="4" t="str">
        <f t="shared" si="2"/>
        <v>#REF!</v>
      </c>
      <c r="D23" s="9"/>
      <c r="E23" s="10"/>
      <c r="F23" s="9"/>
      <c r="G23" s="2"/>
    </row>
    <row r="24">
      <c r="B24" s="7"/>
      <c r="C24" s="4" t="str">
        <f t="shared" si="2"/>
        <v>#REF!</v>
      </c>
      <c r="D24" s="12"/>
      <c r="E24" s="13"/>
      <c r="F24" s="12"/>
      <c r="G24" s="2"/>
    </row>
    <row r="25">
      <c r="B25" s="7"/>
      <c r="C25" s="4" t="str">
        <f t="shared" si="2"/>
        <v>#REF!</v>
      </c>
      <c r="D25" s="9"/>
      <c r="E25" s="10"/>
      <c r="F25" s="9"/>
      <c r="G25" s="2"/>
    </row>
    <row r="26">
      <c r="B26" s="7"/>
      <c r="C26" s="4" t="str">
        <f t="shared" si="2"/>
        <v>#REF!</v>
      </c>
      <c r="D26" s="12"/>
      <c r="E26" s="13"/>
      <c r="F26" s="12"/>
      <c r="G26" s="2"/>
    </row>
    <row r="27">
      <c r="B27" s="7"/>
      <c r="C27" s="4" t="str">
        <f t="shared" si="2"/>
        <v>#REF!</v>
      </c>
      <c r="D27" s="9"/>
      <c r="E27" s="10"/>
      <c r="F27" s="9"/>
      <c r="G27" s="2"/>
    </row>
    <row r="28">
      <c r="B28" s="7"/>
      <c r="C28" s="4" t="str">
        <f t="shared" si="2"/>
        <v>#REF!</v>
      </c>
      <c r="D28" s="12"/>
      <c r="E28" s="13"/>
      <c r="F28" s="12"/>
      <c r="G28" s="2"/>
    </row>
    <row r="29">
      <c r="B29" s="7"/>
      <c r="C29" s="4" t="str">
        <f t="shared" si="2"/>
        <v>#REF!</v>
      </c>
      <c r="D29" s="9"/>
      <c r="E29" s="10"/>
      <c r="F29" s="9"/>
      <c r="G29" s="2"/>
    </row>
    <row r="30">
      <c r="B30" s="7"/>
      <c r="C30" s="4" t="str">
        <f t="shared" si="2"/>
        <v>#REF!</v>
      </c>
      <c r="D30" s="12"/>
      <c r="E30" s="13"/>
      <c r="F30" s="12"/>
      <c r="G30" s="2"/>
    </row>
    <row r="31">
      <c r="B31" s="7"/>
      <c r="C31" s="4" t="str">
        <f t="shared" si="2"/>
        <v>#REF!</v>
      </c>
      <c r="D31" s="9"/>
      <c r="E31" s="10"/>
      <c r="F31" s="9"/>
      <c r="G31" s="2"/>
    </row>
    <row r="32">
      <c r="B32" s="7"/>
      <c r="C32" s="4" t="str">
        <f t="shared" si="2"/>
        <v>#REF!</v>
      </c>
      <c r="D32" s="12"/>
      <c r="E32" s="13"/>
      <c r="F32" s="12"/>
      <c r="G32" s="2"/>
    </row>
    <row r="33">
      <c r="B33" s="7"/>
      <c r="C33" s="4" t="str">
        <f t="shared" si="2"/>
        <v>#REF!</v>
      </c>
      <c r="D33" s="9"/>
      <c r="E33" s="10"/>
      <c r="F33" s="9"/>
      <c r="G33" s="2"/>
    </row>
    <row r="34">
      <c r="B34" s="7"/>
      <c r="C34" s="4" t="str">
        <f t="shared" si="2"/>
        <v>#REF!</v>
      </c>
      <c r="D34" s="12"/>
      <c r="E34" s="13"/>
      <c r="F34" s="12"/>
      <c r="G34" s="2"/>
    </row>
    <row r="35">
      <c r="B35" s="7"/>
      <c r="C35" s="4" t="str">
        <f t="shared" si="2"/>
        <v>#REF!</v>
      </c>
      <c r="D35" s="9"/>
      <c r="E35" s="10"/>
      <c r="F35" s="9"/>
      <c r="G35" s="2"/>
    </row>
    <row r="36">
      <c r="B36" s="7"/>
      <c r="C36" s="4" t="str">
        <f t="shared" si="2"/>
        <v>#REF!</v>
      </c>
      <c r="D36" s="12"/>
      <c r="E36" s="13"/>
      <c r="F36" s="12"/>
      <c r="G36" s="2"/>
    </row>
    <row r="37">
      <c r="B37" s="7"/>
      <c r="C37" s="4" t="str">
        <f t="shared" si="2"/>
        <v>#REF!</v>
      </c>
      <c r="D37" s="9"/>
      <c r="E37" s="10"/>
      <c r="F37" s="9"/>
      <c r="G37" s="2"/>
    </row>
    <row r="38">
      <c r="B38" s="7"/>
      <c r="C38" s="4" t="str">
        <f t="shared" si="2"/>
        <v>#REF!</v>
      </c>
      <c r="D38" s="12"/>
      <c r="E38" s="13"/>
      <c r="F38" s="12"/>
      <c r="G38" s="2"/>
    </row>
    <row r="39">
      <c r="B39" s="7"/>
      <c r="C39" s="4" t="str">
        <f t="shared" si="2"/>
        <v>#REF!</v>
      </c>
      <c r="D39" s="9"/>
      <c r="E39" s="10"/>
      <c r="F39" s="9"/>
      <c r="G39" s="2"/>
    </row>
    <row r="40">
      <c r="B40" s="7"/>
      <c r="C40" s="4" t="str">
        <f t="shared" si="2"/>
        <v>#REF!</v>
      </c>
      <c r="D40" s="12"/>
      <c r="E40" s="13"/>
      <c r="F40" s="12"/>
      <c r="G40" s="2"/>
    </row>
    <row r="41">
      <c r="B41" s="7"/>
      <c r="C41" s="4" t="str">
        <f t="shared" si="2"/>
        <v>#REF!</v>
      </c>
      <c r="D41" s="9"/>
      <c r="E41" s="10"/>
      <c r="F41" s="9"/>
      <c r="G41" s="2"/>
    </row>
    <row r="42">
      <c r="B42" s="7"/>
      <c r="C42" s="4" t="str">
        <f t="shared" si="2"/>
        <v>#REF!</v>
      </c>
      <c r="D42" s="12"/>
      <c r="E42" s="13"/>
      <c r="F42" s="12"/>
      <c r="G42" s="2"/>
    </row>
    <row r="43">
      <c r="B43" s="7"/>
      <c r="C43" s="4" t="str">
        <f t="shared" si="2"/>
        <v>#REF!</v>
      </c>
      <c r="D43" s="9"/>
      <c r="E43" s="10"/>
      <c r="F43" s="9"/>
      <c r="G43" s="2"/>
    </row>
    <row r="44">
      <c r="B44" s="7"/>
      <c r="C44" s="4" t="str">
        <f t="shared" si="2"/>
        <v>#REF!</v>
      </c>
      <c r="D44" s="12"/>
      <c r="E44" s="13"/>
      <c r="F44" s="12"/>
      <c r="G44" s="2"/>
    </row>
    <row r="45">
      <c r="B45" s="7"/>
      <c r="C45" s="4" t="str">
        <f t="shared" si="2"/>
        <v>#REF!</v>
      </c>
      <c r="D45" s="9"/>
      <c r="E45" s="10"/>
      <c r="F45" s="9"/>
      <c r="G45" s="2"/>
    </row>
    <row r="46">
      <c r="B46" s="7"/>
      <c r="C46" s="4" t="str">
        <f t="shared" si="2"/>
        <v>#REF!</v>
      </c>
      <c r="D46" s="12"/>
      <c r="E46" s="13"/>
      <c r="F46" s="12"/>
      <c r="G46" s="2"/>
    </row>
    <row r="47">
      <c r="B47" s="7"/>
      <c r="C47" s="4" t="str">
        <f t="shared" si="2"/>
        <v>#REF!</v>
      </c>
      <c r="D47" s="9"/>
      <c r="E47" s="10"/>
      <c r="F47" s="9"/>
      <c r="G47" s="2"/>
    </row>
    <row r="48">
      <c r="B48" s="7"/>
      <c r="C48" s="4" t="str">
        <f t="shared" si="2"/>
        <v>#REF!</v>
      </c>
      <c r="D48" s="12"/>
      <c r="E48" s="13"/>
      <c r="F48" s="12"/>
      <c r="G48" s="2"/>
    </row>
    <row r="49">
      <c r="B49" s="7"/>
      <c r="C49" s="4" t="str">
        <f t="shared" si="2"/>
        <v>#REF!</v>
      </c>
      <c r="D49" s="9"/>
      <c r="E49" s="10"/>
      <c r="F49" s="9"/>
      <c r="G49" s="2"/>
    </row>
    <row r="50">
      <c r="B50" s="7"/>
      <c r="C50" s="4" t="str">
        <f t="shared" si="2"/>
        <v>#REF!</v>
      </c>
      <c r="D50" s="12"/>
      <c r="E50" s="13"/>
      <c r="F50" s="12"/>
      <c r="G50" s="2"/>
    </row>
    <row r="51">
      <c r="B51" s="7"/>
      <c r="C51" s="4" t="str">
        <f t="shared" si="2"/>
        <v>#REF!</v>
      </c>
      <c r="D51" s="9"/>
      <c r="E51" s="10"/>
      <c r="F51" s="9"/>
      <c r="G51" s="2"/>
    </row>
    <row r="52">
      <c r="B52" s="7"/>
      <c r="C52" s="4" t="str">
        <f t="shared" si="2"/>
        <v>#REF!</v>
      </c>
      <c r="D52" s="12"/>
      <c r="E52" s="13"/>
      <c r="F52" s="12"/>
      <c r="G52" s="2"/>
    </row>
    <row r="53">
      <c r="B53" s="7"/>
      <c r="C53" s="4" t="str">
        <f t="shared" si="2"/>
        <v>#REF!</v>
      </c>
      <c r="D53" s="9"/>
      <c r="E53" s="10"/>
      <c r="F53" s="9"/>
      <c r="G53" s="2"/>
    </row>
    <row r="54">
      <c r="B54" s="7"/>
      <c r="C54" s="4" t="str">
        <f t="shared" si="2"/>
        <v>#REF!</v>
      </c>
      <c r="D54" s="12"/>
      <c r="E54" s="13"/>
      <c r="F54" s="12"/>
      <c r="G54" s="2"/>
    </row>
    <row r="55">
      <c r="B55" s="7"/>
      <c r="C55" s="4" t="str">
        <f t="shared" si="2"/>
        <v>#REF!</v>
      </c>
      <c r="D55" s="9"/>
      <c r="E55" s="10"/>
      <c r="F55" s="9"/>
      <c r="G55" s="2"/>
    </row>
    <row r="56">
      <c r="B56" s="7"/>
      <c r="C56" s="4" t="str">
        <f t="shared" si="2"/>
        <v>#REF!</v>
      </c>
      <c r="D56" s="12"/>
      <c r="E56" s="13"/>
      <c r="F56" s="12"/>
      <c r="G56" s="2"/>
    </row>
    <row r="57">
      <c r="B57" s="7"/>
      <c r="C57" s="4" t="str">
        <f t="shared" si="2"/>
        <v>#REF!</v>
      </c>
      <c r="D57" s="9"/>
      <c r="E57" s="10"/>
      <c r="F57" s="9"/>
      <c r="G57" s="2"/>
    </row>
    <row r="58">
      <c r="B58" s="7"/>
      <c r="C58" s="4" t="str">
        <f t="shared" si="2"/>
        <v>#REF!</v>
      </c>
      <c r="D58" s="12"/>
      <c r="E58" s="13"/>
      <c r="F58" s="12"/>
      <c r="G58" s="2"/>
    </row>
    <row r="59">
      <c r="B59" s="7"/>
      <c r="C59" s="4" t="str">
        <f t="shared" si="2"/>
        <v>#REF!</v>
      </c>
      <c r="D59" s="9"/>
      <c r="E59" s="10"/>
      <c r="F59" s="9"/>
      <c r="G59" s="2"/>
    </row>
    <row r="60">
      <c r="B60" s="7"/>
      <c r="C60" s="4" t="str">
        <f t="shared" si="2"/>
        <v>#REF!</v>
      </c>
      <c r="D60" s="12"/>
      <c r="E60" s="13"/>
      <c r="F60" s="12"/>
      <c r="G60" s="2"/>
    </row>
    <row r="61">
      <c r="B61" s="7"/>
      <c r="C61" s="4" t="str">
        <f t="shared" si="2"/>
        <v>#REF!</v>
      </c>
      <c r="D61" s="9"/>
      <c r="E61" s="10"/>
      <c r="F61" s="9"/>
      <c r="G61" s="2"/>
    </row>
    <row r="62">
      <c r="B62" s="7"/>
      <c r="C62" s="4" t="str">
        <f t="shared" si="2"/>
        <v>#REF!</v>
      </c>
      <c r="D62" s="12"/>
      <c r="E62" s="13"/>
      <c r="F62" s="12"/>
      <c r="G62" s="2"/>
    </row>
    <row r="63">
      <c r="B63" s="7"/>
      <c r="C63" s="4" t="str">
        <f t="shared" si="2"/>
        <v>#REF!</v>
      </c>
      <c r="D63" s="9"/>
      <c r="E63" s="10"/>
      <c r="F63" s="9"/>
      <c r="G63" s="2"/>
    </row>
    <row r="64">
      <c r="B64" s="7"/>
      <c r="C64" s="4" t="str">
        <f t="shared" si="2"/>
        <v>#REF!</v>
      </c>
      <c r="D64" s="12"/>
      <c r="E64" s="13"/>
      <c r="F64" s="12"/>
      <c r="G64" s="2"/>
    </row>
    <row r="65">
      <c r="B65" s="7"/>
      <c r="C65" s="4" t="str">
        <f t="shared" si="2"/>
        <v>#REF!</v>
      </c>
      <c r="D65" s="9"/>
      <c r="E65" s="10"/>
      <c r="F65" s="9"/>
      <c r="G65" s="2"/>
    </row>
    <row r="66">
      <c r="B66" s="7"/>
      <c r="C66" s="4" t="str">
        <f t="shared" si="2"/>
        <v>#REF!</v>
      </c>
      <c r="D66" s="12"/>
      <c r="E66" s="13"/>
      <c r="F66" s="12"/>
      <c r="G66" s="2"/>
    </row>
    <row r="67">
      <c r="B67" s="7"/>
      <c r="C67" s="4" t="str">
        <f t="shared" si="2"/>
        <v>#REF!</v>
      </c>
      <c r="D67" s="9"/>
      <c r="E67" s="10"/>
      <c r="F67" s="9"/>
      <c r="G67" s="2"/>
    </row>
    <row r="68">
      <c r="B68" s="7"/>
      <c r="C68" s="4" t="str">
        <f t="shared" si="2"/>
        <v>#REF!</v>
      </c>
      <c r="D68" s="12"/>
      <c r="E68" s="13"/>
      <c r="F68" s="12"/>
      <c r="G68" s="2"/>
    </row>
    <row r="69">
      <c r="B69" s="7"/>
      <c r="C69" s="4" t="str">
        <f t="shared" si="2"/>
        <v>#REF!</v>
      </c>
      <c r="D69" s="9"/>
      <c r="E69" s="10"/>
      <c r="F69" s="9"/>
      <c r="G69" s="2"/>
    </row>
    <row r="70">
      <c r="B70" s="7"/>
      <c r="C70" s="4" t="str">
        <f t="shared" si="2"/>
        <v>#REF!</v>
      </c>
      <c r="D70" s="12"/>
      <c r="E70" s="13"/>
      <c r="F70" s="12"/>
      <c r="G70" s="2"/>
    </row>
    <row r="71">
      <c r="B71" s="7"/>
      <c r="C71" s="4" t="str">
        <f t="shared" si="2"/>
        <v>#REF!</v>
      </c>
      <c r="D71" s="9"/>
      <c r="E71" s="10"/>
      <c r="F71" s="9"/>
      <c r="G71" s="2"/>
    </row>
    <row r="72">
      <c r="B72" s="7"/>
      <c r="C72" s="4" t="str">
        <f t="shared" si="2"/>
        <v>#REF!</v>
      </c>
      <c r="D72" s="12"/>
      <c r="E72" s="13"/>
      <c r="F72" s="12"/>
      <c r="G72" s="2"/>
    </row>
    <row r="73">
      <c r="B73" s="7"/>
      <c r="C73" s="4" t="str">
        <f t="shared" si="2"/>
        <v>#REF!</v>
      </c>
      <c r="D73" s="9"/>
      <c r="E73" s="10"/>
      <c r="F73" s="9"/>
      <c r="G73" s="2"/>
    </row>
    <row r="74">
      <c r="B74" s="7"/>
      <c r="C74" s="4" t="str">
        <f t="shared" si="2"/>
        <v>#REF!</v>
      </c>
      <c r="D74" s="12"/>
      <c r="E74" s="13"/>
      <c r="F74" s="12"/>
      <c r="G74" s="2"/>
    </row>
    <row r="75">
      <c r="B75" s="7"/>
      <c r="C75" s="4" t="str">
        <f t="shared" si="2"/>
        <v>#REF!</v>
      </c>
      <c r="D75" s="9"/>
      <c r="E75" s="35"/>
      <c r="F75" s="9"/>
      <c r="G75" s="2"/>
    </row>
    <row r="76">
      <c r="B76" s="7"/>
      <c r="C76" s="4" t="str">
        <f t="shared" si="2"/>
        <v>#REF!</v>
      </c>
      <c r="D76" s="12"/>
      <c r="E76" s="13"/>
      <c r="F76" s="12"/>
      <c r="G76" s="2"/>
    </row>
    <row r="77">
      <c r="B77" s="7"/>
      <c r="C77" s="4" t="str">
        <f t="shared" si="2"/>
        <v>#REF!</v>
      </c>
      <c r="D77" s="9"/>
      <c r="E77" s="10"/>
      <c r="F77" s="9"/>
      <c r="G77" s="2"/>
    </row>
    <row r="78">
      <c r="B78" s="7"/>
      <c r="C78" s="4" t="str">
        <f t="shared" si="2"/>
        <v>#REF!</v>
      </c>
      <c r="D78" s="12"/>
      <c r="E78" s="13"/>
      <c r="F78" s="12"/>
      <c r="G78" s="2"/>
    </row>
    <row r="79">
      <c r="B79" s="7"/>
      <c r="C79" s="4" t="str">
        <f t="shared" si="2"/>
        <v>#REF!</v>
      </c>
      <c r="D79" s="9"/>
      <c r="E79" s="10"/>
      <c r="F79" s="9"/>
      <c r="G79" s="2"/>
    </row>
    <row r="80">
      <c r="B80" s="7"/>
      <c r="C80" s="4" t="str">
        <f t="shared" si="2"/>
        <v>#REF!</v>
      </c>
      <c r="D80" s="12"/>
      <c r="E80" s="13"/>
      <c r="F80" s="12"/>
      <c r="G80" s="2"/>
    </row>
    <row r="81">
      <c r="B81" s="7"/>
      <c r="C81" s="4" t="str">
        <f t="shared" si="2"/>
        <v>#REF!</v>
      </c>
      <c r="D81" s="9"/>
      <c r="E81" s="10"/>
      <c r="F81" s="9"/>
      <c r="G81" s="2"/>
    </row>
    <row r="82">
      <c r="B82" s="7"/>
      <c r="C82" s="4" t="str">
        <f t="shared" si="2"/>
        <v>#REF!</v>
      </c>
      <c r="D82" s="12"/>
      <c r="E82" s="13"/>
      <c r="F82" s="12"/>
      <c r="G82" s="2"/>
    </row>
    <row r="83">
      <c r="B83" s="7"/>
      <c r="C83" s="4"/>
      <c r="D83" s="14"/>
      <c r="E83" s="10"/>
      <c r="F83" s="14"/>
      <c r="G83" s="2"/>
    </row>
    <row r="84">
      <c r="B84" s="18"/>
      <c r="C84" s="19" t="str">
        <f>IF(#REF!="Alpha",1)+IF(#REF!="Apex",2)+IF(#REF!="Earth",3)+IF(#REF!="Frost",3)+IF(#REF!="Nature",3)+IF(#REF!="Storm",4)+IF(#REF!="Volcanic",4)+IF(#REF!="Bionic",5)+IF(#REF!="Legendary",5)+IF(#REF!="Demonic",6)+IF(#REF!="Celestial",6)+IF(#REF!="Godly",7)+IF(#REF!="Loot",8)+IF(#REF!="Boss",9)</f>
        <v>#REF!</v>
      </c>
      <c r="D84" s="20"/>
      <c r="E84" s="21"/>
      <c r="F84" s="21"/>
      <c r="G84" s="2"/>
    </row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</sheetData>
  <autoFilter ref="$C$2:$F$84">
    <sortState ref="C2:F84">
      <sortCondition ref="C2:C84"/>
    </sortState>
  </autoFilter>
  <mergeCells count="3">
    <mergeCell ref="A1:F1"/>
    <mergeCell ref="A2:A84"/>
    <mergeCell ref="B2:B83"/>
  </mergeCells>
  <printOptions/>
  <pageMargins bottom="0.75" footer="0.0" header="0.0" left="0.7" right="0.7" top="0.75"/>
  <pageSetup orientation="landscape"/>
  <drawing r:id="rId1"/>
</worksheet>
</file>