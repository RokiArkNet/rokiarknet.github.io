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3 Dino Spawn Codes" sheetId="1" r:id="rId5"/>
    <sheet state="visible" name="Copy of 223 EngramsItem Codes" sheetId="2" r:id="rId6"/>
  </sheets>
  <definedNames>
    <definedName hidden="1" localSheetId="0" name="_xlnm._FilterDatabase">'223 Dino Spawn Codes'!$C$2:$M$540</definedName>
    <definedName hidden="1" localSheetId="1" name="_xlnm._FilterDatabase">'Copy of 223 EngramsItem Codes'!$C$2:$J$689</definedName>
  </definedNames>
  <calcPr/>
</workbook>
</file>

<file path=xl/sharedStrings.xml><?xml version="1.0" encoding="utf-8"?>
<sst xmlns="http://schemas.openxmlformats.org/spreadsheetml/2006/main" count="4209" uniqueCount="3658">
  <si>
    <t>s</t>
  </si>
  <si>
    <t>Toxic</t>
  </si>
  <si>
    <t>Original Order</t>
  </si>
  <si>
    <t>Tier Order</t>
  </si>
  <si>
    <t>Dino</t>
  </si>
  <si>
    <t>Tier</t>
  </si>
  <si>
    <t>Information</t>
  </si>
  <si>
    <t>Blueprint</t>
  </si>
  <si>
    <t>Summon Wild</t>
  </si>
  <si>
    <t>Summon Tamed</t>
  </si>
  <si>
    <t>Blueprint Path</t>
  </si>
  <si>
    <t>Dino Spawn</t>
  </si>
  <si>
    <t>Disable Dino - Add to Game.ini - If you remove a tier will ruin the mod progression</t>
  </si>
  <si>
    <t>Toxic Achatina</t>
  </si>
  <si>
    <t>ToxicAchatina_Character_BP_C</t>
  </si>
  <si>
    <t>/PrimalChaos/1Dinos/1Toxic/Achitina/ToxicAchatina_Character_BP.ToxicAchatina_Character_BP</t>
  </si>
  <si>
    <t>Toxic Allo</t>
  </si>
  <si>
    <t>ToxicAllo_Character_BP_C</t>
  </si>
  <si>
    <t>/PrimalChaos/1Dinos/1Toxic/Allo/ToxicAllo_Character_BP.ToxicAllo_Character_BP</t>
  </si>
  <si>
    <t>Toxic Ankylo</t>
  </si>
  <si>
    <t>ToxicAnkylo_Character_BP_C</t>
  </si>
  <si>
    <t>/PrimalChaos/1Dinos/1Toxic/Ankylosaurus/ToxicAnkylo_Character_BP.ToxicAnkylo_Character_BP</t>
  </si>
  <si>
    <t>Toxic Ant</t>
  </si>
  <si>
    <t>ToxicAnt_Character_BP_C</t>
  </si>
  <si>
    <t>/PrimalChaos/1Dinos/1Toxic/Ant/ToxicAnt_Character_BP.ToxicAnt_Character_BP</t>
  </si>
  <si>
    <t>Toxic Archa</t>
  </si>
  <si>
    <t>ToxicArcha_Character_BP_C</t>
  </si>
  <si>
    <t>/PrimalChaos/1Dinos/1Toxic/Archaeopteryx/ToxicArcha_Character_BP.ToxicArcha_Character_BP</t>
  </si>
  <si>
    <t>Toxic Argent</t>
  </si>
  <si>
    <t>ToxicArgent_Character_BP_C</t>
  </si>
  <si>
    <t>/PrimalChaos/1Dinos/1Toxic/Argentavis/ToxicArgent_Character_BP.ToxicArgent_Character_BP</t>
  </si>
  <si>
    <t>Toxic Arthro</t>
  </si>
  <si>
    <t>ToxicArthro_Character_BP_C</t>
  </si>
  <si>
    <t>/PrimalChaos/1Dinos/1Toxic/Arthropluera/ToxicArthro_Character_BP.ToxicArthro_Character_BP</t>
  </si>
  <si>
    <t>Toxic Baryonyx</t>
  </si>
  <si>
    <t>ToxicBaryonyx_Character_BP_C</t>
  </si>
  <si>
    <t>/PrimalChaos/1Dinos/1Toxic/Baryonyx/ToxicBaryonyx_Character_BP.ToxicBaryonyx_Character_BP</t>
  </si>
  <si>
    <t>Beta Basilo</t>
  </si>
  <si>
    <t>Beta</t>
  </si>
  <si>
    <t>Beta_Basilo_Character_BP_C</t>
  </si>
  <si>
    <t>/PrimalChaos/1WaterDinos/1Beta/Basilo/Beta_Basilo_Character_BP.Beta_Basilo_Character_BP</t>
  </si>
  <si>
    <t>Toxic Beaver</t>
  </si>
  <si>
    <t>ToxicBeaver_Character_BP_C</t>
  </si>
  <si>
    <t>/PrimalChaos/1Dinos/1Toxic/Castoroides/ToxicBeaver_Character_BP.ToxicBeaver_Character_BP</t>
  </si>
  <si>
    <t>Toxic Bigfoot</t>
  </si>
  <si>
    <t>ToxicBigfoot_Character_BP_C</t>
  </si>
  <si>
    <t>/PrimalChaos/1Dinos/1Toxic/Gigantopithecus/ToxicBigfoot_Character_BP.ToxicBigfoot_Character_BP</t>
  </si>
  <si>
    <t>Toxic Boa Frill</t>
  </si>
  <si>
    <t>ToxicBoaFrill_Character_BP_C</t>
  </si>
  <si>
    <t>/PrimalChaos/1Dinos/1Toxic/Snake/ToxicBoaFrill_Character_BP.ToxicBoaFrill_Character_BP</t>
  </si>
  <si>
    <t>Toxic Carcha</t>
  </si>
  <si>
    <t>ToxicCarcha_Character_BP_C</t>
  </si>
  <si>
    <t>/PrimalChaos/1Dinos/1Toxic/Carcha/ToxicCarcha_Character_BP.ToxicCarcha_Character_BP</t>
  </si>
  <si>
    <t>Toxic Carno</t>
  </si>
  <si>
    <t>ToxicCarno_Character_BP_C</t>
  </si>
  <si>
    <t>/PrimalChaos/1Dinos/1Toxic/Carno/ToxicCarno_Character_BP.ToxicCarno_Character_BP</t>
  </si>
  <si>
    <t>Toxic Chalico</t>
  </si>
  <si>
    <t>ToxicChalico_Character_BP_C</t>
  </si>
  <si>
    <t>/PrimalChaos/1Dinos/1Toxic/Chalicotherium/ToxicChalico_Character_BP.ToxicChalico_Character_BP</t>
  </si>
  <si>
    <t>Beta Cnidaria</t>
  </si>
  <si>
    <t>Beta_Cnidaria_Character_BP_C</t>
  </si>
  <si>
    <t>/PrimalChaos/1WaterDinos/1Beta/Cnidaria/Beta_Cnidaria_Character_BP.Beta_Cnidaria_Character_BP</t>
  </si>
  <si>
    <t>Toxic Compy</t>
  </si>
  <si>
    <t>ToxicCompy_Character_BP_C</t>
  </si>
  <si>
    <t>/PrimalChaos/1Dinos/1Toxic/Compy/ToxicCompy_Character_BP.ToxicCompy_Character_BP</t>
  </si>
  <si>
    <t>Toxic Daeodon</t>
  </si>
  <si>
    <t>ToxicDaeodon_Character_BP_C</t>
  </si>
  <si>
    <t>/PrimalChaos/1Dinos/1Toxic/Daeodon/ToxicDaeodon_Character_BP.ToxicDaeodon_Character_BP</t>
  </si>
  <si>
    <t>Toxic Dilo</t>
  </si>
  <si>
    <t>ToxicDilo_Character_BP_C</t>
  </si>
  <si>
    <t>/PrimalChaos/1Dinos/1Toxic/Dilo/ToxicDilo_Character_BP.ToxicDilo_Character_BP</t>
  </si>
  <si>
    <t>Toxic Dimetro</t>
  </si>
  <si>
    <t>ToxicDimetro_Character_BP_C</t>
  </si>
  <si>
    <t>/PrimalChaos/1Dinos/1Toxic/Dimetrodon/ToxicDimetro_Character_BP.ToxicDimetro_Character_BP</t>
  </si>
  <si>
    <t>Toxic Dimorph</t>
  </si>
  <si>
    <t>ToxicDimorph_Character_BP_C</t>
  </si>
  <si>
    <t>/PrimalChaos/1Dinos/1Toxic/Dimorphodon/ToxicDimorph_Character_BP.ToxicDimorph_Character_BP</t>
  </si>
  <si>
    <t>Beta Diplocaulus</t>
  </si>
  <si>
    <t>Beta_Diplocaulus_Character_BP_C</t>
  </si>
  <si>
    <t>/PrimalChaos/1WaterDinos/1Beta/Diplocaulus/Beta_Diplocaulus_Character_BP.Beta_Diplocaulus_Character_BP</t>
  </si>
  <si>
    <t>Toxic Diplodocus</t>
  </si>
  <si>
    <t>ToxicDiplodocus_Character_BP_C</t>
  </si>
  <si>
    <t>/PrimalChaos/1Dinos/1Toxic/Diplodocus/ToxicDiplodocus_Character_BP.ToxicDiplodocus_Character_BP</t>
  </si>
  <si>
    <t>Toxic Direbear</t>
  </si>
  <si>
    <t>ToxicDirebear_Character_BP_C</t>
  </si>
  <si>
    <t>/PrimalChaos/1Dinos/1Toxic/Direbear/ToxicDirebear_Character_BP.ToxicDirebear_Character_BP</t>
  </si>
  <si>
    <t>Toxic Direwolf</t>
  </si>
  <si>
    <t>ToxicDirewolf_Character_BP_C</t>
  </si>
  <si>
    <t>/PrimalChaos/1Dinos/1Toxic/Direwolf/ToxicDirewolf_Character_BP.ToxicDirewolf_Character_BP</t>
  </si>
  <si>
    <t>Toxic Dodo</t>
  </si>
  <si>
    <t>ToxicDodo_Character_BP_C</t>
  </si>
  <si>
    <t>/PrimalChaos/1Dinos/1Toxic/Dodo/ToxicDodo_Character_BP.ToxicDodo_Character_BP</t>
  </si>
  <si>
    <t>Toxic Doed</t>
  </si>
  <si>
    <t>ToxicDoed_Character_BP_C</t>
  </si>
  <si>
    <t>/PrimalChaos/1Dinos/1Toxic/Doedicurus/ToxicDoed_Character_BP.ToxicDoed_Character_BP</t>
  </si>
  <si>
    <t>Toxic Dragonfly</t>
  </si>
  <si>
    <t>ToxicDragonfly_Character_BP_C</t>
  </si>
  <si>
    <t>/PrimalChaos/1Dinos/1Toxic/Dragonfly/ToxicDragonfly_Character_BP.ToxicDragonfly_Character_BP</t>
  </si>
  <si>
    <t>Toxic Dung Beetle</t>
  </si>
  <si>
    <t>ToxicDungBeetle_Character_BP_C</t>
  </si>
  <si>
    <t>/PrimalChaos/1Dinos/1Toxic/Dungbeetle/ToxicDungBeetle_Character_BP.ToxicDungBeetle_Character_BP</t>
  </si>
  <si>
    <t>Beta Dunkleo</t>
  </si>
  <si>
    <t>Beta_Dunkleo_Character_BP_C</t>
  </si>
  <si>
    <t>/PrimalChaos/1WaterDinos/1Beta/Dunkleo/Beta_Dunkleo_Character_BP.Beta_Dunkleo_Character_BP</t>
  </si>
  <si>
    <t>Beta Electrophorus</t>
  </si>
  <si>
    <t>Beta_Electrophorus_Character_BP_C</t>
  </si>
  <si>
    <t>/PrimalChaos/1WaterDinos/1Beta/Electrophorus/Beta_Electrophorus_Character_BP.Beta_Electrophorus_Character_BP</t>
  </si>
  <si>
    <t>Toxic Equus</t>
  </si>
  <si>
    <t>ToxicEquus_Character_BP_C</t>
  </si>
  <si>
    <t>/PrimalChaos/1Dinos/1Toxic/Equus/ToxicEquus_Character_BP.ToxicEquus_Character_BP</t>
  </si>
  <si>
    <t>Beta Eurypterid</t>
  </si>
  <si>
    <t>Beta_Eurypterid_Character_BP_C</t>
  </si>
  <si>
    <t>/PrimalChaos/1WaterDinos/1Beta/eurypterid/Beta_Eurypterid_Character_BP.Beta_Eurypterid_Character_BP</t>
  </si>
  <si>
    <t>Toxic Galli</t>
  </si>
  <si>
    <t>ToxicGalli_Character_BP_C</t>
  </si>
  <si>
    <t>/PrimalChaos/1Dinos/1Toxic/Gallimimus/ToxicGalli_Character_BP.ToxicGalli_Character_BP</t>
  </si>
  <si>
    <t>Toxic Gigant</t>
  </si>
  <si>
    <t>ToxicGigant_Character_BP_C</t>
  </si>
  <si>
    <t>/PrimalChaos/1Dinos/1Toxic/Giga/ToxicGigant_Character_BP.ToxicGigant_Character_BP</t>
  </si>
  <si>
    <t>Toxic Hesperornis</t>
  </si>
  <si>
    <t>ToxicHesperornis_Character_BP_C</t>
  </si>
  <si>
    <t>/PrimalChaos/1Dinos/1Toxic/Hesperornis/ToxicHesperornis_Character_BP.ToxicHesperornis_Character_BP</t>
  </si>
  <si>
    <t>Toxic Hyaenodon</t>
  </si>
  <si>
    <t>ToxicHyaenodon_Character_BP_C</t>
  </si>
  <si>
    <t>/PrimalChaos/1Dinos/1Toxic/Hyena/ToxicHyaenodon_Character_BP.ToxicHyaenodon_Character_BP</t>
  </si>
  <si>
    <t>Toxic Iguanodon</t>
  </si>
  <si>
    <t>ToxicIguanodon_Character_BP_C</t>
  </si>
  <si>
    <t>/PrimalChaos/1Dinos/1Toxic/Iguanodon/ToxicIguanodon_Character_BP.ToxicIguanodon_Character_BP</t>
  </si>
  <si>
    <t>Toxic Kairuku</t>
  </si>
  <si>
    <t>ToxicKairuku_Character_BP_C</t>
  </si>
  <si>
    <t>/PrimalChaos/1Dinos/1Toxic/Kairuku/ToxicKairuku_Character_BP.ToxicKairuku_Character_BP</t>
  </si>
  <si>
    <t>Toxic Kaprosuchus</t>
  </si>
  <si>
    <t>ToxicKaprosuchus_Character_BP_C</t>
  </si>
  <si>
    <t>/PrimalChaos/1Dinos/1Toxic/Kaprosuchus/ToxicKaprosuchus_Character_BP.ToxicKaprosuchus_Character_BP</t>
  </si>
  <si>
    <t>Toxic Kentro</t>
  </si>
  <si>
    <t>ToxicKentro_Character_BP_C</t>
  </si>
  <si>
    <t>/PrimalChaos/1Dinos/1Toxic/Kentro/ToxicKentro_Character_BP.ToxicKentro_Character_BP</t>
  </si>
  <si>
    <t>Beta Leech</t>
  </si>
  <si>
    <t>Beta_Leech_Character_BP_C</t>
  </si>
  <si>
    <t>/PrimalChaos/1WaterDinos/1Beta/leech/Beta_Leech_Character_BP.Beta_Leech_Character_BP</t>
  </si>
  <si>
    <t>Beta Liopleurodon</t>
  </si>
  <si>
    <t>Beta_Liopleurodon_Character_BP_C</t>
  </si>
  <si>
    <t>/PrimalChaos/1WaterDinos/1Beta/liopleurodon/Beta_Liopleurodon_Character_BP.Beta_Liopleurodon_Character_BP</t>
  </si>
  <si>
    <t>Toxic Lystro</t>
  </si>
  <si>
    <t>ToxicLystro_Character_BP_C</t>
  </si>
  <si>
    <t>/PrimalChaos/1Dinos/1Toxic/Lystro/ToxicLystro_Character_BP.ToxicLystro_Character_BP</t>
  </si>
  <si>
    <t>Toxic Mammoth</t>
  </si>
  <si>
    <t>ToxicMammoth_Character_BP_C</t>
  </si>
  <si>
    <t>/PrimalChaos/1Dinos/1Toxic/Mammoth/ToxicMammoth_Character_BP.ToxicMammoth_Character_BP</t>
  </si>
  <si>
    <t>Beta Manta</t>
  </si>
  <si>
    <t>Beta_Manta_Character_BP_C</t>
  </si>
  <si>
    <t>/PrimalChaos/1WaterDinos/1Beta/manta/Beta_Manta_Character_BP.Beta_Manta_Character_BP</t>
  </si>
  <si>
    <t>Toxic Megalania</t>
  </si>
  <si>
    <t>ToxicMegalania_Character_BP_C</t>
  </si>
  <si>
    <t>/PrimalChaos/1Dinos/1Toxic/Megalania/ToxicMegalania_Character_BP.ToxicMegalania_Character_BP</t>
  </si>
  <si>
    <t>Beta Megalodon</t>
  </si>
  <si>
    <t>Beta_Megalodon_Character_BP_C</t>
  </si>
  <si>
    <t>/PrimalChaos/1WaterDinos/1Beta/megalodon/Beta_Megalodon_Character_BP.Beta_Megalodon_Character_BP</t>
  </si>
  <si>
    <t>Toxic Megalosaurus</t>
  </si>
  <si>
    <t>ToxicMegalosaurus_Character_BP_C</t>
  </si>
  <si>
    <t>/PrimalChaos/1Dinos/1Toxic/Megalo/ToxicMegalosaurus_Character_BP.ToxicMegalosaurus_Character_BP</t>
  </si>
  <si>
    <t>Toxic Megatherium</t>
  </si>
  <si>
    <t>ToxicMegatherium_Character_BP_C</t>
  </si>
  <si>
    <t>/PrimalChaos/1Dinos/1Toxic/Megatherium/ToxicMegatherium_Character_BP.ToxicMegatherium_Character_BP</t>
  </si>
  <si>
    <t>Toxic Monkey</t>
  </si>
  <si>
    <t>ToxicMonkey_Character_BP_C</t>
  </si>
  <si>
    <t>/PrimalChaos/1Dinos/1Toxic/Monkey/ToxicMonkey_Character_BP.ToxicMonkey_Character_BP</t>
  </si>
  <si>
    <t>Beta Mosa</t>
  </si>
  <si>
    <t>Beta_Mosa_Character_BP_C</t>
  </si>
  <si>
    <t>/PrimalChaos/1WaterDinos/1Beta/mosa/Beta_Mosa_Character_BP.Beta_Mosa_Character_BP</t>
  </si>
  <si>
    <t>Toxic Moschops</t>
  </si>
  <si>
    <t>ToxicMoschops_Character_BP_C</t>
  </si>
  <si>
    <t>/PrimalChaos/1Dinos/1Toxic/Moschops/ToxicMoschops_Character_BP.ToxicMoschops_Character_BP</t>
  </si>
  <si>
    <t>Toxic Onyc</t>
  </si>
  <si>
    <t>ToxicOnyc_Character_BP_C</t>
  </si>
  <si>
    <t>/PrimalChaos/1Dinos/1Toxic/Onyc/ToxicOnyc_Character_BP.ToxicOnyc_Character_BP</t>
  </si>
  <si>
    <t>Toxic Otter</t>
  </si>
  <si>
    <t>ToxicOtter_Character_BP_C</t>
  </si>
  <si>
    <t>/PrimalChaos/1Dinos/1Toxic/Otter/ToxicOtter_Character_BP.ToxicOtter_Character_BP</t>
  </si>
  <si>
    <t>Toxic Oviraptor</t>
  </si>
  <si>
    <t>ToxicOviraptor_Character_BP_C</t>
  </si>
  <si>
    <t>/PrimalChaos/1Dinos/1Toxic/Oviraptor/ToxicOviraptor_Character_BP.ToxicOviraptor_Character_BP</t>
  </si>
  <si>
    <t>Toxic Ovis</t>
  </si>
  <si>
    <t>ToxicOvis_Character_BP_C</t>
  </si>
  <si>
    <t>/PrimalChaos/1Dinos/1Toxic/Ovis/ToxicOvis_Character_BP.ToxicOvis_Character_BP</t>
  </si>
  <si>
    <t>Toxic Pachy</t>
  </si>
  <si>
    <t>ToxicPachy_Character_BP_C</t>
  </si>
  <si>
    <t>/PrimalChaos/1Dinos/1Toxic/Pachy/ToxicPachy_Character_BP.ToxicPachy_Character_BP</t>
  </si>
  <si>
    <t>Toxic Pachyrhino</t>
  </si>
  <si>
    <t>ToxicPachyrhino_Character_BP_C</t>
  </si>
  <si>
    <t>/PrimalChaos/1Dinos/1Toxic/Pachyrhino/ToxicPachyrhino_Character_BP.ToxicPachyrhino_Character_BP</t>
  </si>
  <si>
    <t>Toxic Para</t>
  </si>
  <si>
    <t>ToxicPara_Character_BP_C</t>
  </si>
  <si>
    <t>/PrimalChaos/1Dinos/1Toxic/Parasaur/ToxicPara_Character_BP.ToxicPara_Character_BP</t>
  </si>
  <si>
    <t>Toxic Paracer</t>
  </si>
  <si>
    <t>ToxicParacer_Character_BP_C</t>
  </si>
  <si>
    <t>/PrimalChaos/1Dinos/1Toxic/Paraceratherium/ToxicParacer_Character_BP.ToxicParacer_Character_BP</t>
  </si>
  <si>
    <t>Toxic Pegomastax</t>
  </si>
  <si>
    <t>ToxicPegomastax_Character_BP_C</t>
  </si>
  <si>
    <t>/PrimalChaos/1Dinos/1Toxic/Pegomastax/ToxicPegomastax_Character_BP.ToxicPegomastax_Character_BP</t>
  </si>
  <si>
    <t>Toxic Pela</t>
  </si>
  <si>
    <t>ToxicPela_Character_BP_C</t>
  </si>
  <si>
    <t>/PrimalChaos/1Dinos/1Toxic/Pelagornis/ToxicPela_Character_BP.ToxicPela_Character_BP</t>
  </si>
  <si>
    <t>Toxic Phiomia</t>
  </si>
  <si>
    <t>ToxicPhiomia_Character_BP_C</t>
  </si>
  <si>
    <t>/PrimalChaos/1Dinos/1Toxic/Phiomia/ToxicPhiomia_Character_BP.ToxicPhiomia_Character_BP</t>
  </si>
  <si>
    <t>Beta Piranha</t>
  </si>
  <si>
    <t>Beta_Piranha_Character_BP_C</t>
  </si>
  <si>
    <t>/PrimalChaos/1WaterDinos/1Beta/piranha/Beta_Piranha_Character_BP.Beta_Piranha_Character_BP</t>
  </si>
  <si>
    <t>Beta Plesiosaur</t>
  </si>
  <si>
    <t>Beta_Plesiosaur_Character_BP_C</t>
  </si>
  <si>
    <t>/PrimalChaos/1WaterDinos/1Beta/plesio/Beta_Plesiosaur_Character_BP.Beta_Plesiosaur_Character_BP</t>
  </si>
  <si>
    <t>Toxic Procoptodon</t>
  </si>
  <si>
    <t>ToxicProcoptodon_Character_BP_C</t>
  </si>
  <si>
    <t>/PrimalChaos/1Dinos/1Toxic/Procoptodon/ToxicProcoptodon_Character_BP.ToxicProcoptodon_Character_BP</t>
  </si>
  <si>
    <t>Toxic Ptero</t>
  </si>
  <si>
    <t>ToxicPtero_Character_BP_C</t>
  </si>
  <si>
    <t>/PrimalChaos/1Dinos/1Toxic/Ptera/ToxicPtero_Character_BP.ToxicPtero_Character_BP</t>
  </si>
  <si>
    <t>Toxic Purlovia</t>
  </si>
  <si>
    <t>ToxicPurlovia_Character_BP_C</t>
  </si>
  <si>
    <t>/PrimalChaos/1Dinos/1Toxic/Purlovia/ToxicPurlovia_Character_BP.ToxicPurlovia_Character_BP</t>
  </si>
  <si>
    <t>Toxic Quetz</t>
  </si>
  <si>
    <t>ToxicQuetz_Character_BP_C</t>
  </si>
  <si>
    <t>/PrimalChaos/1Dinos/1Toxic/Quetzal/ToxicQuetz_Character_BP.ToxicQuetz_Character_BP</t>
  </si>
  <si>
    <t>Toxic Raptor</t>
  </si>
  <si>
    <t>ToxicRaptor_Character_BP_C</t>
  </si>
  <si>
    <t>/PrimalChaos/1Dinos/1Toxic/Raptor/ToxicRaptor_Character_BP.ToxicRaptor_Character_BP</t>
  </si>
  <si>
    <t>Toxic Rex</t>
  </si>
  <si>
    <t>ToxicRex_Character_BP_C</t>
  </si>
  <si>
    <t>/PrimalChaos/1Dinos/1Toxic/Rex/ToxicRex_Character_BP.ToxicRex_Character_BP</t>
  </si>
  <si>
    <t>Toxic Rhino</t>
  </si>
  <si>
    <t>ToxicRhino_Character_BP_C</t>
  </si>
  <si>
    <t>/PrimalChaos/1Dinos/1Toxic/WoollyRhino/ToxicRhino_Character_BP.ToxicRhino_Character_BP</t>
  </si>
  <si>
    <t>Toxic Rhynio</t>
  </si>
  <si>
    <t>ToxicRhynio_Character_BP_C</t>
  </si>
  <si>
    <t>/PrimalChaos/1Dinos/1Toxic/Rhynio/ToxicRhynio_Character_BP.ToxicRhynio_Character_BP</t>
  </si>
  <si>
    <t>Toxic Saber</t>
  </si>
  <si>
    <t>ToxicSaber_Character_BP_C</t>
  </si>
  <si>
    <t>/PrimalChaos/1Dinos/1Toxic/Sabertooth/ToxicSaber_Character_BP.ToxicSaber_Character_BP</t>
  </si>
  <si>
    <t>Toxic Sarco</t>
  </si>
  <si>
    <t>ToxicSarco_Character_BP_C</t>
  </si>
  <si>
    <t>/PrimalChaos/1Dinos/1Toxic/Sarco/ToxicSarco_Character_BP.ToxicSarco_Character_BP</t>
  </si>
  <si>
    <t>Toxic Sauropod</t>
  </si>
  <si>
    <t>ToxicSauropod_Character_BP_C</t>
  </si>
  <si>
    <t>/PrimalChaos/1Dinos/1Toxic/Brontosaurus/ToxicSauropod_Character_BP.ToxicSauropod_Character_BP</t>
  </si>
  <si>
    <t>Toxic Scorpion</t>
  </si>
  <si>
    <t>ToxicScorpion_Character_BP_C</t>
  </si>
  <si>
    <t>/PrimalChaos/1Dinos/1Toxic/Pulmonoscorpius/ToxicScorpion_Character_BP.ToxicScorpion_Character_BP</t>
  </si>
  <si>
    <t>Toxic Spider</t>
  </si>
  <si>
    <t>ToxicSpider_Character_BP_C</t>
  </si>
  <si>
    <t>/PrimalChaos/1Dinos/1Toxic/Araneo/ToxicSpider_Character_BP.ToxicSpider_Character_BP</t>
  </si>
  <si>
    <t>Toxic Spino</t>
  </si>
  <si>
    <t>ToxicSpino_Character_BP_C</t>
  </si>
  <si>
    <t>/PrimalChaos/1Dinos/1Toxic/Spinosaurus/ToxicSpino_Character_BP.ToxicSpino_Character_BP</t>
  </si>
  <si>
    <t>Toxic Stag</t>
  </si>
  <si>
    <t>ToxicStag_Character_BP_C</t>
  </si>
  <si>
    <t>/PrimalChaos/1Dinos/1Toxic/Megaloceros/ToxicStag_Character_BP.ToxicStag_Character_BP</t>
  </si>
  <si>
    <t>Toxic Stego</t>
  </si>
  <si>
    <t>ToxicStego_Character_BP_C</t>
  </si>
  <si>
    <t>/PrimalChaos/1Dinos/1Toxic/Stego/ToxicStego_Character_BP.ToxicStego_Character_BP</t>
  </si>
  <si>
    <t>Toxic Tapejara</t>
  </si>
  <si>
    <t>ToxicTapejara_Character_BP_C</t>
  </si>
  <si>
    <t>/PrimalChaos/1Dinos/1Toxic/Tapejara/ToxicTapejara_Character_BP.ToxicTapejara_Character_BP</t>
  </si>
  <si>
    <t>Toxic Terror Bird</t>
  </si>
  <si>
    <t>ToxicTerrorBird_Character_BP_C</t>
  </si>
  <si>
    <t>/PrimalChaos/1Dinos/1Toxic/TerrorBird/ToxicTerrorBird_Character_BP.ToxicTerrorBird_Character_BP</t>
  </si>
  <si>
    <t>Toxic Therizino</t>
  </si>
  <si>
    <t>ToxicTherizino_Character_BP_C</t>
  </si>
  <si>
    <t>/PrimalChaos/1Dinos/1Toxic/Therizinosaurus/ToxicTherizino_Character_BP.ToxicTherizino_Character_BP</t>
  </si>
  <si>
    <t>Toxic Thylacoleo</t>
  </si>
  <si>
    <t>ToxicThylacoleo_Character_BP_C</t>
  </si>
  <si>
    <t>/PrimalChaos/1Dinos/1Toxic/Thyla/ToxicThylacoleo_Character_BP.ToxicThylacoleo_Character_BP</t>
  </si>
  <si>
    <t>Toxic Titanosaur</t>
  </si>
  <si>
    <t>ToxicTitanosaur_Character_BP_C</t>
  </si>
  <si>
    <t>/PrimalChaos/1Dinos/1Toxic/Titanosaur/ToxicTitanosaur_Character_BP.ToxicTitanosaur_Character_BP</t>
  </si>
  <si>
    <t>Toxic Toad</t>
  </si>
  <si>
    <t>ToxicToad_Character_BP_C</t>
  </si>
  <si>
    <t>/PrimalChaos/1Dinos/1Toxic/Frog/ToxicToad_Character_BP.ToxicToad_Character_BP</t>
  </si>
  <si>
    <t>Toxic Trike</t>
  </si>
  <si>
    <t>ToxicTrike_Character_BP_C</t>
  </si>
  <si>
    <t>/PrimalChaos/1Dinos/1Toxic/Trike/ToxicTrike_Character_BP.ToxicTrike_Character_BP</t>
  </si>
  <si>
    <t>Beta Trilobite</t>
  </si>
  <si>
    <t>Beta_Trilobite_Character_BP_C</t>
  </si>
  <si>
    <t>/PrimalChaos/1WaterDinos/1Beta/trilobite/Beta_Trilobite_Character_BP.Beta_Trilobite_Character_BP</t>
  </si>
  <si>
    <t>Toxic Troodon</t>
  </si>
  <si>
    <t>ToxicTroodon_Character_BP_C</t>
  </si>
  <si>
    <t>/PrimalChaos/1Dinos/1Toxic/Troodon/ToxicTroodon_Character_BP.ToxicTroodon_Character_BP</t>
  </si>
  <si>
    <t>Toxic Turkey</t>
  </si>
  <si>
    <t>ToxicTurkey_Character_BP_C</t>
  </si>
  <si>
    <t>/PrimalChaos/1Dinos/1Toxic/Turkey/ToxicTurkey_Character_BP.ToxicTurkey_Character_BP</t>
  </si>
  <si>
    <t>Toxic Turtle</t>
  </si>
  <si>
    <t>ToxicTurtle_Character_BP_C</t>
  </si>
  <si>
    <t>/PrimalChaos/1Dinos/1Toxic/Turtle/ToxicTurtle_Character_BP.ToxicTurtle_Character_BP</t>
  </si>
  <si>
    <t>Beta Tusoteuthis</t>
  </si>
  <si>
    <t>Beta_Tusoteuthis_Character_BP_C</t>
  </si>
  <si>
    <t>/PrimalChaos/1WaterDinos/1Beta/tusoteuthis/Beta_Tusoteuthis_Character_BP.Beta_Tusoteuthis_Character_BP</t>
  </si>
  <si>
    <t>Toxic Yutyrannus</t>
  </si>
  <si>
    <t>ToxicYutyrannus_Character_BP_C</t>
  </si>
  <si>
    <t>/PrimalChaos/1Dinos/1Toxic/Yuty/ToxicYutyrannus_Character_BP.ToxicYutyrannus_Character_BP</t>
  </si>
  <si>
    <t>Alpha</t>
  </si>
  <si>
    <t>Alpha Achatina</t>
  </si>
  <si>
    <t>AlphaAchatina_Character_BP_C</t>
  </si>
  <si>
    <t>/PrimalChaos/1Dinos/2Alpha/Achitina/AlphaAchatina_Character_BP.AlphaAchatina_Character_BP</t>
  </si>
  <si>
    <t>Alpha Allo</t>
  </si>
  <si>
    <t>AlphaAllo_Character_BP_C</t>
  </si>
  <si>
    <t>/PrimalChaos/1Dinos/2Alpha/Allo/AlphaAllo_Character_BP.AlphaAllo_Character_BP</t>
  </si>
  <si>
    <t>Alpha Ankylo</t>
  </si>
  <si>
    <t>AlphaAnkylo_Character_BP_C</t>
  </si>
  <si>
    <t>/PrimalChaos/1Dinos/2Alpha/Ankylosaurus/AlphaAnkylo_Character_BP.AlphaAnkylo_Character_BP</t>
  </si>
  <si>
    <t>Alpha Ant</t>
  </si>
  <si>
    <t>AlphaAnt_Character_BP_C</t>
  </si>
  <si>
    <t>/PrimalChaos/1Dinos/2Alpha/Ant/AlphaAnt_Character_BP.AlphaAnt_Character_BP</t>
  </si>
  <si>
    <t>Alpha Archa</t>
  </si>
  <si>
    <t>AlphaArcha_Character_BP_C</t>
  </si>
  <si>
    <t>/PrimalChaos/1Dinos/2Alpha/Archaeopteryx/AlphaArcha_Character_BP.AlphaArcha_Character_BP</t>
  </si>
  <si>
    <t>Alpha Argent</t>
  </si>
  <si>
    <t>AlphaArgent_Character_BP_C</t>
  </si>
  <si>
    <t>/PrimalChaos/1Dinos/2Alpha/Argentavis/AlphaArgent_Character_BP.AlphaArgent_Character_BP</t>
  </si>
  <si>
    <t>Alpha Arthro</t>
  </si>
  <si>
    <t>AlphaArthro_Character_BP_C</t>
  </si>
  <si>
    <t>/PrimalChaos/1Dinos/2Alpha/Arthropluera/AlphaArthro_Character_BP.AlphaArthro_Character_BP</t>
  </si>
  <si>
    <t>Alpha Baryonyx</t>
  </si>
  <si>
    <t>AlphaBaryonyx_Character_BP_C</t>
  </si>
  <si>
    <t>/PrimalChaos/1Dinos/2Alpha/Baryonyx/AlphaBaryonyx_Character_BP.AlphaBaryonyx_Character_BP</t>
  </si>
  <si>
    <t>Alpha Basilo</t>
  </si>
  <si>
    <t>Alpha_Basilo_Character_BP_C</t>
  </si>
  <si>
    <t>/PrimalChaos/1WaterDinos/2Alpha/Basilo/Alpha_Basilo_Character_BP.Alpha_Basilo_Character_BP</t>
  </si>
  <si>
    <t>Alpha Beaver</t>
  </si>
  <si>
    <t>AlphaBeaver_Character_BP_C</t>
  </si>
  <si>
    <t>/PrimalChaos/1Dinos/2Alpha/Castoroides/AlphaBeaver_Character_BP.AlphaBeaver_Character_BP</t>
  </si>
  <si>
    <t>Alpha Bigfoot</t>
  </si>
  <si>
    <t>AlphaBigfoot_Character_BP_C</t>
  </si>
  <si>
    <t>/PrimalChaos/1Dinos/2Alpha/Gigantopithecus/AlphaBigfoot_Character_BP.AlphaBigfoot_Character_BP</t>
  </si>
  <si>
    <t>Alpha Boa Frill</t>
  </si>
  <si>
    <t>AlphaBoaFrill_Character_BP_C</t>
  </si>
  <si>
    <t>/PrimalChaos/1Dinos/2Alpha/Snake/AlphaBoaFrill_Character_BP.AlphaBoaFrill_Character_BP</t>
  </si>
  <si>
    <t>Alpha Carno</t>
  </si>
  <si>
    <t>AlphaCarno_Character_BP_C</t>
  </si>
  <si>
    <t>/PrimalChaos/1Dinos/2Alpha/Carno/AlphaCarno_Character_BP.AlphaCarno_Character_BP</t>
  </si>
  <si>
    <t>Alpha Chalico</t>
  </si>
  <si>
    <t>AlphaChalico_Character_BP_C</t>
  </si>
  <si>
    <t>/PrimalChaos/1Dinos/2Alpha/Chalicotherium/AlphaChalico_Character_BP.AlphaChalico_Character_BP</t>
  </si>
  <si>
    <t>Alpha Cnidaria</t>
  </si>
  <si>
    <t>Alpha_Cnidaria_Character_BP_C</t>
  </si>
  <si>
    <t>/PrimalChaos/1WaterDinos/2Alpha/Cnidaria/Alpha_Cnidaria_Character_BP.Alpha_Cnidaria_Character_BP</t>
  </si>
  <si>
    <t>Alpha Compy</t>
  </si>
  <si>
    <t>AlphaCompy_Character_BP_C</t>
  </si>
  <si>
    <t>/PrimalChaos/1Dinos/2Alpha/Compy/AlphaCompy_Character_BP.AlphaCompy_Character_BP</t>
  </si>
  <si>
    <t>Alpha Daeodon</t>
  </si>
  <si>
    <t>AlphaDaeodon_Character_BP_C</t>
  </si>
  <si>
    <t>/PrimalChaos/1Dinos/2Alpha/Daeodon/AlphaDaeodon_Character_BP.AlphaDaeodon_Character_BP</t>
  </si>
  <si>
    <t>Alpha Dilo</t>
  </si>
  <si>
    <t>AlphaDilo_Character_BP_C</t>
  </si>
  <si>
    <t>/PrimalChaos/1Dinos/2Alpha/Dilo/AlphaDilo_Character_BP.AlphaDilo_Character_BP</t>
  </si>
  <si>
    <t>Alpha Dimetro</t>
  </si>
  <si>
    <t>AlphaDimetro_Character_BP_C</t>
  </si>
  <si>
    <t>/PrimalChaos/1Dinos/2Alpha/Dimetrodon/AlphaDimetro_Character_BP.AlphaDimetro_Character_BP</t>
  </si>
  <si>
    <t>Alpha Dimorph</t>
  </si>
  <si>
    <t>AlphaDimorph_Character_BP_C</t>
  </si>
  <si>
    <t>/PrimalChaos/1Dinos/2Alpha/Dimorphodon/AlphaDimorph_Character_BP.AlphaDimorph_Character_BP</t>
  </si>
  <si>
    <t>Alpha Diplocaulus</t>
  </si>
  <si>
    <t>Alpha_Diplocaulus_Character_BP_C</t>
  </si>
  <si>
    <t>/PrimalChaos/1WaterDinos/2Alpha/Diplocaulus/Alpha_Diplocaulus_Character_BP.Alpha_Diplocaulus_Character_BP</t>
  </si>
  <si>
    <t>Alpha Diplodocus</t>
  </si>
  <si>
    <t>AlphaDiplodocus_Character_BP_C</t>
  </si>
  <si>
    <t>/PrimalChaos/1Dinos/2Alpha/Diplodocus/AlphaDiplodocus_Character_BP.AlphaDiplodocus_Character_BP</t>
  </si>
  <si>
    <t>Alpha Direbear</t>
  </si>
  <si>
    <t>AlphaDirebear_Character_BP_C</t>
  </si>
  <si>
    <t>/PrimalChaos/1Dinos/2Alpha/Direbear/AlphaDirebear_Character_BP.AlphaDirebear_Character_BP</t>
  </si>
  <si>
    <t>Alpha Direwolf</t>
  </si>
  <si>
    <t>AlphaDirewolf_Character_BP_C</t>
  </si>
  <si>
    <t>/PrimalChaos/1Dinos/2Alpha/Direwolf/AlphaDirewolf_Character_BP.AlphaDirewolf_Character_BP</t>
  </si>
  <si>
    <t>Alpha Dodo</t>
  </si>
  <si>
    <t>AlphaDodo_Character_BP_C</t>
  </si>
  <si>
    <t>/PrimalChaos/1Dinos/2Alpha/Dodo/AlphaDodo_Character_BP.AlphaDodo_Character_BP</t>
  </si>
  <si>
    <t>Alpha Doed</t>
  </si>
  <si>
    <t>AlphaDoed_Character_BP_C</t>
  </si>
  <si>
    <t>/PrimalChaos/1Dinos/2Alpha/Doedicurus/AlphaDoed_Character_BP.AlphaDoed_Character_BP</t>
  </si>
  <si>
    <t>Alpha Dragonfly</t>
  </si>
  <si>
    <t>AlphaDragonfly_Character_BP_C</t>
  </si>
  <si>
    <t>/PrimalChaos/1Dinos/2Alpha/Dragonfly/AlphaDragonfly_Character_BP.AlphaDragonfly_Character_BP</t>
  </si>
  <si>
    <t>Alpha Dung Beetle</t>
  </si>
  <si>
    <t>AlphaDungBeetle_Character_BP_C</t>
  </si>
  <si>
    <t>/PrimalChaos/1Dinos/2Alpha/Dungbeetle/AlphaDungBeetle_Character_BP.AlphaDungBeetle_Character_BP</t>
  </si>
  <si>
    <t>Alpha Dunkleo</t>
  </si>
  <si>
    <t>Alpha_Dunkleo_Character_BP_C</t>
  </si>
  <si>
    <t>/PrimalChaos/1WaterDinos/2Alpha/Dunkleo/Alpha_Dunkleo_Character_BP.Alpha_Dunkleo_Character_BP</t>
  </si>
  <si>
    <t>Alpha Electrophorus</t>
  </si>
  <si>
    <t>Alpha_Electrophorus_Character_BP_C</t>
  </si>
  <si>
    <t>/PrimalChaos/1WaterDinos/2Alpha/Electrophorus/Alpha_Electrophorus_Character_BP.Alpha_Electrophorus_Character_BP</t>
  </si>
  <si>
    <t>Alpha Equus</t>
  </si>
  <si>
    <t>AlphaEquus_Character_BP_C</t>
  </si>
  <si>
    <t>/PrimalChaos/1Dinos/2Alpha/Equus/AlphaEquus_Character_BP.AlphaEquus_Character_BP</t>
  </si>
  <si>
    <t>Alpha Eurypterid</t>
  </si>
  <si>
    <t>Alpha_Eurypterid_Character_BP_C</t>
  </si>
  <si>
    <t>/PrimalChaos/1WaterDinos/2Alpha/eurypterid/Alpha_Eurypterid_Character_BP.Alpha_Eurypterid_Character_BP</t>
  </si>
  <si>
    <t>Alpha Galli</t>
  </si>
  <si>
    <t>AlphaGalli_Character_BP_C</t>
  </si>
  <si>
    <t>/PrimalChaos/1Dinos/2Alpha/Gallimimus/AlphaGalli_Character_BP.AlphaGalli_Character_BP</t>
  </si>
  <si>
    <t>Alpha Gigant</t>
  </si>
  <si>
    <t>AlphaGigant_Character_BP_C</t>
  </si>
  <si>
    <t>/PrimalChaos/1Dinos/2Alpha/Giga/AlphaGigant_Character_BP.AlphaGigant_Character_BP</t>
  </si>
  <si>
    <t>Alpha Hesperornis</t>
  </si>
  <si>
    <t>AlphaHesperornis_Character_BP_C</t>
  </si>
  <si>
    <t>/PrimalChaos/1Dinos/2Alpha/Hesperornis/AlphaHesperornis_Character_BP.AlphaHesperornis_Character_BP</t>
  </si>
  <si>
    <t>Alpha Hyaenodon</t>
  </si>
  <si>
    <t>AlphaHyaenodon_Character_BP_C</t>
  </si>
  <si>
    <t>/PrimalChaos/1Dinos/2Alpha/Hyena/AlphaHyaenodon_Character_BP.AlphaHyaenodon_Character_BP</t>
  </si>
  <si>
    <t>Alpha Iguanodon</t>
  </si>
  <si>
    <t>AlphaIguanodon_Character_BP_C</t>
  </si>
  <si>
    <t>/PrimalChaos/1Dinos/2Alpha/Iguanodon/AlphaIguanodon_Character_BP.AlphaIguanodon_Character_BP</t>
  </si>
  <si>
    <t>Alpha Kairuku</t>
  </si>
  <si>
    <t>AlphaKairuku_Character_BP_C</t>
  </si>
  <si>
    <t>/PrimalChaos/1Dinos/2Alpha/Kairuku/AlphaKairuku_Character_BP.AlphaKairuku_Character_BP</t>
  </si>
  <si>
    <t>Alpha Kaprosuchus</t>
  </si>
  <si>
    <t>AlphaKaprosuchus_Character_BP_C</t>
  </si>
  <si>
    <t>/PrimalChaos/1Dinos/2Alpha/Kaprosuchus/AlphaKaprosuchus_Character_BP.AlphaKaprosuchus_Character_BP</t>
  </si>
  <si>
    <t>Alpha Kentro</t>
  </si>
  <si>
    <t>AlphaKentro_Character_BP_C</t>
  </si>
  <si>
    <t>/PrimalChaos/1Dinos/2Alpha/Kentro/AlphaKentro_Character_BP.AlphaKentro_Character_BP</t>
  </si>
  <si>
    <t>Alpha Leech</t>
  </si>
  <si>
    <t>Alpha_Leech_Character_BP_C</t>
  </si>
  <si>
    <t>/PrimalChaos/1WaterDinos/2Alpha/leech/Alpha_Leech_Character_BP.Alpha_Leech_Character_BP</t>
  </si>
  <si>
    <t>Alpha Liopleurodon</t>
  </si>
  <si>
    <t>Alpha_Liopleurodon_Character_BP_C</t>
  </si>
  <si>
    <t>/PrimalChaos/1WaterDinos/2Alpha/liopleurodon/Alpha_Liopleurodon_Character_BP.Alpha_Liopleurodon_Character_BP</t>
  </si>
  <si>
    <t>Alpha Lystro</t>
  </si>
  <si>
    <t>AlphaLystro_Character_BP_C</t>
  </si>
  <si>
    <t>/PrimalChaos/1Dinos/2Alpha/Lystro/AlphaLystro_Character_BP.AlphaLystro_Character_BP</t>
  </si>
  <si>
    <t>Alpha Mammoth</t>
  </si>
  <si>
    <t>AlphaMammoth_Character_BP_C</t>
  </si>
  <si>
    <t>/PrimalChaos/1Dinos/2Alpha/Mammoth/AlphaMammoth_Character_BP.AlphaMammoth_Character_BP</t>
  </si>
  <si>
    <t>Alpha Manta</t>
  </si>
  <si>
    <t>Alpha_Manta_Character_BP_C</t>
  </si>
  <si>
    <t>/PrimalChaos/1WaterDinos/2Alpha/manta/Alpha_Manta_Character_BP.Alpha_Manta_Character_BP</t>
  </si>
  <si>
    <t>Alpha Megalania</t>
  </si>
  <si>
    <t>AlphaMegalania_Character_BP_C</t>
  </si>
  <si>
    <t>/PrimalChaos/1Dinos/2Alpha/Megalania/AlphaMegalania_Character_BP.AlphaMegalania_Character_BP</t>
  </si>
  <si>
    <t>Alpha Megalodon</t>
  </si>
  <si>
    <t>Alpha_Megalodon_Character_BP_C</t>
  </si>
  <si>
    <t>/PrimalChaos/1WaterDinos/2Alpha/megalodon/Alpha_Megalodon_Character_BP.Alpha_Megalodon_Character_BP</t>
  </si>
  <si>
    <t>Alpha Megalosaurus</t>
  </si>
  <si>
    <t>AlphaMegalosaurus_Character_BP_C</t>
  </si>
  <si>
    <t>/PrimalChaos/1Dinos/2Alpha/Megalo/AlphaMegalosaurus_Character_BP.AlphaMegalosaurus_Character_BP</t>
  </si>
  <si>
    <t>Alpha Megatherium</t>
  </si>
  <si>
    <t>AlphaMegatherium_Character_BP_C</t>
  </si>
  <si>
    <t>/PrimalChaos/1Dinos/2Alpha/Megatherium/AlphaMegatherium_Character_BP.AlphaMegatherium_Character_BP</t>
  </si>
  <si>
    <t>Alpha Monkey</t>
  </si>
  <si>
    <t>AlphaMonkey_Character_BP_C</t>
  </si>
  <si>
    <t>/PrimalChaos/1Dinos/2Alpha/Monkey/AlphaMonkey_Character_BP.AlphaMonkey_Character_BP</t>
  </si>
  <si>
    <t>Alpha Mosa</t>
  </si>
  <si>
    <t>Alpha_Mosa_Character_BP_C</t>
  </si>
  <si>
    <t>/PrimalChaos/1WaterDinos/2Alpha/mosa/Alpha_Mosa_Character_BP.Alpha_Mosa_Character_BP</t>
  </si>
  <si>
    <t>Alpha Moschops</t>
  </si>
  <si>
    <t>AlphaMoschops_Character_BP_C</t>
  </si>
  <si>
    <t>/PrimalChaos/1Dinos/2Alpha/Moschops/AlphaMoschops_Character_BP.AlphaMoschops_Character_BP</t>
  </si>
  <si>
    <t>Alpha Onyc</t>
  </si>
  <si>
    <t>AlphaOnyc_Character_BP_C</t>
  </si>
  <si>
    <t>/PrimalChaos/1Dinos/2Alpha/Onyc/AlphaOnyc_Character_BP.AlphaOnyc_Character_BP</t>
  </si>
  <si>
    <t>Alpha Otter</t>
  </si>
  <si>
    <t>AlphaOtter_Character_BP_C</t>
  </si>
  <si>
    <t>/PrimalChaos/1Dinos/2Alpha/Otter/AlphaOtter_Character_BP.AlphaOtter_Character_BP</t>
  </si>
  <si>
    <t>Alpha Oviraptor</t>
  </si>
  <si>
    <t>AlphaOviraptor_Character_BP_C</t>
  </si>
  <si>
    <t>/PrimalChaos/1Dinos/2Alpha/Oviraptor/AlphaOviraptor_Character_BP.AlphaOviraptor_Character_BP</t>
  </si>
  <si>
    <t>Alpha Ovis</t>
  </si>
  <si>
    <t>AlphaOvis_Character_BP_C</t>
  </si>
  <si>
    <t>/PrimalChaos/1Dinos/2Alpha/Ovis/AlphaOvis_Character_BP.AlphaOvis_Character_BP</t>
  </si>
  <si>
    <t>Alpha Pachy</t>
  </si>
  <si>
    <t>AlphaPachy_Character_BP_C</t>
  </si>
  <si>
    <t>/PrimalChaos/1Dinos/2Alpha/Pachy/AlphaPachy_Character_BP.AlphaPachy_Character_BP</t>
  </si>
  <si>
    <t>Alpha Pachyrhino</t>
  </si>
  <si>
    <t>AlphaPachyrhino_Character_BP_C</t>
  </si>
  <si>
    <t>/PrimalChaos/1Dinos/2Alpha/Pachyrhino/AlphaPachyrhino_Character_BP.AlphaPachyrhino_Character_BP</t>
  </si>
  <si>
    <t>Alpha Para</t>
  </si>
  <si>
    <t>AlphaPara_Character_BP_C</t>
  </si>
  <si>
    <t>/PrimalChaos/1Dinos/2Alpha/Parasaur/AlphaPara_Character_BP.AlphaPara_Character_BP</t>
  </si>
  <si>
    <t>Alpha Paracer</t>
  </si>
  <si>
    <t>AlphaParacer_Character_BP_C</t>
  </si>
  <si>
    <t>/PrimalChaos/1Dinos/2Alpha/Paraceratherium/AlphaParacer_Character_BP.AlphaParacer_Character_BP</t>
  </si>
  <si>
    <t>Alpha Pegomastax</t>
  </si>
  <si>
    <t>AlphaPegomastax_Character_BP_C</t>
  </si>
  <si>
    <t>/PrimalChaos/1Dinos/2Alpha/Pegomastax/AlphaPegomastax_Character_BP.AlphaPegomastax_Character_BP</t>
  </si>
  <si>
    <t>Alpha Pela</t>
  </si>
  <si>
    <t>AlphaPela_Character_BP_C</t>
  </si>
  <si>
    <t>/PrimalChaos/1Dinos/2Alpha/Pelagornis/AlphaPela_Character_BP.AlphaPela_Character_BP</t>
  </si>
  <si>
    <t>Alpha Phiomia</t>
  </si>
  <si>
    <t>AlphaPhiomia_Character_BP_C</t>
  </si>
  <si>
    <t>/PrimalChaos/1Dinos/2Alpha/Phiomia/AlphaPhiomia_Character_BP.AlphaPhiomia_Character_BP</t>
  </si>
  <si>
    <t>Alpha Piranha</t>
  </si>
  <si>
    <t>Alpha_Piranha_Character_BP_C</t>
  </si>
  <si>
    <t>/PrimalChaos/1WaterDinos/2Alpha/piranha/Alpha_Piranha_Character_BP.Alpha_Piranha_Character_BP</t>
  </si>
  <si>
    <t>Alpha Plesiosaur</t>
  </si>
  <si>
    <t>Alpha_Plesiosaur_Character_BP_C</t>
  </si>
  <si>
    <t>/PrimalChaos/1WaterDinos/2Alpha/plesio/Alpha_Plesiosaur_Character_BP.Alpha_Plesiosaur_Character_BP</t>
  </si>
  <si>
    <t>Alpha Procoptodon</t>
  </si>
  <si>
    <t>AlphaProcoptodon_Character_BP_C</t>
  </si>
  <si>
    <t>/PrimalChaos/1Dinos/2Alpha/Procoptodon/AlphaProcoptodon_Character_BP.AlphaProcoptodon_Character_BP</t>
  </si>
  <si>
    <t>Alpha Ptero</t>
  </si>
  <si>
    <t>AlphaPtero_Character_BP_C</t>
  </si>
  <si>
    <t>/PrimalChaos/1Dinos/2Alpha/Ptera/AlphaPtero_Character_BP.AlphaPtero_Character_BP</t>
  </si>
  <si>
    <t>Alpha Purlovia</t>
  </si>
  <si>
    <t>AlphaPurlovia_Character_BP_C</t>
  </si>
  <si>
    <t>/PrimalChaos/1Dinos/2Alpha/Purlovia/AlphaPurlovia_Character_BP.AlphaPurlovia_Character_BP</t>
  </si>
  <si>
    <t>Alpha Quetz</t>
  </si>
  <si>
    <t>AlphaQuetz_Character_BP_C</t>
  </si>
  <si>
    <t>/PrimalChaos/1Dinos/2Alpha/Quetzal/AlphaQuetz_Character_BP.AlphaQuetz_Character_BP</t>
  </si>
  <si>
    <t>Alpha Raptor</t>
  </si>
  <si>
    <t>AlphaRaptor_Character_BP_C</t>
  </si>
  <si>
    <t>/PrimalChaos/1Dinos/2Alpha/Raptor/AlphaRaptor_Character_BP.AlphaRaptor_Character_BP</t>
  </si>
  <si>
    <t>Alpha Rex</t>
  </si>
  <si>
    <t>AlphaRex_Character_BP_C</t>
  </si>
  <si>
    <t>/PrimalChaos/1Dinos/2Alpha/Rex/AlphaRex_Character_BP.AlphaRex_Character_BP</t>
  </si>
  <si>
    <t>Alpha Rhino</t>
  </si>
  <si>
    <t>AlphaRhino_Character_BP_C</t>
  </si>
  <si>
    <t>/PrimalChaos/1Dinos/2Alpha/WoollyRhino/AlphaRhino_Character_BP.AlphaRhino_Character_BP</t>
  </si>
  <si>
    <t>Alpha Rhynio</t>
  </si>
  <si>
    <t>AlphaRhynio_Character_BP_C</t>
  </si>
  <si>
    <t>/PrimalChaos/1Dinos/2Alpha/Rhynio/AlphaRhynio_Character_BP.AlphaRhynio_Character_BP</t>
  </si>
  <si>
    <t>Alpha Saber</t>
  </si>
  <si>
    <t>AlphaSaber_Character_BP_C</t>
  </si>
  <si>
    <t>/PrimalChaos/1Dinos/2Alpha/Sabertooth/AlphaSaber_Character_BP.AlphaSaber_Character_BP</t>
  </si>
  <si>
    <t>Alpha Sarco</t>
  </si>
  <si>
    <t>AlphaSarco_Character_BP_C</t>
  </si>
  <si>
    <t>/PrimalChaos/1Dinos/2Alpha/Sarco/AlphaSarco_Character_BP.AlphaSarco_Character_BP</t>
  </si>
  <si>
    <t>Alpha Sauropod</t>
  </si>
  <si>
    <t>AlphaSauropod_Character_BP_C</t>
  </si>
  <si>
    <t>/PrimalChaos/1Dinos/2Alpha/Brontosaurus/AlphaSauropod_Character_BP.AlphaSauropod_Character_BP</t>
  </si>
  <si>
    <t>Alpha Scorpion</t>
  </si>
  <si>
    <t>AlphaScorpion_Character_BP_C</t>
  </si>
  <si>
    <t>/PrimalChaos/1Dinos/2Alpha/Pulmonoscorpius/AlphaScorpion_Character_BP.AlphaScorpion_Character_BP</t>
  </si>
  <si>
    <t>Alpha Spider</t>
  </si>
  <si>
    <t>AlphaSpider_Character_BP_C</t>
  </si>
  <si>
    <t>/PrimalChaos/1Dinos/2Alpha/Araneo/AlphaSpider_Character_BP.AlphaSpider_Character_BP</t>
  </si>
  <si>
    <t>Alpha Spino</t>
  </si>
  <si>
    <t>AlphaSpino_Character_BP_C</t>
  </si>
  <si>
    <t>/PrimalChaos/1Dinos/2Alpha/Spinosaurus/AlphaSpino_Character_BP.AlphaSpino_Character_BP</t>
  </si>
  <si>
    <t>Alpha Stag</t>
  </si>
  <si>
    <t>AlphaStag_Character_BP_C</t>
  </si>
  <si>
    <t>/PrimalChaos/1Dinos/2Alpha/Megaloceros/AlphaStag_Character_BP.AlphaStag_Character_BP</t>
  </si>
  <si>
    <t>Alpha Stego</t>
  </si>
  <si>
    <t>AlphaStego_Character_BP_C</t>
  </si>
  <si>
    <t>/PrimalChaos/1Dinos/2Alpha/Stego/AlphaStego_Character_BP.AlphaStego_Character_BP</t>
  </si>
  <si>
    <t>Alpha Tapejara</t>
  </si>
  <si>
    <t>AlphaTapejara_Character_BP_C</t>
  </si>
  <si>
    <t>/PrimalChaos/1Dinos/2Alpha/Tapejara/AlphaTapejara_Character_BP.AlphaTapejara_Character_BP</t>
  </si>
  <si>
    <t>Alpha Terror Bird</t>
  </si>
  <si>
    <t>AlphaTerrorBird_Character_BP_C</t>
  </si>
  <si>
    <t>/PrimalChaos/1Dinos/2Alpha/TerrorBird/AlphaTerrorBird_Character_BP.AlphaTerrorBird_Character_BP</t>
  </si>
  <si>
    <t>Alpha Therizino</t>
  </si>
  <si>
    <t>AlphaTherizino_Character_BP_C</t>
  </si>
  <si>
    <t>/PrimalChaos/1Dinos/2Alpha/Therizinosaurus/AlphaTherizino_Character_BP.AlphaTherizino_Character_BP</t>
  </si>
  <si>
    <t>Alpha Thylacoleo</t>
  </si>
  <si>
    <t>AlphaThylacoleo_Character_BP_C</t>
  </si>
  <si>
    <t>/PrimalChaos/1Dinos/2Alpha/Thyla/AlphaThylacoleo_Character_BP.AlphaThylacoleo_Character_BP</t>
  </si>
  <si>
    <t>Alpha Titanosaur</t>
  </si>
  <si>
    <t>AlphaTitanosaur_Character_BP_C</t>
  </si>
  <si>
    <t>/PrimalChaos/1Dinos/2Alpha/Titanosaur/AlphaTitanosaur_Character_BP.AlphaTitanosaur_Character_BP</t>
  </si>
  <si>
    <t>Alpha Toad</t>
  </si>
  <si>
    <t>AlphaToad_Character_BP_C</t>
  </si>
  <si>
    <t>/PrimalChaos/1Dinos/2Alpha/Frog/AlphaToad_Character_BP.AlphaToad_Character_BP</t>
  </si>
  <si>
    <t>Alpha Trike</t>
  </si>
  <si>
    <t>AlphaTrike_Character_BP_C</t>
  </si>
  <si>
    <t>/PrimalChaos/1Dinos/2Alpha/Trike/AlphaTrike_Character_BP.AlphaTrike_Character_BP</t>
  </si>
  <si>
    <t>Alpha Trilobite</t>
  </si>
  <si>
    <t>Alpha_Trilobite_Character_BP_C</t>
  </si>
  <si>
    <t>/PrimalChaos/1WaterDinos/2Alpha/trilobite/Alpha_Trilobite_Character_BP.Alpha_Trilobite_Character_BP</t>
  </si>
  <si>
    <t>Alpha Troodon</t>
  </si>
  <si>
    <t>AlphaTroodon_Character_BP_C</t>
  </si>
  <si>
    <t>/PrimalChaos/1Dinos/2Alpha/Troodon/AlphaTroodon_Character_BP.AlphaTroodon_Character_BP</t>
  </si>
  <si>
    <t>Alpha Turkey</t>
  </si>
  <si>
    <t>AlphaTurkey_Character_BP_C</t>
  </si>
  <si>
    <t>/PrimalChaos/1Dinos/2Alpha/Turkey/AlphaTurkey_Character_BP.AlphaTurkey_Character_BP</t>
  </si>
  <si>
    <t>Alpha Turtle</t>
  </si>
  <si>
    <t>AlphaTurtle_Character_BP_C</t>
  </si>
  <si>
    <t>/PrimalChaos/1Dinos/2Alpha/Turtle/AlphaTurtle_Character_BP.AlphaTurtle_Character_BP</t>
  </si>
  <si>
    <t>Alpha Tusoteuthis</t>
  </si>
  <si>
    <t>Alpha_Tusoteuthis_Character_BP_C</t>
  </si>
  <si>
    <t>/PrimalChaos/1WaterDinos/2Alpha/tusoteuthis/Alpha_Tusoteuthis_Character_BP.Alpha_Tusoteuthis_Character_BP</t>
  </si>
  <si>
    <t>Alpha Yutyrannus</t>
  </si>
  <si>
    <t>AlphaYutyrannus_Character_BP_C</t>
  </si>
  <si>
    <t>/PrimalChaos/1Dinos/2Alpha/Yuty/AlphaYutyrannus_Character_BP.AlphaYutyrannus_Character_BP</t>
  </si>
  <si>
    <t>Electric</t>
  </si>
  <si>
    <t>Electric Allo</t>
  </si>
  <si>
    <t>ElectricAllo_Character_BP_C</t>
  </si>
  <si>
    <t>/PrimalChaos/1Dinos/3Elemental/Electric/Allo/ElectricAllo_Character_BP.ElectricAllo_Character_BP</t>
  </si>
  <si>
    <t>Electric Argent</t>
  </si>
  <si>
    <t>ElectricArgent_Character_BP_C</t>
  </si>
  <si>
    <t>/PrimalChaos/1Dinos/3Elemental/Electric/Argent/ElectricArgent_Character_BP.ElectricArgent_Character_BP</t>
  </si>
  <si>
    <t>Electric Basilo</t>
  </si>
  <si>
    <t>Electric_Basilo_Character_BP_C</t>
  </si>
  <si>
    <t>/PrimalChaos/1WaterDinos/3Elemental/Electric/Basilo/Electric_Basilo_Character_BP.Electric_Basilo_Character_BP</t>
  </si>
  <si>
    <t>Electric Cnidaria</t>
  </si>
  <si>
    <t>Electric_Cnidaria_Character_BP_C</t>
  </si>
  <si>
    <t>/PrimalChaos/1WaterDinos/3Elemental/Electric/Cnidaria/Electric_Cnidaria_Character_BP.Electric_Cnidaria_Character_BP</t>
  </si>
  <si>
    <t>Electric Diplo</t>
  </si>
  <si>
    <t>Electric_Diplo_Character_BP_C</t>
  </si>
  <si>
    <t>/PrimalChaos/1WaterDinos/3Elemental/Electric/Diplocaulus/Electric_Diplo_Character_BP.Electric_Diplo_Character_BP</t>
  </si>
  <si>
    <t>Electric Direbear</t>
  </si>
  <si>
    <t>ElectricDirebear_Character_BP_C</t>
  </si>
  <si>
    <t>/PrimalChaos/1Dinos/3Elemental/Electric/Bear/ElectricDirebear_Character_BP.ElectricDirebear_Character_BP</t>
  </si>
  <si>
    <t>Electric Dodo Rex</t>
  </si>
  <si>
    <t>Electric_DodoRex_Character_BP_C</t>
  </si>
  <si>
    <t>/PrimalChaos/1Dinos/3Elemental/Electric/Dodorex/Electric_DodoRex_Character_BP.Electric_DodoRex_Character_BP</t>
  </si>
  <si>
    <t>Electric Dodowyvern</t>
  </si>
  <si>
    <t>ElectricDodoWyvern_Character_BP_PC_C</t>
  </si>
  <si>
    <t>/PrimalChaos/Content/1Dinos/3Elemental/Electric/dodowyvern/ElectricDodoWyvern_Character_BP_PC</t>
  </si>
  <si>
    <t>Electric Dolphin</t>
  </si>
  <si>
    <t>Electric_Dolphin_Character_BP_C</t>
  </si>
  <si>
    <t>/PrimalChaos/1WaterDinos/3Elemental/Electric/Ichtyo/Electric_Dolphin_Character_BP.Electric_Dolphin_Character_BP</t>
  </si>
  <si>
    <t>Electric Dragon</t>
  </si>
  <si>
    <t>ElectricDragon_Character_BP_C</t>
  </si>
  <si>
    <t>/PrimalChaos/1Dinos/3Elemental/Electric/Dragon/ElectricDragon_Character_BP.ElectricDragon_Character_BP</t>
  </si>
  <si>
    <t>Electric Dunkleo</t>
  </si>
  <si>
    <t>Electric_Dunkleo_Character_BP_C</t>
  </si>
  <si>
    <t>/PrimalChaos/1WaterDinos/3Elemental/Electric/Dunkleo/Electric_Dunkleo_Character_BP.Electric_Dunkleo_Character_BP</t>
  </si>
  <si>
    <t>Electric Electrophorus</t>
  </si>
  <si>
    <t>Electric_Electrophorus_Character_BP_C</t>
  </si>
  <si>
    <t>/PrimalChaos/1WaterDinos/3Elemental/Electric/Electrophorus/Electric_Electrophorus_Character_BP.Electric_Electrophorus_Character_BP</t>
  </si>
  <si>
    <t>Electric Eurypterid</t>
  </si>
  <si>
    <t>Electric_Eurypterid_Character_BP_C</t>
  </si>
  <si>
    <t>/PrimalChaos/1WaterDinos/3Elemental/Electric/Eurypterid/Electric_Eurypterid_Character_BP.Electric_Eurypterid_Character_BP</t>
  </si>
  <si>
    <t>Electric Fasola</t>
  </si>
  <si>
    <t>ElectricFasola_Character_BP_PC_C</t>
  </si>
  <si>
    <t>/PrimalChaos/Content/1Dinos/3Elemental/Electric/Fasola/ElectricFasola_Character_BP_PC</t>
  </si>
  <si>
    <t>Electric Gigantoraptor</t>
  </si>
  <si>
    <t>ElectricGigantoraptor_Character_BP_PC_C</t>
  </si>
  <si>
    <t>/PrimalChaos/Content/1Dinos/3Elemental/Electric/Gigantoraptor/ElectricGigantoraptor_Character_BP_PC</t>
  </si>
  <si>
    <t>Electric Griffin</t>
  </si>
  <si>
    <t>ElectricGriffin_Character_BP_C</t>
  </si>
  <si>
    <t>/PrimalChaos/1Dinos/3Elemental/Electric/Griffin/ElectricGriffin_Character_BP.ElectricGriffin_Character_BP</t>
  </si>
  <si>
    <t>Electric Liopleurodon</t>
  </si>
  <si>
    <t>Electric_Liopleurodon_Character_BP_C</t>
  </si>
  <si>
    <t>/PrimalChaos/1WaterDinos/3Elemental/Electric/Liopleurodon/Electric_Liopleurodon_Character_BP.Electric_Liopleurodon_Character_BP</t>
  </si>
  <si>
    <t>Electric Manta</t>
  </si>
  <si>
    <t>Electric_Manta_Character_BP_C</t>
  </si>
  <si>
    <t>/PrimalChaos/1WaterDinos/3Elemental/Electric/Manta/Electric_Manta_Character_BP.Electric_Manta_Character_BP</t>
  </si>
  <si>
    <t>Electric Megalodon</t>
  </si>
  <si>
    <t>Electric_Megalodon_Character_BP_C</t>
  </si>
  <si>
    <t>/PrimalChaos/1WaterDinos/3Elemental/Electric/megalodon/Electric_Megalodon_Character_BP.Electric_Megalodon_Character_BP</t>
  </si>
  <si>
    <t>Electric Mosa</t>
  </si>
  <si>
    <t>Electric_Mosa_Character_BP_C</t>
  </si>
  <si>
    <t>/PrimalChaos/1WaterDinos/3Elemental/Electric/mosa/Electric_Mosa_Character_BP.Electric_Mosa_Character_BP</t>
  </si>
  <si>
    <t>Electric Piranha</t>
  </si>
  <si>
    <t>Electric_Piranha_Character_BP_C</t>
  </si>
  <si>
    <t>/PrimalChaos/1WaterDinos/3Elemental/Electric/Piranha/Electric_Piranha_Character_BP.Electric_Piranha_Character_BP</t>
  </si>
  <si>
    <t>Electric Plesiosaur</t>
  </si>
  <si>
    <t>Electric_Plesiosaur_Character_BP_C</t>
  </si>
  <si>
    <t>/PrimalChaos/1WaterDinos/3Elemental/Electric/plesio/Electric_Plesiosaur_Character_BP.Electric_Plesiosaur_Character_BP</t>
  </si>
  <si>
    <t>Electric Ravager</t>
  </si>
  <si>
    <t>ElectricCaveWolf_Character_BP_PC_C</t>
  </si>
  <si>
    <t>/PrimalChaos/Content/1Dinos/3Elemental/Electric/Ravager/ElectricCaveWolf_Character_BP_PC</t>
  </si>
  <si>
    <t>Electric Rex</t>
  </si>
  <si>
    <t>ElectricRex_Character_BP_C</t>
  </si>
  <si>
    <t>/PrimalChaos/1Dinos/3Elemental/Electric/Rex/ElectricRex_Character_BP.ElectricRex_Character_BP</t>
  </si>
  <si>
    <t>Electric Saber</t>
  </si>
  <si>
    <t>ElectricSaber_Character_BP_C</t>
  </si>
  <si>
    <t>/PrimalChaos/1Dinos/3Elemental/Electric/Saber/ElectricSaber_Character_BP.ElectricSaber_Character_BP</t>
  </si>
  <si>
    <t>Electric Thylacoleo</t>
  </si>
  <si>
    <t>ElectricThylacoleo_Character_BP_C</t>
  </si>
  <si>
    <t>/PrimalChaos/1Dinos/3Elemental/Electric/Thyla/ElectricThylacoleo_Character_BP.ElectricThylacoleo_Character_BP</t>
  </si>
  <si>
    <t>Electric Trilobite</t>
  </si>
  <si>
    <t>Electric_Trilobite_Character_BP_C</t>
  </si>
  <si>
    <t>/PrimalChaos/1WaterDinos/3Elemental/Electric/Trilobite/Electric_Trilobite_Character_BP.Electric_Trilobite_Character_BP</t>
  </si>
  <si>
    <t>Electric Tusoteuthis</t>
  </si>
  <si>
    <t>Electric_Tusoteuthis_Character_BP_C</t>
  </si>
  <si>
    <t>/PrimalChaos/1WaterDinos/3Elemental/Electric/Tusoteuthis/Electric_Tusoteuthis_Character_BP.Electric_Tusoteuthis_Character_BP</t>
  </si>
  <si>
    <t>Electric Yi Ling</t>
  </si>
  <si>
    <t>ElectricYiLing_Character_BP_PC_C</t>
  </si>
  <si>
    <t>/PrimalChaos/Content/1Dinos/3Elemental/Electric/YiLing/ElectricYiLing_Character_BP_PC</t>
  </si>
  <si>
    <t>Hydro</t>
  </si>
  <si>
    <t>Hydro Allo</t>
  </si>
  <si>
    <t>HydroAllo_Character_BP_PC_C</t>
  </si>
  <si>
    <t>/PrimalChaos/1Dinos/3Elemental/Hydro/Allo/HydroAllo_Character_BP_PC.HydroAllo_Character_BP_PC</t>
  </si>
  <si>
    <t>Hydro Baryonyx</t>
  </si>
  <si>
    <t>Hydro_Baryonyx_Character_BP_PC_C</t>
  </si>
  <si>
    <t>/PrimalChaos/1Dinos/3Elemental/Hydro/Bary/Hydro_Baryonyx_Character_BP_PC.Hydro_Baryonyx_Character_BP_PC</t>
  </si>
  <si>
    <t>Hydro Basilo</t>
  </si>
  <si>
    <t>Hydro_Basilo_Character_BP_C</t>
  </si>
  <si>
    <t>/PrimalChaos/1WaterDinos/3Elemental/Hydro/Basilo/Hydro_Basilo_Character_BP.Hydro_Basilo_Character_BP</t>
  </si>
  <si>
    <t>Hydro Beaver</t>
  </si>
  <si>
    <t>Hydro_Beaver_Character_BP_PC_C</t>
  </si>
  <si>
    <t>/PrimalChaos/1Dinos/3Elemental/Hydro/Beaver/Hydro_Beaver_Character_BP_PC.Hydro_Beaver_Character_BP_PC</t>
  </si>
  <si>
    <t>Hydro Cnidaria</t>
  </si>
  <si>
    <t>Hydro_Cnidaria_Character_BP_C</t>
  </si>
  <si>
    <t>/PrimalChaos/1WaterDinos/3Elemental/Hydro/Cnidaria/Hydro_Cnidaria_Character_BP.Hydro_Cnidaria_Character_BP</t>
  </si>
  <si>
    <t>Hydro Diplocaulus</t>
  </si>
  <si>
    <t>Hydro_Diplocaulus_Character_BP_PC_C</t>
  </si>
  <si>
    <t>/PrimalChaos/1Dinos/3Elemental/Hydro/Diplocaulus/Hydro_Diplocaulus_Character_BP_PC.Hydro_Diplocaulus_Character_BP_PC</t>
  </si>
  <si>
    <t>Hydro Dodo Rex</t>
  </si>
  <si>
    <t>Bugged, does not spawn naturally and does not have proper stats/prefix</t>
  </si>
  <si>
    <t>Hydro_DodoRex_Character_BP_C</t>
  </si>
  <si>
    <t>/PrimalChaos/1Dinos/3Elemental/Hydro/Dodorex/Hydro_DodoRex_Character_BP.Hydro_DodoRex_Character_BP</t>
  </si>
  <si>
    <t>Not Currently Spawning</t>
  </si>
  <si>
    <t>Hydro_DodoRex_Character_BP_PC_C</t>
  </si>
  <si>
    <t>/PrimalChaos/1Dinos/3Elemental/Hydro/Dodorex/Hydro_DodoRex_Character_BP_PC.Hydro_DodoRex_Character_BP_PC</t>
  </si>
  <si>
    <t>Hydro Dragon</t>
  </si>
  <si>
    <t>HydroDragon_Character_BP_PC_C</t>
  </si>
  <si>
    <t>/PrimalChaos/Content/1Dinos/3Elemental/Hydro/Dragon/HydroDragon_Character_BP_PC</t>
  </si>
  <si>
    <t>Hydro Dunkleo</t>
  </si>
  <si>
    <t>Hydro_Dunkleo_Character_BP_C</t>
  </si>
  <si>
    <t>/PrimalChaos/1WaterDinos/3Elemental/Hydro/Dunkleo/Hydro_Dunkleo_Character_BP.Hydro_Dunkleo_Character_BP</t>
  </si>
  <si>
    <t>Hydro Electrophorus</t>
  </si>
  <si>
    <t>Hydro_Electrophorus_Character_BP_C</t>
  </si>
  <si>
    <t>/PrimalChaos/1WaterDinos/3Elemental/Hydro/Electrophorus/Hydro_Electrophorus_Character_BP.Hydro_Electrophorus_Character_BP</t>
  </si>
  <si>
    <t>Hydro Eurypterid</t>
  </si>
  <si>
    <t>Hydro_Eurypterid_Character_BP_C</t>
  </si>
  <si>
    <t>/PrimalChaos/1WaterDinos/3Elemental/Hydro/Eurypterid/Hydro_Eurypterid_Character_BP.Hydro_Eurypterid_Character_BP</t>
  </si>
  <si>
    <t>Hydro Frog</t>
  </si>
  <si>
    <t>Hydro_Frog_Character_BP_PC_C</t>
  </si>
  <si>
    <t>/PrimalChaos/1Dinos/3Elemental/Hydro/Frog/Hydro_Frog_Character_BP_PC.Hydro_Frog_Character_BP_PC</t>
  </si>
  <si>
    <t>Hydro Kairuku</t>
  </si>
  <si>
    <t>Hydro_Kairuku_Character_BP_PC_C</t>
  </si>
  <si>
    <t>/PrimalChaos/1Dinos/3Elemental/Hydro/Kairuku/Hydro_Kairuku_Character_BP_PC.Hydro_Kairuku_Character_BP_PC</t>
  </si>
  <si>
    <t>Hydro Kapro</t>
  </si>
  <si>
    <t>Hydro_Kapro_Character_BP_PC_C</t>
  </si>
  <si>
    <t>/PrimalChaos/1Dinos/3Elemental/Hydro/Kapro/Hydro_Kapro_Character_BP_PC.Hydro_Kapro_Character_BP_PC</t>
  </si>
  <si>
    <t>Hydro Liopleurodon</t>
  </si>
  <si>
    <t>Hydro_Liopleurodon_Character_BP_C</t>
  </si>
  <si>
    <t>/PrimalChaos/1WaterDinos/3Elemental/Hydro/liopleurodon/Hydro_Liopleurodon_Character_BP.Hydro_Liopleurodon_Character_BP</t>
  </si>
  <si>
    <t>Hydro Manta</t>
  </si>
  <si>
    <t>Hydro_Manta_Character_BP_C</t>
  </si>
  <si>
    <t>/PrimalChaos/1WaterDinos/3Elemental/Hydro/manta/Hydro_Manta_Character_BP.Hydro_Manta_Character_BP</t>
  </si>
  <si>
    <t>Hydro Megalodon</t>
  </si>
  <si>
    <t>Hydro_Megalodon_Character_BP_C</t>
  </si>
  <si>
    <t>/PrimalChaos/1WaterDinos/3Elemental/Hydro/megalodon/Hydro_Megalodon_Character_BP.Hydro_Megalodon_Character_BP</t>
  </si>
  <si>
    <t>Hydro Mosa</t>
  </si>
  <si>
    <t>Hydro_Mosa_Character_BP_C</t>
  </si>
  <si>
    <t>/PrimalChaos/1WaterDinos/3Elemental/Hydro/mosa/Hydro_Mosa_Character_BP.Hydro_Mosa_Character_BP</t>
  </si>
  <si>
    <t>Hydro Otter</t>
  </si>
  <si>
    <t>Hydro_Otter_Character_BP_PC_C</t>
  </si>
  <si>
    <t>/PrimalChaos/1Dinos/3Elemental/Hydro/Otter/Hydro_Otter_Character_BP_PC.Hydro_Otter_Character_BP_PC</t>
  </si>
  <si>
    <t>Hydro Piranha</t>
  </si>
  <si>
    <t>Hydro_Piranha_Character_BP_C</t>
  </si>
  <si>
    <t>/PrimalChaos/1WaterDinos/3Elemental/Hydro/Piranha/Hydro_Piranha_Character_BP.Hydro_Piranha_Character_BP</t>
  </si>
  <si>
    <t>Hydro Plesiosaur</t>
  </si>
  <si>
    <t>Hydro_Plesiosaur_Character_BP_C</t>
  </si>
  <si>
    <t>/PrimalChaos/1WaterDinos/3Elemental/Hydro/Plesio/Hydro_Plesiosaur_Character_BP.Hydro_Plesiosaur_Character_BP</t>
  </si>
  <si>
    <t>Hydro Rex</t>
  </si>
  <si>
    <t>HydroRex_Character_BP_PC_C</t>
  </si>
  <si>
    <t>/PrimalChaos/1Dinos/3Elemental/Hydro/Rex/HydroRex_Character_BP_PC.HydroRex_Character_BP_PC</t>
  </si>
  <si>
    <t>Hydro Sarco</t>
  </si>
  <si>
    <t>Hydro_Sarco_Character_BP_PC_C</t>
  </si>
  <si>
    <t>/PrimalChaos/1Dinos/3Elemental/Hydro/Sarco/Hydro_Sarco_Character_BP_PC.Hydro_Sarco_Character_BP_PC</t>
  </si>
  <si>
    <t>Hydro Spino</t>
  </si>
  <si>
    <t>HydroSpino_Character_BP_PC_C</t>
  </si>
  <si>
    <t>/PrimalChaos/1Dinos/3Elemental/Hydro/Spino/HydroSpino_Character_BP_PC.HydroSpino_Character_BP_PC</t>
  </si>
  <si>
    <t>Hydro Trilobite</t>
  </si>
  <si>
    <t>Hydro_Trilobite_Character_BP_C</t>
  </si>
  <si>
    <t>/PrimalChaos/1WaterDinos/3Elemental/Hydro/trilobite/Hydro_Trilobite_Character_BP.Hydro_Trilobite_Character_BP</t>
  </si>
  <si>
    <t>Hydro Turtle</t>
  </si>
  <si>
    <t>Hydro_Turtle_Character_BP_PC_C</t>
  </si>
  <si>
    <t>/PrimalChaos/1Dinos/3Elemental/Hydro/Carbonemys/Hydro_Turtle_Character_BP_PC.Hydro_Turtle_Character_BP_PC</t>
  </si>
  <si>
    <t>Hydro Tusoteuthis</t>
  </si>
  <si>
    <t>Hydro_Tusoteuthis_Character_BP_C</t>
  </si>
  <si>
    <t>/PrimalChaos/1WaterDinos/3Elemental/Hydro/Tusoteuthis/Hydro_Tusoteuthis_Character_BP.Hydro_Tusoteuthis_Character_BP</t>
  </si>
  <si>
    <t>Volcanic</t>
  </si>
  <si>
    <t>Volcanic Allo</t>
  </si>
  <si>
    <t>VolcanicAllo_Character_BP_PC_C</t>
  </si>
  <si>
    <t>/PrimalChaos/1Dinos/3Elemental/Volcanic/Allo/VolcanicAllo_Character_BP_PC.VolcanicAllo_Character_BP_PC</t>
  </si>
  <si>
    <t>Volcanic Basilo</t>
  </si>
  <si>
    <t>Volcanic_Basilo_Character_BP_C</t>
  </si>
  <si>
    <t>/PrimalChaos/1WaterDinos/3Elemental/Volcanic/Basilo/Volcanic_Basilo_Character_BP.Volcanic_Basilo_Character_BP</t>
  </si>
  <si>
    <t>Volcanic Basilisk</t>
  </si>
  <si>
    <t>VolcanicBasilisk_Character_BP_PC_C</t>
  </si>
  <si>
    <t>/PrimalChaos/Content/1Dinos/3Elemental/Volcanic/Basilisk/VolcanicBasilisk_Character_BP_PC</t>
  </si>
  <si>
    <t>Volcanic Cerato</t>
  </si>
  <si>
    <t>VolcanicCeratosaurus_Character_BP_ASA_PC_C</t>
  </si>
  <si>
    <t>/PrimalChaos/Content/1Dinos/3Elemental/Volcanic/Cerato/VolcanicCeratosaurus_Character_BP_ASA_PC</t>
  </si>
  <si>
    <t>Volcanic Cnidaria</t>
  </si>
  <si>
    <t>Volcanic_Cnidaria_Character_BP_C</t>
  </si>
  <si>
    <t>/PrimalChaos/1WaterDinos/3Elemental/Volcanic/Cnidaria/Volcanic_Cnidaria_Character_BP.Volcanic_Cnidaria_Character_BP</t>
  </si>
  <si>
    <t>Volcanic Deathworm</t>
  </si>
  <si>
    <t>VolcanicDeathworm_Character_BP_PC_C</t>
  </si>
  <si>
    <t>/PrimalChaos/1Dinos/3Elemental/Volcanic/Deathworm/VolcanicDeathworm_Character_BP_PC.VolcanicDeathworm_Character_BP_PC</t>
  </si>
  <si>
    <t>Volcanic Diplo</t>
  </si>
  <si>
    <t>Volcanic_Diplo_Character_BP_C</t>
  </si>
  <si>
    <t>/PrimalChaos/1WaterDinos/3Elemental/Volcanic/Diplocaulus/Volcanic_Diplo_Character_BP.Volcanic_Diplo_Character_BP</t>
  </si>
  <si>
    <t>Volcanic Dodo Rex</t>
  </si>
  <si>
    <t>Volcanic_DodoRex_Character_BP_PC_C</t>
  </si>
  <si>
    <t>/PrimalChaos/1Dinos/3Elemental/Volcanic/Dodorex/Volcanic_DodoRex_Character_BP_PC.Volcanic_DodoRex_Character_BP_PC</t>
  </si>
  <si>
    <t>Volcanic Dolphin</t>
  </si>
  <si>
    <t>Volcanic_Dolphin_Character_BP_C</t>
  </si>
  <si>
    <t>/PrimalChaos/1WaterDinos/3Elemental/Volcanic/Ichtyo/Volcanic_Dolphin_Character_BP.Volcanic_Dolphin_Character_BP</t>
  </si>
  <si>
    <t>Volcanic Dragon</t>
  </si>
  <si>
    <t>VolcanicDragon_Character_BP_PC_C</t>
  </si>
  <si>
    <t>/PrimalChaos/1Dinos/3Elemental/Volcanic/Dragon/VolcanicDragon_Character_BP_PC.VolcanicDragon_Character_BP_PC</t>
  </si>
  <si>
    <t>Volcanic Dunkleo</t>
  </si>
  <si>
    <t>Volcanic_Dunkleo_Character_BP_C</t>
  </si>
  <si>
    <t>/PrimalChaos/1WaterDinos/3Elemental/Volcanic/Dunkleo/Volcanic_Dunkleo_Character_BP.Volcanic_Dunkleo_Character_BP</t>
  </si>
  <si>
    <t>Volcanic Electrophorus</t>
  </si>
  <si>
    <t>Volcanic_Electrophorus_Character_BP_C</t>
  </si>
  <si>
    <t>/PrimalChaos/1WaterDinos/3Elemental/Volcanic/Electrophorus/Volcanic_Electrophorus_Character_BP.Volcanic_Electrophorus_Character_BP</t>
  </si>
  <si>
    <t>Volcanic Eurypterid</t>
  </si>
  <si>
    <t>Volcanic_Eurypterid_Character_BP_C</t>
  </si>
  <si>
    <t>/PrimalChaos/1WaterDinos/3Elemental/Volcanic/Eurypterid/Volcanic_Eurypterid_Character_BP.Volcanic_Eurypterid_Character_BP</t>
  </si>
  <si>
    <t>Volcanic Golem</t>
  </si>
  <si>
    <t>VolcanicRockGolem_Character_BP_PC_C</t>
  </si>
  <si>
    <t>/PrimalChaos/Content/1Dinos/3Elemental/Volcanic/Golem/VolcanicRockGolem_Character_BP_PC</t>
  </si>
  <si>
    <t>Volcanic Liopleurodon</t>
  </si>
  <si>
    <t>Volcanic_Liopleurodon_Character_BP_C</t>
  </si>
  <si>
    <t>/PrimalChaos/1WaterDinos/3Elemental/Volcanic/Liopleurodon/Volcanic_Liopleurodon_Character_BP.Volcanic_Liopleurodon_Character_BP</t>
  </si>
  <si>
    <t>Volcanic Maeguana</t>
  </si>
  <si>
    <t>VolcanicMaelizard_Character_BP_PC_C</t>
  </si>
  <si>
    <t>/PrimalChaos/1Dinos/3Elemental/Volcanic/Maeguana/VolcanicMaelizard_Character_BP_PC.VolcanicMaelizard_Character_BP_PC</t>
  </si>
  <si>
    <t>Volcanic Manta</t>
  </si>
  <si>
    <t>Volcanic_Manta_Character_BP_C</t>
  </si>
  <si>
    <t>/PrimalChaos/1WaterDinos/3Elemental/Volcanic/manta/Volcanic_Manta_Character_BP.Volcanic_Manta_Character_BP</t>
  </si>
  <si>
    <t>Volcanic Megalodon</t>
  </si>
  <si>
    <t>Volcanic_Megalodon_Character_BP_C</t>
  </si>
  <si>
    <t>/PrimalChaos/1WaterDinos/3Elemental/Volcanic/megalodon/Volcanic_Megalodon_Character_BP.Volcanic_Megalodon_Character_BP</t>
  </si>
  <si>
    <t>Volcanic Mosa</t>
  </si>
  <si>
    <t>Volcanic_Mosa_Character_BP_C</t>
  </si>
  <si>
    <t>/PrimalChaos/1WaterDinos/3Elemental/Volcanic/mosa/Volcanic_Mosa_Character_BP.Volcanic_Mosa_Character_BP</t>
  </si>
  <si>
    <t>Volcanic Piranha</t>
  </si>
  <si>
    <t>Volcanic_Piranha_Character_BP_C</t>
  </si>
  <si>
    <t>/PrimalChaos/1WaterDinos/3Elemental/Volcanic/Piranha/Volcanic_Piranha_Character_BP.Volcanic_Piranha_Character_BP</t>
  </si>
  <si>
    <t>Volcanic Plesiosaur</t>
  </si>
  <si>
    <t>Volcanic_Plesiosaur_Character_BP_C</t>
  </si>
  <si>
    <t>/PrimalChaos/1WaterDinos/3Elemental/Volcanic/Plesio/Volcanic_Plesiosaur_Character_BP.Volcanic_Plesiosaur_Character_BP</t>
  </si>
  <si>
    <t>Volcanic Ptera</t>
  </si>
  <si>
    <t>VolcanicPtero_Character_BP_PC_C</t>
  </si>
  <si>
    <t>/PrimalChaos/Content/1Dinos/3Elemental/Volcanic/Ptera/VolcanicPtero_Character_BP_PC</t>
  </si>
  <si>
    <t>Volcanic Raptor</t>
  </si>
  <si>
    <t>VolcanicRaptor_Character_BP_PC_C</t>
  </si>
  <si>
    <t>/PrimalChaos/1Dinos/3Elemental/Volcanic/Raptor/VolcanicRaptor_Character_BP_PC.VolcanicRaptor_Character_BP_PC</t>
  </si>
  <si>
    <t>Volcanic Ravager</t>
  </si>
  <si>
    <t>VolcanicCaveWolf_Character_BP_PC_C</t>
  </si>
  <si>
    <t>/PrimalChaos/Content/1Dinos/3Elemental/Volcanic/Ravager/VolcanicCaveWolf_Character_BP_PC</t>
  </si>
  <si>
    <t>Volcanic Rex</t>
  </si>
  <si>
    <t>VolcanicRex_Character_BP_PC_C</t>
  </si>
  <si>
    <t>/PrimalChaos/1Dinos/3Elemental/Volcanic/Rex/VolcanicRex_Character_BP_PC.VolcanicRex_Character_BP_PC</t>
  </si>
  <si>
    <t>Volcanic Rock Drake</t>
  </si>
  <si>
    <t>VolcanicRockDrake_Character_BP_PC_C</t>
  </si>
  <si>
    <t>/PrimalChaos/Content/1Dinos/3Elemental/Volcanic/Rockdrake/VolcanicRockDrake_Character_BP_PC</t>
  </si>
  <si>
    <t>Volcanic Spino</t>
  </si>
  <si>
    <t>VolcanicSpino_Character_BP_PC_C</t>
  </si>
  <si>
    <t>/PrimalChaos/1Dinos/3Elemental/Volcanic/Spino/VolcanicSpino_Character_BP_PC.VolcanicSpino_Character_BP_PC</t>
  </si>
  <si>
    <t>Volcanic Tapejara</t>
  </si>
  <si>
    <t>VolcanicTapejara_Character_BP_PC_C</t>
  </si>
  <si>
    <t>/PrimalChaos/1Dinos/3Elemental/Volcanic/Tapejara/VolcanicTapejara_Character_BP_PC.VolcanicTapejara_Character_BP_PC</t>
  </si>
  <si>
    <t>Volcanic Trilobite</t>
  </si>
  <si>
    <t>Volcanic_Trilobite_Character_BP_C</t>
  </si>
  <si>
    <t>/PrimalChaos/1WaterDinos/3Elemental/Volcanic/Trilobite/Volcanic_Trilobite_Character_BP.Volcanic_Trilobite_Character_BP</t>
  </si>
  <si>
    <t>Volcanic Tusoteuthis</t>
  </si>
  <si>
    <t>Volcanic_Tusoteuthis_Character_BP_C</t>
  </si>
  <si>
    <t>/PrimalChaos/1WaterDinos/3Elemental/Volcanic/Tusoteuthis/Volcanic_Tusoteuthis_Character_BP.Volcanic_Tusoteuthis_Character_BP</t>
  </si>
  <si>
    <t>Volcanic Wyvern</t>
  </si>
  <si>
    <t>VolcanicWyvern_Character_BP_PC_C</t>
  </si>
  <si>
    <t>/PrimalChaos/Content/1Dinos/3Elemental/Volcanic/Wyvern/VolcanicWyvern_Character_BP_PC</t>
  </si>
  <si>
    <t>Fairy</t>
  </si>
  <si>
    <t>Fairy Argentavis</t>
  </si>
  <si>
    <t>FairyArgentavis_Character_BP_C</t>
  </si>
  <si>
    <t>/PrimalChaos/1Dinos/4ADVElement/Fairy/Argentavis/FairyArgentavis_Character_BP.FairyArgentavis_Character_BP</t>
  </si>
  <si>
    <t>Fairy Doedic</t>
  </si>
  <si>
    <t>FairyDoedic_Character_BP_C</t>
  </si>
  <si>
    <t>/PrimalChaos/1Dinos/4ADVElement/Fairy/Doedicurus/FairyDoedic_Character_BP.FairyDoedic_Character_BP</t>
  </si>
  <si>
    <t>Fairy Griffin</t>
  </si>
  <si>
    <t>Griffin_Character_BP_Fairy_C</t>
  </si>
  <si>
    <t>/PrimalChaos/1Dinos/4ADVElement/Fairy/Griffin/Griffin_Character_BP_Fairy.Griffin_Character_BP_Fairy</t>
  </si>
  <si>
    <t>Fairy Jerboa</t>
  </si>
  <si>
    <t>FairyJerboa_Character_BP_C</t>
  </si>
  <si>
    <t>/PrimalChaos/1Dinos/4ADVElement/Fairy/Jerboa/FairyJerboa_Character_BP.FairyJerboa_Character_BP</t>
  </si>
  <si>
    <t>Fairy Pegasus Child</t>
  </si>
  <si>
    <t>FairyPegasus_Character_BP_Child_C</t>
  </si>
  <si>
    <t>/PrimalChaos/1Dinos/4ADVElement/Fairy/Pegasus/FairyPegasus_Character_BP_Child.FairyPegasus_Character_BP_Child</t>
  </si>
  <si>
    <t>Fairy Wyvern</t>
  </si>
  <si>
    <t>FairyWyvern_Character_BP_C</t>
  </si>
  <si>
    <t>/PrimalChaos/1Dinos/4ADVElement/Fairy/Wyvern/FairyWyvern_Character_BP.FairyWyvern_Character_BP</t>
  </si>
  <si>
    <t>Shadow</t>
  </si>
  <si>
    <t>Shadow Arthro</t>
  </si>
  <si>
    <t>Shadow_Arthro_Character_BP_C</t>
  </si>
  <si>
    <t>/PrimalChaos/1Dinos/4ADVElement/Shadow/Centipede/Shadow_Arthro_Character_BP.Shadow_Arthro_Character_BP</t>
  </si>
  <si>
    <t>Shadow Broodmother</t>
  </si>
  <si>
    <t>Shadow_Broodmother_Character_BP_C</t>
  </si>
  <si>
    <t>/PrimalChaos/1Dinos/4ADVElement/Shadow/Broodmother/Shadow_Broodmother_Character_BP.Shadow_Broodmother_Character_BP</t>
  </si>
  <si>
    <t>Shadow Diplo</t>
  </si>
  <si>
    <t>Shadow_Diplo_Character_BP_C</t>
  </si>
  <si>
    <t>/PrimalChaos/1WaterDinos/4ADV/Shadow/Diplocaulus/Shadow_Diplo_Character_BP.Shadow_Diplo_Character_BP</t>
  </si>
  <si>
    <t>Shadow Golem</t>
  </si>
  <si>
    <t>Shadow_Golem_Character_BP_C</t>
  </si>
  <si>
    <t>/PrimalChaos/1Dinos/4ADVElement/Shadow/Golem/Shadow_Golem_Character_BP.Shadow_Golem_Character_BP</t>
  </si>
  <si>
    <t>Shadow Gorilla</t>
  </si>
  <si>
    <t>Shadow_Gorilla_Character_BP_C</t>
  </si>
  <si>
    <t>/PrimalChaos/1Dinos/4ADVElement/Shadow/Gorilla/Shadow_Gorilla_Character_BP.Shadow_Gorilla_Character_BP</t>
  </si>
  <si>
    <t>Shadow Turkey</t>
  </si>
  <si>
    <t>Shadow_Turkey_Character_BP_C</t>
  </si>
  <si>
    <t>/PrimalChaos/1Dinos/4ADVElement/Shadow/Turkey/Shadow_Turkey_Character_BP.Shadow_Turkey_Character_BP</t>
  </si>
  <si>
    <t>Fabled</t>
  </si>
  <si>
    <t>Fabled Anky</t>
  </si>
  <si>
    <t>Fabled_Anky_Character_BP_C</t>
  </si>
  <si>
    <t>/PrimalChaos/1Dinos/5Mythic_Legendary_Omega_Fabled/Fabled/Anky/Fabled_Anky_Character_BP.Fabled_Anky_Character_BP</t>
  </si>
  <si>
    <t>Fabled Argentavis</t>
  </si>
  <si>
    <t>Fabled_Argentavis_Character_BP_C</t>
  </si>
  <si>
    <t>/PrimalChaos/1Dinos/5Mythic_Legendary_Omega_Fabled/Fabled/Argentavis/Fabled_Argentavis_Character_BP.Fabled_Argentavis_Character_BP</t>
  </si>
  <si>
    <t>Fabled Beaver</t>
  </si>
  <si>
    <t>Fabled_Beaver_Character_BP_C</t>
  </si>
  <si>
    <t>/PrimalChaos/1Dinos/5Mythic_Legendary_Omega_Fabled/Fabled/Beaver/Fabled_Beaver_Character_BP.Fabled_Beaver_Character_BP</t>
  </si>
  <si>
    <t>Fabled Bigfoot</t>
  </si>
  <si>
    <t>Fabled_Bigfoot_Character_BP_C</t>
  </si>
  <si>
    <t>/PrimalChaos/1Dinos/5Mythic_Legendary_Omega_Fabled/Fabled/Bigfoot/Fabled_Bigfoot_Character_BP.Fabled_Bigfoot_Character_BP</t>
  </si>
  <si>
    <t>Fabled Doedic</t>
  </si>
  <si>
    <t>Fabled_Doedic_Character_BP_C</t>
  </si>
  <si>
    <t>/PrimalChaos/1Dinos/5Mythic_Legendary_Omega_Fabled/Fabled/Doedicurus/Fabled_Doedic_Character_BP.Fabled_Doedic_Character_BP</t>
  </si>
  <si>
    <t>Fabled Frog</t>
  </si>
  <si>
    <t>Fabled_Frog_Character_BP_C</t>
  </si>
  <si>
    <t>/PrimalChaos/1Dinos/5Mythic_Legendary_Omega_Fabled/Fabled/Frog/Fabled_Frog_Character_BP.Fabled_Frog_Character_BP</t>
  </si>
  <si>
    <t>Fabled Jerboa</t>
  </si>
  <si>
    <t>Fabled_Jerboa_Character_BP_C</t>
  </si>
  <si>
    <t>/PrimalChaos/1Dinos/5Mythic_Legendary_Omega_Fabled/Fabled/Jerboa/Fabled_Jerboa_Character_BP.Fabled_Jerboa_Character_BP</t>
  </si>
  <si>
    <t>Fabled Leech</t>
  </si>
  <si>
    <t>Fabled_Leech_Character_BP_C</t>
  </si>
  <si>
    <t>/PrimalChaos/1Dinos/5Mythic_Legendary_Omega_Fabled/Fabled/Leech/Fabled_Leech_Character_BP.Fabled_Leech_Character_BP</t>
  </si>
  <si>
    <t>Fabled Mammoth</t>
  </si>
  <si>
    <t>Fabled_Mammoth_Character_BP_C</t>
  </si>
  <si>
    <t>/PrimalChaos/1Dinos/5Mythic_Legendary_Omega_Fabled/Fabled/Mammoth/Fabled_Mammoth_Character_BP.Fabled_Mammoth_Character_BP</t>
  </si>
  <si>
    <t>Fabled Mantis</t>
  </si>
  <si>
    <t>Fabled_Mantis_Character_BP_C</t>
  </si>
  <si>
    <t>/PrimalChaos/1Dinos/5Mythic_Legendary_Omega_Fabled/Fabled/Mantis/Fabled_Mantis_Character_BP.Fabled_Mantis_Character_BP</t>
  </si>
  <si>
    <t>Fabled Paracer</t>
  </si>
  <si>
    <t>Fabled_Paracer_Character_BP_C</t>
  </si>
  <si>
    <t>/PrimalChaos/1Dinos/5Mythic_Legendary_Omega_Fabled/Fabled/Paracer/Fabled_Paracer_Character_BP.Fabled_Paracer_Character_BP</t>
  </si>
  <si>
    <t>Fabled Ptero</t>
  </si>
  <si>
    <t>Fabled_Ptero_Character_BP_C</t>
  </si>
  <si>
    <t>/PrimalChaos/1Dinos/5Mythic_Legendary_Omega_Fabled/Fabled/Ptero/Fabled_Ptero_Character_BP.Fabled_Ptero_Character_BP</t>
  </si>
  <si>
    <t>Fabled Quetz</t>
  </si>
  <si>
    <t>Fabled_Quetz_Character_BP_C</t>
  </si>
  <si>
    <t>/PrimalChaos/1Dinos/5Mythic_Legendary_Omega_Fabled/Fabled/Queltzal/Fabled_Quetz_Character_BP.Fabled_Quetz_Character_BP</t>
  </si>
  <si>
    <t>Fabled Sauropod</t>
  </si>
  <si>
    <t>Fabled_Sauropod_Character_BP_C</t>
  </si>
  <si>
    <t>/PrimalChaos/1Dinos/5Mythic_Legendary_Omega_Fabled/Fabled/Sauropod/Fabled_Sauropod_Character_BP.Fabled_Sauropod_Character_BP</t>
  </si>
  <si>
    <t>Fabled Stag</t>
  </si>
  <si>
    <t>Fabled_Stag_Character_BP_C</t>
  </si>
  <si>
    <t>/PrimalChaos/1Dinos/5Mythic_Legendary_Omega_Fabled/Fabled/Stag/Fabled_Stag_Character_BP.Fabled_Stag_Character_BP</t>
  </si>
  <si>
    <t>Fabled Stego</t>
  </si>
  <si>
    <t>Fabled_Stego_Character_BP_C</t>
  </si>
  <si>
    <t>/PrimalChaos/1Dinos/5Mythic_Legendary_Omega_Fabled/Fabled/Stego/Fabled_Stego_Character_BP.Fabled_Stego_Character_BP</t>
  </si>
  <si>
    <t>Fabled Tapejara</t>
  </si>
  <si>
    <t>Fabled_Tapejara_Character_BP_C</t>
  </si>
  <si>
    <t>/PrimalChaos/1Dinos/5Mythic_Legendary_Omega_Fabled/Fabled/Tapejara/Fabled_Tapejara_Character_BP.Fabled_Tapejara_Character_BP</t>
  </si>
  <si>
    <t>Fabled Therizino</t>
  </si>
  <si>
    <t>Fabled_Therizino_Character_BP_C</t>
  </si>
  <si>
    <t>/PrimalChaos/1Dinos/5Mythic_Legendary_Omega_Fabled/Fabled/Therizino/Fabled_Therizino_Character_BP.Fabled_Therizino_Character_BP</t>
  </si>
  <si>
    <t>Fabled Trike</t>
  </si>
  <si>
    <t>Fabled_Trike_Character_BP_C</t>
  </si>
  <si>
    <t>/PrimalChaos/1Dinos/5Mythic_Legendary_Omega_Fabled/Fabled/Trike/Fabled_Trike_Character_BP.Fabled_Trike_Character_BP</t>
  </si>
  <si>
    <t>Omega</t>
  </si>
  <si>
    <t>Omega Allo</t>
  </si>
  <si>
    <t>Omega_Allo_Character_BP_C</t>
  </si>
  <si>
    <t>/PrimalChaos/1Dinos/5Mythic_Legendary_Omega_Fabled/Omega/Allo/Omega_Allo_Character_BP.Omega_Allo_Character_BP</t>
  </si>
  <si>
    <t>Omega Carno</t>
  </si>
  <si>
    <t>Omega_Carno_Character_BP_C</t>
  </si>
  <si>
    <t>/PrimalChaos/1Dinos/5Mythic_Legendary_Omega_Fabled/Omega/Carno/Omega_Carno_Character_BP.Omega_Carno_Character_BP</t>
  </si>
  <si>
    <t>Omega Direbear</t>
  </si>
  <si>
    <t>Omega_Direbear_Character_BP_C</t>
  </si>
  <si>
    <t>/PrimalChaos/1Dinos/5Mythic_Legendary_Omega_Fabled/Omega/Direbear/Omega_Direbear_Character_BP.Omega_Direbear_Character_BP</t>
  </si>
  <si>
    <t>Omega Direwolf</t>
  </si>
  <si>
    <t>Omega_Direwolf_Character_BP_C</t>
  </si>
  <si>
    <t>/PrimalChaos/1Dinos/5Mythic_Legendary_Omega_Fabled/Omega/Direwolf/Omega_Direwolf_Character_BP.Omega_Direwolf_Character_BP</t>
  </si>
  <si>
    <t>Omega Megatherium</t>
  </si>
  <si>
    <t>Omega_Megatherium_Character_BP_C</t>
  </si>
  <si>
    <t>/PrimalChaos/1Dinos/5Mythic_Legendary_Omega_Fabled/Omega/Megatherium/Omega_Megatherium_Character_BP.Omega_Megatherium_Character_BP</t>
  </si>
  <si>
    <t>Omega Raptor</t>
  </si>
  <si>
    <t>Omega_Raptor_Character_BP_C</t>
  </si>
  <si>
    <t>/PrimalChaos/1Dinos/5Mythic_Legendary_Omega_Fabled/Omega/Raptor/Omega_Raptor_Character_BP.Omega_Raptor_Character_BP</t>
  </si>
  <si>
    <t>Omega Rex</t>
  </si>
  <si>
    <t>Omega_Rex_Character_BP_C</t>
  </si>
  <si>
    <t>/PrimalChaos/1Dinos/5Mythic_Legendary_Omega_Fabled/Omega/Rex/Omega_Rex_Character_BP.Omega_Rex_Character_BP</t>
  </si>
  <si>
    <t>Omega Sarco</t>
  </si>
  <si>
    <t>Omega_Sarco_Character_BP_C</t>
  </si>
  <si>
    <t>/PrimalChaos/1Dinos/5Mythic_Legendary_Omega_Fabled/Omega/Sarco/Omega_Sarco_Character_BP.Omega_Sarco_Character_BP</t>
  </si>
  <si>
    <t>Omega Spino</t>
  </si>
  <si>
    <t>Omega_Spino_Character_BP_C</t>
  </si>
  <si>
    <t>/PrimalChaos/1Dinos/5Mythic_Legendary_Omega_Fabled/Omega/Spinosaurus/Omega_Spino_Character_BP.Omega_Spino_Character_BP</t>
  </si>
  <si>
    <t>Omega Toad</t>
  </si>
  <si>
    <t>Omega_Toad_Character_BP_C</t>
  </si>
  <si>
    <t>/PrimalChaos/1Dinos/5Mythic_Legendary_Omega_Fabled/Omega/Frog/Omega_Toad_Character_BP.Omega_Toad_Character_BP</t>
  </si>
  <si>
    <t>Legendary</t>
  </si>
  <si>
    <t>Legendary Allo</t>
  </si>
  <si>
    <t>Legendary_Allo_Character_BP_C</t>
  </si>
  <si>
    <t>/PrimalChaos/1Dinos/5MythicAndLegendary/Legendary/Allo/Legendary_Allo_Character_BP.Legendary_Allo_Character_BP</t>
  </si>
  <si>
    <t>Legendary Areneo</t>
  </si>
  <si>
    <t>Legendary_Areneo_Character_BP_C</t>
  </si>
  <si>
    <t>/PrimalChaos/1Dinos/5MythicAndLegendary/Legendary/Areneo/Legendary_Areneo_Character_BP.Legendary_Areneo_Character_BP</t>
  </si>
  <si>
    <t>Legendary Baryonyx</t>
  </si>
  <si>
    <t>Legendary_Baryonyx_Character_BP_C</t>
  </si>
  <si>
    <t>/PrimalChaos/1Dinos/5MythicAndLegendary/Legendary/Baryonyx/Legendary_Baryonyx_Character_BP.Legendary_Baryonyx_Character_BP</t>
  </si>
  <si>
    <t>Legendary Carno</t>
  </si>
  <si>
    <t>Legendary_Carno_Character_BP_C</t>
  </si>
  <si>
    <t>/PrimalChaos/1Dinos/5MythicAndLegendary/Legendary/Carno/Legendary_Carno_Character_BP.Legendary_Carno_Character_BP</t>
  </si>
  <si>
    <t>Legendary Dilo</t>
  </si>
  <si>
    <t>Legendary_Dilo_Character_BP_C</t>
  </si>
  <si>
    <t>/PrimalChaos/1Dinos/5MythicAndLegendary/Legendary/Dilo/Legendary_Dilo_Character_BP.Legendary_Dilo_Character_BP</t>
  </si>
  <si>
    <t>Legendary Indom</t>
  </si>
  <si>
    <t>LegendaryIndom_Character_BP_C</t>
  </si>
  <si>
    <t>/PrimalChaos/1Dinos/5MythicAndLegendary/Legendary/indom/LegendaryIndom_Character_BP.LegendaryIndom_Character_BP</t>
  </si>
  <si>
    <t>Legendary Kairuku</t>
  </si>
  <si>
    <t>Legendary_Kairuku_Character_BP_C</t>
  </si>
  <si>
    <t>/PrimalChaos/1Dinos/5MythicAndLegendary/Legendary/Kairuku/Legendary_Kairuku_Character_BP.Legendary_Kairuku_Character_BP</t>
  </si>
  <si>
    <t>Legendary Kapro</t>
  </si>
  <si>
    <t>Legendary_Kapro_Character_BP_C</t>
  </si>
  <si>
    <t>/PrimalChaos/1Dinos/5MythicAndLegendary/Legendary/Kapro/Legendary_Kapro_Character_BP.Legendary_Kapro_Character_BP</t>
  </si>
  <si>
    <t>Legendary Pachy</t>
  </si>
  <si>
    <t>Legendary_Pachy_Character_BP_C</t>
  </si>
  <si>
    <t>/PrimalChaos/1Dinos/5MythicAndLegendary/Legendary/Pachy/Legendary_Pachy_Character_BP.Legendary_Pachy_Character_BP</t>
  </si>
  <si>
    <t>Legendary Ptero</t>
  </si>
  <si>
    <t>Legendary_Ptero_Character_BP_C</t>
  </si>
  <si>
    <t>/PrimalChaos/1Dinos/5MythicAndLegendary/Legendary/Ptero/Legendary_Ptero_Character_BP.Legendary_Ptero_Character_BP</t>
  </si>
  <si>
    <t>Legendary Raptor</t>
  </si>
  <si>
    <t>Legendary_Raptor_Character_BP_C</t>
  </si>
  <si>
    <t>/PrimalChaos/1Dinos/5MythicAndLegendary/Legendary/Raptor/Legendary_Raptor_Character_BP.Legendary_Raptor_Character_BP</t>
  </si>
  <si>
    <t>Legendary Sarco</t>
  </si>
  <si>
    <t>Legendary_Sarco_Character_BP_C</t>
  </si>
  <si>
    <t>/PrimalChaos/1Dinos/5MythicAndLegendary/Legendary/Sarco/Legendary_Sarco_Character_BP.Legendary_Sarco_Character_BP</t>
  </si>
  <si>
    <t>Legendary Scorpion</t>
  </si>
  <si>
    <t>Legendary_Scorpion_Character_BP_C</t>
  </si>
  <si>
    <t>/PrimalChaos/1Dinos/5MythicAndLegendary/Legendary/Scorpion/Legendary_Scorpion_Character_BP.Legendary_Scorpion_Character_BP</t>
  </si>
  <si>
    <t>Legendary Spino</t>
  </si>
  <si>
    <t>Legendary_Spino_Character_BP_C</t>
  </si>
  <si>
    <t>/PrimalChaos/1Dinos/5MythicAndLegendary/Legendary/Spino/Legendary_Spino_Character_BP.Legendary_Spino_Character_BP</t>
  </si>
  <si>
    <t>Legendary Stego</t>
  </si>
  <si>
    <t>Legendary_Stego_Character_BP_C</t>
  </si>
  <si>
    <t>/PrimalChaos/1Dinos/5MythicAndLegendary/Legendary/Stego/Legendary_Stego_Character_BP.Legendary_Stego_Character_BP</t>
  </si>
  <si>
    <t>Legendary Thorny</t>
  </si>
  <si>
    <t>Legendary_Thorny_Character_BP_C</t>
  </si>
  <si>
    <t>/PrimalChaos/1Dinos/5MythicAndLegendary/Legendary/Thorny/Legendary_Thorny_Character_BP.Legendary_Thorny_Character_BP</t>
  </si>
  <si>
    <t>Legendary Trike</t>
  </si>
  <si>
    <t>Legendary_Trike_Character_BP_C</t>
  </si>
  <si>
    <t>/PrimalChaos/1Dinos/5MythicAndLegendary/Legendary/Trike/Legendary_Trike_Character_BP.Legendary_Trike_Character_BP</t>
  </si>
  <si>
    <t>Legendary Wyvern</t>
  </si>
  <si>
    <t>Legendary_Wyvern_Character_BP_C</t>
  </si>
  <si>
    <t>/PrimalChaos/1Dinos/5MythicAndLegendary/Legendary/Wyvern/Legendary_Wyvern_Character_BP.Legendary_Wyvern_Character_BP</t>
  </si>
  <si>
    <t>Mythical</t>
  </si>
  <si>
    <t>Mythic Anky</t>
  </si>
  <si>
    <t>Mythic</t>
  </si>
  <si>
    <t>Mythic_Anky_Character_BP_C</t>
  </si>
  <si>
    <t>/PrimalChaos/1Dinos/5MythicAndLegendary/Mythic/Anky/Mythic_Anky_Character_BP.Mythic_Anky_Character_BP</t>
  </si>
  <si>
    <t>Mythic Argentavis</t>
  </si>
  <si>
    <t>Mythic_Argentavis_Character_BP_C</t>
  </si>
  <si>
    <t>/PrimalChaos/1Dinos/5MythicAndLegendary/Mythic/Argentavis/Mythic_Argentavis_Character_BP.Mythic_Argentavis_Character_BP</t>
  </si>
  <si>
    <t>Mythic Beaver</t>
  </si>
  <si>
    <t>Mythic_Beaver_Character_BP_C</t>
  </si>
  <si>
    <t>/PrimalChaos/1Dinos/5MythicAndLegendary/Mythic/Beaver/Mythic_Beaver_Character_BP.Mythic_Beaver_Character_BP</t>
  </si>
  <si>
    <t>Mythic Bigfoot</t>
  </si>
  <si>
    <t>Mythic_Bigfoot_Character_BP_C</t>
  </si>
  <si>
    <t>/PrimalChaos/1Dinos/5MythicAndLegendary/Mythic/Bigfoot/Mythic_Bigfoot_Character_BP.Mythic_Bigfoot_Character_BP</t>
  </si>
  <si>
    <t>Mythic Doedic</t>
  </si>
  <si>
    <t>Mythic_Doedic_Character_BP_C</t>
  </si>
  <si>
    <t>/PrimalChaos/1Dinos/5MythicAndLegendary/Mythic/Doedicurus/Mythic_Doedic_Character_BP.Mythic_Doedic_Character_BP</t>
  </si>
  <si>
    <t>Mythic Frog</t>
  </si>
  <si>
    <t>Mythic_Frog_Character_BP_C</t>
  </si>
  <si>
    <t>/PrimalChaos/1Dinos/5MythicAndLegendary/Mythic/Frog/Mythic_Frog_Character_BP.Mythic_Frog_Character_BP</t>
  </si>
  <si>
    <t>Mythic Jerboa</t>
  </si>
  <si>
    <t>Mythic_Jerboa_Character_BP_C</t>
  </si>
  <si>
    <t>/PrimalChaos/1Dinos/5MythicAndLegendary/Mythic/Jerboa/Mythic_Jerboa_Character_BP.Mythic_Jerboa_Character_BP</t>
  </si>
  <si>
    <t>Mythic Leech</t>
  </si>
  <si>
    <t>Mythic_Leech_Character_BP_C</t>
  </si>
  <si>
    <t>/PrimalChaos/1Dinos/5MythicAndLegendary/Mythic/Leech/Mythic_Leech_Character_BP.Mythic_Leech_Character_BP</t>
  </si>
  <si>
    <t>Mythic Mammoth</t>
  </si>
  <si>
    <t>Mythic_Mammoth_Character_BP_C</t>
  </si>
  <si>
    <t>/PrimalChaos/1Dinos/5MythicAndLegendary/Mythic/Mammoth/Mythic_Mammoth_Character_BP.Mythic_Mammoth_Character_BP</t>
  </si>
  <si>
    <t>Mythic Owl</t>
  </si>
  <si>
    <t>Mythic_Owl_Character_BP_C</t>
  </si>
  <si>
    <t>/PrimalChaos/1Dinos/5MythicAndLegendary/Mythic/Owl/Mythic_Owl_Character_BP.Mythic_Owl_Character_BP</t>
  </si>
  <si>
    <t>Mythic Paracer</t>
  </si>
  <si>
    <t>Mythic_Paracer_Character_BP_C</t>
  </si>
  <si>
    <t>/PrimalChaos/1Dinos/5MythicAndLegendary/Mythic/Paracer/Mythic_Paracer_Character_BP.Mythic_Paracer_Character_BP</t>
  </si>
  <si>
    <t>Mythic Ptero</t>
  </si>
  <si>
    <t>Mythic_Ptero_Character_BP_C</t>
  </si>
  <si>
    <t>/PrimalChaos/1Dinos/5MythicAndLegendary/Mythic/Ptero/Mythic_Ptero_Character_BP.Mythic_Ptero_Character_BP</t>
  </si>
  <si>
    <t>Mythic Quetz</t>
  </si>
  <si>
    <t>Mythic_Quetz_Character_BP_C</t>
  </si>
  <si>
    <t>/PrimalChaos/1Dinos/5MythicAndLegendary/Mythic/Queltzal/Mythic_Quetz_Character_BP.Mythic_Quetz_Character_BP</t>
  </si>
  <si>
    <t>Mythic Sauropod</t>
  </si>
  <si>
    <t>Mythic_Sauropod_Character_BP_C</t>
  </si>
  <si>
    <t>/PrimalChaos/1Dinos/5MythicAndLegendary/Mythic/Sauropod/Mythic_Sauropod_Character_BP.Mythic_Sauropod_Character_BP</t>
  </si>
  <si>
    <t>Mythic Stag</t>
  </si>
  <si>
    <t>Mythic_Stag_Character_BP_C</t>
  </si>
  <si>
    <t>/PrimalChaos/1Dinos/5MythicAndLegendary/Mythic/Stag/Mythic_Stag_Character_BP.Mythic_Stag_Character_BP</t>
  </si>
  <si>
    <t>Mythic Stego</t>
  </si>
  <si>
    <t>Mythic_Stego_Character_BP_C</t>
  </si>
  <si>
    <t>/PrimalChaos/1Dinos/5MythicAndLegendary/Mythic/Stego/Mythic_Stego_Character_BP.Mythic_Stego_Character_BP</t>
  </si>
  <si>
    <t>Mythic Tapejara</t>
  </si>
  <si>
    <t>Mythic_Tapejara_Character_BP_C</t>
  </si>
  <si>
    <t>/PrimalChaos/1Dinos/5MythicAndLegendary/Mythic/Tapejara/Mythic_Tapejara_Character_BP.Mythic_Tapejara_Character_BP</t>
  </si>
  <si>
    <t>Mythic Therizino</t>
  </si>
  <si>
    <t>Mythic_Therizino_Character_BP_C</t>
  </si>
  <si>
    <t>/PrimalChaos/1Dinos/5MythicAndLegendary/Mythic/Therizino/Mythic_Therizino_Character_BP.Mythic_Therizino_Character_BP</t>
  </si>
  <si>
    <t>Mythic Trike</t>
  </si>
  <si>
    <t>Mythic_Trike_Character_BP_C</t>
  </si>
  <si>
    <t>/PrimalChaos/1Dinos/5MythicAndLegendary/Mythic/Trike/Mythic_Trike_Character_BP.Mythic_Trike_Character_BP</t>
  </si>
  <si>
    <t>Angelic</t>
  </si>
  <si>
    <t>Angelic Allo</t>
  </si>
  <si>
    <t>Allo_Character_BP_Angelic_C</t>
  </si>
  <si>
    <t>/PrimalChaos/1Dinos/6DemonicAndAngelic/Angelic/Allo/Allo_Character_BP_Angelic.Allo_Character_BP_Angelic</t>
  </si>
  <si>
    <t>Angelic Argentavis</t>
  </si>
  <si>
    <t>AngelicArgent_Character_BP_C</t>
  </si>
  <si>
    <t>/PrimalChaos/1Dinos/6DemonicAndAngelic/Angelic/Argy/AngelicArgent_Character_BP.AngelicArgent_Character_BP</t>
  </si>
  <si>
    <t>Angelic Dire Bear</t>
  </si>
  <si>
    <t>Direbear_Character_BP_Angelic_C</t>
  </si>
  <si>
    <t>/PrimalChaos/1Dinos/6DemonicAndAngelic/Angelic/DireBear/Direbear_Character_BP_Angelic.Direbear_Character_BP_Angelic</t>
  </si>
  <si>
    <t>Angelic Dire Wolf</t>
  </si>
  <si>
    <t>DireWolf_Character_BP_Angelic_C</t>
  </si>
  <si>
    <t>/PrimalChaos/1Dinos/6DemonicAndAngelic/Angelic/wolf/DireWolf_Character_BP_Angelic.DireWolf_Character_BP_Angelic</t>
  </si>
  <si>
    <t>Angelic Griffin</t>
  </si>
  <si>
    <t>AngelicGriffin_Character_BP_C</t>
  </si>
  <si>
    <t>/PrimalChaos/1Dinos/6DemonicAndAngelic/Angelic/Griffin/AngelicGriffin_Character_BP.AngelicGriffin_Character_BP</t>
  </si>
  <si>
    <t>Angelic Manticore</t>
  </si>
  <si>
    <t>Manticore_Character_BP_Angelic_C</t>
  </si>
  <si>
    <t>/PrimalChaos/1Dinos/6DemonicAndAngelic/Angelic/Manticore/Manticore_Character_BP_Angelic.Manticore_Character_BP_Angelic</t>
  </si>
  <si>
    <t>Angelic Rex</t>
  </si>
  <si>
    <t>Rex_Character_BP_Angelic_C</t>
  </si>
  <si>
    <t>/PrimalChaos/1Dinos/6DemonicAndAngelic/Angelic/Rex/Rex_Character_BP_Angelic.Rex_Character_BP_Angelic</t>
  </si>
  <si>
    <t>Angelic Spino</t>
  </si>
  <si>
    <t>Spino_Character_BP_Angelic_C</t>
  </si>
  <si>
    <t>/PrimalChaos/1Dinos/6DemonicAndAngelic/Angelic/Spino/Spino_Character_BP_Angelic.Spino_Character_BP_Angelic</t>
  </si>
  <si>
    <t>Angelic Therizino</t>
  </si>
  <si>
    <t>Therizino_Character_BP_Angelic_C</t>
  </si>
  <si>
    <t>/PrimalChaos/1Dinos/6DemonicAndAngelic/Angelic/Therizino/Therizino_Character_BP_Angelic.Therizino_Character_BP_Angelic</t>
  </si>
  <si>
    <t>Angelic Thylacoleo</t>
  </si>
  <si>
    <t>Thylacoleo_Character_BP_Angelic_C</t>
  </si>
  <si>
    <t>/PrimalChaos/1Dinos/6DemonicAndAngelic/Angelic/Thyla/Thylacoleo_Character_BP_Angelic.Thylacoleo_Character_BP_Angelic</t>
  </si>
  <si>
    <t>Angelic Wyvern</t>
  </si>
  <si>
    <t>Wyvern_Character_BP_Angelic_C</t>
  </si>
  <si>
    <t>/PrimalChaos/1Dinos/6DemonicAndAngelic/Angelic/Wyvern/Wyvern_Character_BP_Angelic.Wyvern_Character_BP_Angelic</t>
  </si>
  <si>
    <t>Angelic Yutyrannus</t>
  </si>
  <si>
    <t>Yutyrannus_Character_BP_Angelic_C</t>
  </si>
  <si>
    <t>/PrimalChaos/1Dinos/6DemonicAndAngelic/Angelic/Yuty/Yutyrannus_Character_BP_Angelic.Yutyrannus_Character_BP_Angelic</t>
  </si>
  <si>
    <t>Demonic</t>
  </si>
  <si>
    <t>Demonic Bulbdog</t>
  </si>
  <si>
    <t>LanternPug_Character_BP_Demonic_C</t>
  </si>
  <si>
    <t>/PrimalChaos/1Dinos/6DemonicAndAngelic/Demonic/Bulbdog/LanternPug_Character_BP_Demonic.LanternPug_Character_BP_Demonic</t>
  </si>
  <si>
    <t>Demonic Dilo</t>
  </si>
  <si>
    <t>DemonicDilo_Character_BP_C</t>
  </si>
  <si>
    <t>/PrimalChaos/1Dinos/6Demonic/Dilo/DemonicDilo_Character_BP.DemonicDilo_Character_BP</t>
  </si>
  <si>
    <t>Demonic Dodo</t>
  </si>
  <si>
    <t>Demonic_Dodo_Character_BP_C</t>
  </si>
  <si>
    <t>/PrimalChaos/1Dinos/6DemonicAndAngelic/Demonic/Dodo/Demonic_Dodo_Character_BP.Demonic_Dodo_Character_BP</t>
  </si>
  <si>
    <t>Demonic Equus</t>
  </si>
  <si>
    <t>Equus_Character_BP_Demonic_C</t>
  </si>
  <si>
    <t>/PrimalChaos/1Dinos/6DemonicAndAngelic/Demonic/Equus/Equus_Character_BP_Demonic.Equus_Character_BP_Demonic</t>
  </si>
  <si>
    <t>Demonic Ferox</t>
  </si>
  <si>
    <t>Demonic_Ferox_Character_BP_C</t>
  </si>
  <si>
    <t>/PrimalChaos/1Dinos/6Demonic/Ferox/Demonic_Ferox_Character_BP.Demonic_Ferox_Character_BP</t>
  </si>
  <si>
    <t>Demonic Glowtail</t>
  </si>
  <si>
    <t>LanternLizard_Character_BP_Demonic_C</t>
  </si>
  <si>
    <t>/PrimalChaos/1Dinos/6DemonicAndAngelic/Demonic/Glowtail/LanternLizard_Character_BP_Demonic.LanternLizard_Character_BP_Demonic</t>
  </si>
  <si>
    <t>Demonic Gorilla</t>
  </si>
  <si>
    <t>DemonicGorilla_Character_BP_C</t>
  </si>
  <si>
    <t>/PrimalChaos/1Dinos/6Demonic/Gorilla/DemonicGorilla_Character_BP.DemonicGorilla_Character_BP</t>
  </si>
  <si>
    <t>Demonic Hyaenodon</t>
  </si>
  <si>
    <t>Hyaenodon_Character_BP_Demonic_C</t>
  </si>
  <si>
    <t>/PrimalChaos/1Dinos/6DemonicAndAngelic/Demonic/Hyaenodon/Hyaenodon_Character_BP_Demonic.Hyaenodon_Character_BP_Demonic</t>
  </si>
  <si>
    <t>Demonic Kaprosuchus</t>
  </si>
  <si>
    <t>Kaprosuchus_Character_BP_Demonic_C</t>
  </si>
  <si>
    <t>/PrimalChaos/1Dinos/6DemonicAndAngelic/Demonic/Kapro/Kaprosuchus_Character_BP_Demonic.Kaprosuchus_Character_BP_Demonic</t>
  </si>
  <si>
    <t>Demonic Megatherium</t>
  </si>
  <si>
    <t>Megatherium_Character_BP_Demonic_C</t>
  </si>
  <si>
    <t>/PrimalChaos/1Dinos/6DemonicAndAngelic/Demonic/Megatherium/Megatherium_Character_BP_Demonic.Megatherium_Character_BP_Demonic</t>
  </si>
  <si>
    <t>Demonic Mesopithecus</t>
  </si>
  <si>
    <t>Monkey_Character_BP_Demonic_C</t>
  </si>
  <si>
    <t>/PrimalChaos/1Dinos/6DemonicAndAngelic/Demonic/Monkey/Monkey_Character_BP_Demonic.Monkey_Character_BP_Demonic</t>
  </si>
  <si>
    <t>Demonic Ovis</t>
  </si>
  <si>
    <t>Sheep_Character_BP_Demonic_C</t>
  </si>
  <si>
    <t>/PrimalChaos/1Dinos/6DemonicAndAngelic/Demonic/Ovis/Sheep_Character_BP_Demonic.Sheep_Character_BP_Demonic</t>
  </si>
  <si>
    <t>Demonic Parasaur</t>
  </si>
  <si>
    <t>Para_Character_BP_Demonic_C</t>
  </si>
  <si>
    <t>/PrimalChaos/1Dinos/6DemonicAndAngelic/Demonic/Parasaur/Para_Character_BP_Demonic.Para_Character_BP_Demonic</t>
  </si>
  <si>
    <t>Demonic Reaper</t>
  </si>
  <si>
    <t>Demonic_Reaper_Character_BP_C</t>
  </si>
  <si>
    <t>/PrimalChaos/1Dinos/6Demonic/Reaper/Demonic_Reaper_Character_BP.Demonic_Reaper_Character_BP</t>
  </si>
  <si>
    <t>Demonic Shinehorn</t>
  </si>
  <si>
    <t>LanternGoat_Character_BP_Demonic_C</t>
  </si>
  <si>
    <t>/PrimalChaos/1Dinos/6DemonicAndAngelic/Demonic/Shinehorn/LanternGoat_Character_BP_Demonic.LanternGoat_Character_BP_Demonic</t>
  </si>
  <si>
    <t>Demonic Thorny</t>
  </si>
  <si>
    <t>Blueprint Path not working</t>
  </si>
  <si>
    <t>DemonicThorny_Character_BP_C</t>
  </si>
  <si>
    <t>/PrimalChaos/1Dinos/6DemonicAndAngelic/Demonic/ThornyDragon/DemonicThorny_Character_BP</t>
  </si>
  <si>
    <t>Spirit</t>
  </si>
  <si>
    <t>Spirit Bronto</t>
  </si>
  <si>
    <t>Sauropod_Character_BP_Spirit_C</t>
  </si>
  <si>
    <t>/PrimalChaos/1Dinos/7SpiritAndChaos/Spirit/Bronto/Sauropod_Character_BP_Spirit.Sauropod_Character_BP_Spirit</t>
  </si>
  <si>
    <t>Spirit Carno</t>
  </si>
  <si>
    <t>Carno_Character_BP_Spirit_C</t>
  </si>
  <si>
    <t>/PrimalChaos/1Dinos/7SpiritAndChaos/Spirit/carno/Carno_Character_BP_Spirit.Carno_Character_BP_Spirit</t>
  </si>
  <si>
    <t>Spirit Dodo Rex</t>
  </si>
  <si>
    <t>Spirit_DodoRex_Character_BP_C</t>
  </si>
  <si>
    <t>/PrimalChaos/1Dinos/7SpiritAndChaos/Spirit/Dodorex/Spirit_DodoRex_Character_BP.Spirit_DodoRex_Character_BP</t>
  </si>
  <si>
    <t>Spirit Gigant</t>
  </si>
  <si>
    <t>Gigant_Character_BP_Spirit_C</t>
  </si>
  <si>
    <t>/PrimalChaos/1Dinos/7SpiritAndChaos/Spirit/giga/Gigant_Character_BP_Spirit.Gigant_Character_BP_Spirit</t>
  </si>
  <si>
    <t>Spirit Indom</t>
  </si>
  <si>
    <t>Spirit_Indom_Character_BP_C</t>
  </si>
  <si>
    <t>/PrimalChaos/1Dinos/7SpiritAndChaos/Spirit/Indom/Spirit_Indom_Character_BP.Spirit_Indom_Character_BP</t>
  </si>
  <si>
    <t>Spirit Jerboa</t>
  </si>
  <si>
    <t>Jerboa_Character_BP_Spirit_C</t>
  </si>
  <si>
    <t>/PrimalChaos/1Dinos/7SpiritAndChaos/Spirit/jerboa/Jerboa_Character_BP_Spirit.Jerboa_Character_BP_Spirit</t>
  </si>
  <si>
    <t>Spirit Quetz</t>
  </si>
  <si>
    <t>Quetz_Character_BP_Spirit_C</t>
  </si>
  <si>
    <t>/PrimalChaos/1Dinos/7SpiritAndChaos/Spirit/quetz/Quetz_Character_BP_Spirit.Quetz_Character_BP_Spirit</t>
  </si>
  <si>
    <t>Spirit Raptor</t>
  </si>
  <si>
    <t>Raptor_Character_BP_Spirit_C</t>
  </si>
  <si>
    <t>/PrimalChaos/1Dinos/7SpiritAndChaos/Spirit/raptor/Raptor_Character_BP_Spirit.Raptor_Character_BP_Spirit</t>
  </si>
  <si>
    <t>Spirit Rex</t>
  </si>
  <si>
    <t>Spirit_Rex_Character_BP_C</t>
  </si>
  <si>
    <t>/PrimalChaos/1Dinos/7SpiritAndChaos/Spirit/Rex/Spirit_Rex_Character_BP.Spirit_Rex_Character_BP</t>
  </si>
  <si>
    <t>Spirit Stego</t>
  </si>
  <si>
    <t>Stego_Character_BP_Spirit_C</t>
  </si>
  <si>
    <t>/PrimalChaos/1Dinos/7SpiritAndChaos/Spirit/stego/Stego_Character_BP_Spirit.Stego_Character_BP_Spirit</t>
  </si>
  <si>
    <t>Spirit Trike</t>
  </si>
  <si>
    <t>Trike_Character_BP_Spirit_C</t>
  </si>
  <si>
    <t>/PrimalChaos/1Dinos/7SpiritAndChaos/Spirit/trike/Trike_Character_BP_Spirit.Trike_Character_BP_Spirit</t>
  </si>
  <si>
    <t>Spirit Wyvern</t>
  </si>
  <si>
    <t>Spirit_Wyvern_Character_BP_Base_C</t>
  </si>
  <si>
    <t>/PrimalChaos/1Dinos/7SpiritAndChaos/Spirit/Wyvern/Spirit_Wyvern_Character_BP_Base.Spirit_Wyvern_Character_BP_Base</t>
  </si>
  <si>
    <t>C̙̮̓͛ha̱̹ős̙̤̫</t>
  </si>
  <si>
    <t>Chaos Dodo Rex</t>
  </si>
  <si>
    <t>Chaos</t>
  </si>
  <si>
    <t>Chaos_DodoRex_Character_BP_C</t>
  </si>
  <si>
    <t>/PrimalChaos/1Dinos/7SpiritAndChaos/Chaos/Dodorex/Chaos_DodoRex_Character_BP.Chaos_DodoRex_Character_BP</t>
  </si>
  <si>
    <t>Chaos Griffin</t>
  </si>
  <si>
    <t>Chaos_Griffin_Character_BP_C</t>
  </si>
  <si>
    <t>/PrimalChaos/1Dinos/7SpiritAndChaos/Chaos/Griffin/Chaos_Griffin_Character_BP.Chaos_Griffin_Character_BP</t>
  </si>
  <si>
    <t>Chaos Indom</t>
  </si>
  <si>
    <t>Chaos_Indom_Character_BP_C</t>
  </si>
  <si>
    <t>/PrimalChaos/1Dinos/7SpiritAndChaos/Chaos/Indom/Chaos_Indom_Character_BP.Chaos_Indom_Character_BP</t>
  </si>
  <si>
    <t>Chaos Rex</t>
  </si>
  <si>
    <t>Chaos_Rex_Character_BP_C</t>
  </si>
  <si>
    <t>/PrimalChaos/1Dinos/7SpiritAndChaos/Chaos/Rex/Chaos_Rex_Character_BP.Chaos_Rex_Character_BP</t>
  </si>
  <si>
    <t>Chaos Rockdrake</t>
  </si>
  <si>
    <t>Chaos_RockDrake_Character_BP_C</t>
  </si>
  <si>
    <t>/PrimalChaos/1Dinos/7SpiritAndChaos/Chaos/Rockdrake/Chaos_RockDrake_Character_BP.Chaos_RockDrake_Character_BP</t>
  </si>
  <si>
    <t>Chaos Spino</t>
  </si>
  <si>
    <t>Chaos_Spino_Character_BP_C</t>
  </si>
  <si>
    <t>/PrimalChaos/1Dinos/7SpiritAndChaos/Chaos/Spino/Chaos_Spino_Character_BP.Chaos_Spino_Character_BP</t>
  </si>
  <si>
    <t>Chaos Therizino</t>
  </si>
  <si>
    <t>Chaos_Therizino_Character_BP_C</t>
  </si>
  <si>
    <t>/PrimalChaos/1Dinos/7SpiritAndChaos/Chaos/Theri/Chaos_Therizino_Character_BP.Chaos_Therizino_Character_BP</t>
  </si>
  <si>
    <t>Chaos Thyla</t>
  </si>
  <si>
    <t>Chaos_Thylacoleo_Character_BP_C</t>
  </si>
  <si>
    <t>/PrimalChaos/1Dinos/7SpiritAndChaos/Chaos/Thyla/Chaos_Thylacoleo_Character_BP.Chaos_Thylacoleo_Character_BP</t>
  </si>
  <si>
    <t>Chaos Wyvern</t>
  </si>
  <si>
    <t>Chaos_Wyvern_Character_BP_Base_C</t>
  </si>
  <si>
    <t>/PrimalChaos/1Dinos/7SpiritAndChaos/Chaos/Wyvern/Chaos_Wyvern_Character_BP_Base.Chaos_Wyvern_Character_BP_Base</t>
  </si>
  <si>
    <t>Boss Tier</t>
  </si>
  <si>
    <t>Death Knight</t>
  </si>
  <si>
    <t>DeathKnight_Character_BP_C</t>
  </si>
  <si>
    <t>/PrimalChaos/1Bosses/Nightmares/Deathknight/DeathKnight_Character_BP.DeathKnight_Character_BP</t>
  </si>
  <si>
    <t>Death Knight Tamable</t>
  </si>
  <si>
    <t>TameableDeathKnight_Character_BP_C</t>
  </si>
  <si>
    <t>/PrimalChaos/1Bosses/Nightmares/TameableDeathKnight/TameableDeathKnight_Character_BP.TameableDeathKnight_Character_BP</t>
  </si>
  <si>
    <t xml:space="preserve">Electric Boss Enforcer </t>
  </si>
  <si>
    <t>Elemental</t>
  </si>
  <si>
    <t>ElectricBoss_Enforcer_Character_BP_C</t>
  </si>
  <si>
    <t>/PrimalChaos/1Bosses/ElementalBosses/GuardianElectric/ElectricBossWiLD/ElectricBoss_Enforcer_Character_BP.ElectricBoss_Enforcer_Character_BP</t>
  </si>
  <si>
    <t>Electric Boss Enforcer Summon</t>
  </si>
  <si>
    <t>ElectricBoss_Enforcer_Character_BP_Summon_C</t>
  </si>
  <si>
    <t>/PrimalChaos/1Bosses/ElementalBosses/GuardianElectric/ElectricBossSummon/ElectricBoss_Enforcer_Character_BP_Summon.ElectricBoss_Enforcer_Character_BP_Summon</t>
  </si>
  <si>
    <t>Electric Boss Enforcer Tameable</t>
  </si>
  <si>
    <t>ElectricBoss_Enforcer_Character_BP_Tameable_C</t>
  </si>
  <si>
    <t>/PrimalChaos/1Bosses/ElementalBosses/GuardianElectric/ElectricBossTameable/ElectricBoss_Enforcer_Character_BP_Tameable.ElectricBoss_Enforcer_Character_BP_Tameable</t>
  </si>
  <si>
    <t xml:space="preserve">Hydro Guardian  </t>
  </si>
  <si>
    <t>HydroGuardian_Character_BP_C</t>
  </si>
  <si>
    <t>/PrimalChaos/1Bosses/ElementalBosses/GuardianHydro/HydroBossWILD/HydroGuardian_Character_BP.HydroGuardian_Character_BP</t>
  </si>
  <si>
    <t xml:space="preserve">Hydro Guardian Summon </t>
  </si>
  <si>
    <t>HydroGuardian_Character_BP_Summon_C</t>
  </si>
  <si>
    <t>/PrimalChaos/1Bosses/ElementalBosses/GuardianHydro/HydroBossSummon/HydroGuardian_Character_BP_Summon.HydroGuardian_Character_BP_Summon</t>
  </si>
  <si>
    <t xml:space="preserve">Hydro Guardian Tameable </t>
  </si>
  <si>
    <t>HydroGuardian_Character_BP_Tameable_C</t>
  </si>
  <si>
    <t>/PrimalChaos/1Bosses/ElementalBosses/GuardianHydro/HydroBossTameable/HydroGuardian_Character_BP_Tameable.HydroGuardian_Character_BP_Tameable</t>
  </si>
  <si>
    <t xml:space="preserve">Volcanic Guardian  </t>
  </si>
  <si>
    <t>VolcanicGuardian_Character_BP_C</t>
  </si>
  <si>
    <t>/PrimalChaos/1Bosses/ElementalBosses/GuardianVolcanic/VolcanicBossWILD/VolcanicGuardian_Character_BP.VolcanicGuardian_Character_BP</t>
  </si>
  <si>
    <t xml:space="preserve">Volcanic Guardian Summon </t>
  </si>
  <si>
    <t>VolcanicGuardian_Character_BP_Summon_C</t>
  </si>
  <si>
    <t>/PrimalChaos/1Bosses/ElementalBosses/GuardianVolcanic/VolcanicBossSummon/VolcanicGuardian_Character_BP_Summon.VolcanicGuardian_Character_BP_Summon</t>
  </si>
  <si>
    <t xml:space="preserve">Volcanic Guardian Tameable </t>
  </si>
  <si>
    <t>VolcanicGuardian_Character_BP_Tameable_C</t>
  </si>
  <si>
    <t>/PrimalChaos/1Bosses/ElementalBosses/GuardianVolcanic/VolcanicBossTameable/VolcanicGuardian_Character_BP_Tameable.VolcanicGuardian_Character_BP_Tameable</t>
  </si>
  <si>
    <t>Angelic Boss</t>
  </si>
  <si>
    <t>Angelic_Shapeshifter_Large_Character_BP_C</t>
  </si>
  <si>
    <t>/PrimalChaos/1Bosses/Bosses/DemonicAndAngelicBOSS/Angelic/Angelic_Shapeshifter_Large_Character_BP.Angelic_Shapeshifter_Large_Character_BP</t>
  </si>
  <si>
    <t>Demonic Boss</t>
  </si>
  <si>
    <t>Demonic_Scorpion_Character_BP_C</t>
  </si>
  <si>
    <t>/PrimalChaos/1Bosses/Bosses/DemonicAndAngelicBOSS/Demonic/Demonic_Scorpion_Character_BP.Demonic_Scorpion_Character_BP</t>
  </si>
  <si>
    <t>Demonic Boss Tameable</t>
  </si>
  <si>
    <t>Demonic_Scorpion_Character_BP_Tameable_C</t>
  </si>
  <si>
    <t>/PrimalChaos/1Bosses/Bosses/DemonicAndAngelicBOSS/Demonic/Tameable/Demonic_Scorpion_Character_BP_Tameable.Demonic_Scorpion_Character_BP_Tameable</t>
  </si>
  <si>
    <t>Spirit Titan BOSS</t>
  </si>
  <si>
    <t>Spirit_Titan_Character_BP_BOSS_C</t>
  </si>
  <si>
    <t>/PrimalChaos/1Bosses/Bosses/SpiritAndChaosTITAN/Spirit/Spirit_Titan_Character_BP_BOSS.Spirit_Titan_Character_BP_BOSS</t>
  </si>
  <si>
    <t>Chaos Titan BOSS</t>
  </si>
  <si>
    <t>Chaos_Titan_Character_BP_BOSS_C</t>
  </si>
  <si>
    <t>/PrimalChaos/1Bosses/Bosses/SpiritAndChaosTITAN/Chaos/Chaos_Titan_Character_BP_BOSS.Chaos_Titan_Character_BP_BOSS</t>
  </si>
  <si>
    <t>Nightmare Argent</t>
  </si>
  <si>
    <t>Nightmare</t>
  </si>
  <si>
    <t>NightmareArgent_Character_BP_C</t>
  </si>
  <si>
    <t>/PrimalChaos/1Bosses/Bosses/DeathknightBOSS/Deathknight/Attack_Minions/Nightmares/NightmareArgent_Character_BP.NightmareArgent_Character_BP</t>
  </si>
  <si>
    <t>Nightmare Argent Summon</t>
  </si>
  <si>
    <t>NightmareArgent_Character_BP_Summon_C</t>
  </si>
  <si>
    <t>/PrimalChaos/1Bosses/Bosstiers/4Nightmare/Argy/Summon/NightmareArgent_Character_BP_Summon.NightmareArgent_Character_BP_Summon</t>
  </si>
  <si>
    <t>Nightmare Argent Tameable</t>
  </si>
  <si>
    <t>NightmareArgent_Character_BP_Tameable_C</t>
  </si>
  <si>
    <t>/PrimalChaos/1Bosses/Bosstiers/4Nightmare/Argy/Tameable/NightmareArgent_Character_BP_Tameable.NightmareArgent_Character_BP_Tameable</t>
  </si>
  <si>
    <t xml:space="preserve">Nightmare Carno  </t>
  </si>
  <si>
    <t>Nightmare_Carno_Character_BP_C</t>
  </si>
  <si>
    <t>/PrimalChaos/1Dinos/6Nightmare/Carno/Nightmare_Carno_Character_BP.Nightmare_Carno_Character_BP</t>
  </si>
  <si>
    <t xml:space="preserve">Nightmare Carno Summon </t>
  </si>
  <si>
    <t>Nightmare_Carno_Character_BP_Summon_C</t>
  </si>
  <si>
    <t>/PrimalChaos/1Dinos/6Nightmare/Carno/Summon/Nightmare_Carno_Character_BP_Summon.Nightmare_Carno_Character_BP_Summon</t>
  </si>
  <si>
    <t>Nightmare Carno Tameable</t>
  </si>
  <si>
    <t xml:space="preserve">Nightmare </t>
  </si>
  <si>
    <t>Nightmare_Carno_Character_BP_Tameable_C</t>
  </si>
  <si>
    <t>/PrimalChaos/1Bosses/Bosstiers/4Nightmare/Carno/Tameable/Nightmare_Carno_Character_BP_Tameable.Nightmare_Carno_Character_BP_Tameable</t>
  </si>
  <si>
    <t>Nightmare Direbear</t>
  </si>
  <si>
    <t>NightmareDirebear_Character_BP_C</t>
  </si>
  <si>
    <t>/PrimalChaos/1Bosses/Bosstiers/4Nightmare/bear/NightmareDirebear_Character_BP.NightmareDirebear_Character_BP</t>
  </si>
  <si>
    <t>Nightmare Direbear Summon</t>
  </si>
  <si>
    <t>NightmareDirebear_Character_BP_Summon_C</t>
  </si>
  <si>
    <t>/PrimalChaos/1Bosses/Bosstiers/4Nightmare/bear/Summon/NightmareDirebear_Character_BP_Summon.NightmareDirebear_Character_BP_Summon</t>
  </si>
  <si>
    <t>Nightmare Direbear Tameable</t>
  </si>
  <si>
    <t>NightmareDirebear_Character_BP_Tameable_C</t>
  </si>
  <si>
    <t>/PrimalChaos/1Bosses/Bosstiers/4Nightmare/bear/Tameable/NightmareDirebear_Character_BP_Tameable.NightmareDirebear_Character_BP_Tameable</t>
  </si>
  <si>
    <t>Nightmare DodoReaper</t>
  </si>
  <si>
    <t>NightmareDodoreaper_Character_BP_C</t>
  </si>
  <si>
    <t>/PrimalChaos/1Dinos/6Nightmare/DodoReaper/NightmareDodoreaper_Character_BP.NightmareDodoreaper_Character_BP</t>
  </si>
  <si>
    <t>Nightmare Dodoreaper Tameable</t>
  </si>
  <si>
    <t>NightmareDodoreaper_Character_BP_Tameable_C</t>
  </si>
  <si>
    <t>/PrimalChaos/1Bosses/Bosstiers/4Nightmare/DodoReaper/Tameable/NightmareDodoreaper_Character_BP_Tameable.NightmareDodoreaper_Character_BP_Tameable</t>
  </si>
  <si>
    <t>Nightmare Kairuku</t>
  </si>
  <si>
    <t>NightmareKairuku_Character_BP_C</t>
  </si>
  <si>
    <t>/PrimalChaos/1Bosses/Bosstiers/4Nightmare/Kairuku/NightmareKairuku_Character_BP.NightmareKairuku_Character_BP</t>
  </si>
  <si>
    <t>Nightmare Kairuku Summon</t>
  </si>
  <si>
    <t>NightmareKairuku_Character_BP_Summon_C</t>
  </si>
  <si>
    <t>/PrimalChaos/1Bosses/Bosstiers/4Nightmare/Kairuku/Summon/NightmareKairuku_Character_BP_Summon.NightmareKairuku_Character_BP_Summon</t>
  </si>
  <si>
    <t>Nightmare Kairuku Tameable</t>
  </si>
  <si>
    <t>NightmareKairuku_Character_BP_Tameable_C</t>
  </si>
  <si>
    <t>/PrimalChaos/1Bosses/Bosstiers/4Nightmare/Kairuku/Tameable/NightmareKairuku_Character_BP_Tameable.NightmareKairuku_Character_BP_Tameable</t>
  </si>
  <si>
    <t xml:space="preserve">Nightmare Raptor  </t>
  </si>
  <si>
    <t>Nightmare_Raptor_Character_BP_C</t>
  </si>
  <si>
    <t>/PrimalChaos/1Dinos/6Nightmare/Raptor/Nightmare_Raptor_Character_BP.Nightmare_Raptor_Character_BP</t>
  </si>
  <si>
    <t xml:space="preserve">Nightmare Raptor Summon </t>
  </si>
  <si>
    <t>Nightmare_Raptor_Character_BP_Summon_C</t>
  </si>
  <si>
    <t>/PrimalChaos/1Dinos/6Nightmare/Raptor/Summon/Nightmare_Raptor_Character_BP_Summon.Nightmare_Raptor_Character_BP_Summon</t>
  </si>
  <si>
    <t>Nightmare Raptor Tameable</t>
  </si>
  <si>
    <t>Nightmare_Raptor_Character_BP_Tameable_C</t>
  </si>
  <si>
    <t>/PrimalChaos/1Bosses/Bosstiers/4Nightmare/Raptor/Tameable/Nightmare_Raptor_Character_BP_Tameable.Nightmare_Raptor_Character_BP_Tameable</t>
  </si>
  <si>
    <t xml:space="preserve">Nightmare Rex  </t>
  </si>
  <si>
    <t>Nightmare_Rex_Character_BP_C</t>
  </si>
  <si>
    <t>/PrimalChaos/1Dinos/6Nightmare/Rex/Nightmare_Rex_Character_BP.Nightmare_Rex_Character_BP</t>
  </si>
  <si>
    <t xml:space="preserve">Nightmare Rex Summon </t>
  </si>
  <si>
    <t>Nightmare_Rex_Character_BP_Summon_C</t>
  </si>
  <si>
    <t>/PrimalChaos/1Dinos/6Nightmare/Rex/Summon/Nightmare_Rex_Character_BP_Summon.Nightmare_Rex_Character_BP_Summon</t>
  </si>
  <si>
    <t>Nightmare Rex Tameable</t>
  </si>
  <si>
    <t>Nightmare_Rex_Character_BP_Tameable_C</t>
  </si>
  <si>
    <t>/PrimalChaos/1Bosses/Bosstiers/4Nightmare/Rex/Tameable/Nightmare_Rex_Character_BP_Tameable.Nightmare_Rex_Character_BP_Tameable</t>
  </si>
  <si>
    <t xml:space="preserve">Nightmare Spino  </t>
  </si>
  <si>
    <t>Nightmare_Spino_Character_BP_C</t>
  </si>
  <si>
    <t>/PrimalChaos/1Dinos/6Nightmare/Spino/Nightmare_Spino_Character_BP.Nightmare_Spino_Character_BP</t>
  </si>
  <si>
    <t xml:space="preserve">Nightmare Spino Summon </t>
  </si>
  <si>
    <t>Nightmare_Spino_Character_BP_Summon_C</t>
  </si>
  <si>
    <t>/PrimalChaos/1Dinos/6Nightmare/Spino/Summon/Nightmare_Spino_Character_BP_Summon.Nightmare_Spino_Character_BP_Summon</t>
  </si>
  <si>
    <t>Nightmare Spino Tameable</t>
  </si>
  <si>
    <t>Nightmare_Spino_Character_BP_Tameable_C</t>
  </si>
  <si>
    <t>/PrimalChaos/1Bosses/Bosstiers/4Nightmare/Spino/Tameable/Nightmare_Spino_Character_BP_Tameable.Nightmare_Spino_Character_BP_Tameable</t>
  </si>
  <si>
    <t xml:space="preserve">Nightmare Trike  </t>
  </si>
  <si>
    <t>Nightmare_Trike_Character_BP_C</t>
  </si>
  <si>
    <t>/PrimalChaos/1Dinos/6Nightmare/Trike/Nightmare_Trike_Character_BP.Nightmare_Trike_Character_BP</t>
  </si>
  <si>
    <t xml:space="preserve">Nightmare Trike Summon </t>
  </si>
  <si>
    <t>Nightmare_Trike_Character_BP_Summon_C</t>
  </si>
  <si>
    <t>/PrimalChaos/1Dinos/6Nightmare/Trike/Summon/Nightmare_Trike_Character_BP_Summon.Nightmare_Trike_Character_BP_Summon</t>
  </si>
  <si>
    <t>Nightmare Trike Tameable</t>
  </si>
  <si>
    <t>Nightmare_Trike_Character_BP_Tameable_C</t>
  </si>
  <si>
    <t>/PrimalChaos/1Bosses/Bosstiers/4Nightmare/Trike/Tameable/Nightmare_Trike_Character_BP_Tameable.Nightmare_Trike_Character_BP_Tameable</t>
  </si>
  <si>
    <t>Nightmare Wyvern</t>
  </si>
  <si>
    <t>NightmareWyvern_Character_BP_C</t>
  </si>
  <si>
    <t>/PrimalChaos/1Bosses/Bosstiers/4Nightmare/Wyvern/NightmareWyvern_Character_BP.NightmareWyvern_Character_BP</t>
  </si>
  <si>
    <t>Nightmare Wyvern Summon</t>
  </si>
  <si>
    <t>NightmareWyvern_Character_BP_Summon_C</t>
  </si>
  <si>
    <t>/PrimalChaos/1Bosses/Bosstiers/4Nightmare/Wyvern/Summon/NightmareWyvern_Character_BP_Summon.NightmareWyvern_Character_BP_Summon</t>
  </si>
  <si>
    <t>Nightmare Wyvern Tameable</t>
  </si>
  <si>
    <t>NightmareWyvern_Character_BP_Tameable_C</t>
  </si>
  <si>
    <t>/PrimalChaos/1Bosses/Bosstiers/4Nightmare/Wyvern/Tameable/NightmareWyvern_Character_BP_Tameable.NightmareWyvern_Character_BP_Tameable</t>
  </si>
  <si>
    <t xml:space="preserve">Nightmare Yutyrannus  </t>
  </si>
  <si>
    <t>NightmareYutyrannus_Character_BP_C</t>
  </si>
  <si>
    <t>/PrimalChaos/1Dinos/6Nightmare/Yuty/NightmareYutyrannus_Character_BP.NightmareYutyrannus_Character_BP</t>
  </si>
  <si>
    <t xml:space="preserve">Nightmare Yutyrannus Summon </t>
  </si>
  <si>
    <t>NightmareYutyrannus_Character_BP_Summon_C</t>
  </si>
  <si>
    <t>/PrimalChaos/1Dinos/6Nightmare/Yuty/Summon/NightmareYutyrannus_Character_BP_Summon.NightmareYutyrannus_Character_BP_Summon</t>
  </si>
  <si>
    <t>Nightmare Yutyrannus Tameable</t>
  </si>
  <si>
    <t>NightmareYutyrannus_Character_BP_Tameable_C</t>
  </si>
  <si>
    <t>/PrimalChaos/1Bosses/Bosstiers/4Nightmare/Yuty/Tameable/NightmareYutyrannus_Character_BP_Tameable.NightmareYutyrannus_Character_BP_Tameable</t>
  </si>
  <si>
    <t>Draconis BOSS</t>
  </si>
  <si>
    <t>Origin</t>
  </si>
  <si>
    <t>Draconis_Character_BP_C</t>
  </si>
  <si>
    <t>/PrimalChaos/1Bosses/Bosses/OriginBOSS/Draconis_Character_BP.Draconis_Character_BP</t>
  </si>
  <si>
    <t>Draconis Tameable</t>
  </si>
  <si>
    <t>Draconis_Character_BP_Tameable_C</t>
  </si>
  <si>
    <t>/PrimalChaos/1Bosses/Bosses/OriginBOSS/Tameable/Draconis_Character_BP_Tameable.Draconis_Character_BP_Tameable</t>
  </si>
  <si>
    <t>Origin Argent</t>
  </si>
  <si>
    <t>OriginArgent_Character_BP_C</t>
  </si>
  <si>
    <t>/PrimalChaos/1Bosses/Bosstiers/2Origins/Argent/OriginArgent_Character_BP.OriginArgent_Character_BP</t>
  </si>
  <si>
    <t>Origin Argent Summon</t>
  </si>
  <si>
    <t>OriginArgent_Character_BP_Summon_C</t>
  </si>
  <si>
    <t>/PrimalChaos/1Bosses/Bosstiers/2Origins/Argent/BossSummon/OriginArgent_Character_BP_Summon.OriginArgent_Character_BP_Summon</t>
  </si>
  <si>
    <t>Origin Argent Tameable</t>
  </si>
  <si>
    <t>OriginArgent_Character_BP_Tameable_C</t>
  </si>
  <si>
    <t>/PrimalChaos/1Bosses/Bosstiers/2Origins/Argent/Tameable/OriginArgent_Character_BP_Tameable.OriginArgent_Character_BP_Tameable</t>
  </si>
  <si>
    <t>Origin Carno</t>
  </si>
  <si>
    <t>OriginCarno_Character_BP_C</t>
  </si>
  <si>
    <t>/PrimalChaos/1Bosses/Bosstiers/2Origins/Carno/OriginCarno_Character_BP.OriginCarno_Character_BP</t>
  </si>
  <si>
    <t>Origin Carno Summon</t>
  </si>
  <si>
    <t>OriginCarno_Character_BP_Summon_C</t>
  </si>
  <si>
    <t>/PrimalChaos/1Bosses/Bosstiers/2Origins/Carno/BossSummon/OriginCarno_Character_BP_Summon.OriginCarno_Character_BP_Summon</t>
  </si>
  <si>
    <t>Origin Carno Tameable</t>
  </si>
  <si>
    <t>OriginCarno_Character_BP_Tameable_C</t>
  </si>
  <si>
    <t>/PrimalChaos/1Bosses/Bosstiers/2Origins/Carno/Tameable/OriginCarno_Character_BP_Tameable.OriginCarno_Character_BP_Tameable</t>
  </si>
  <si>
    <t>Origin Direbear</t>
  </si>
  <si>
    <t>OriginDirebear_Character_BP_C</t>
  </si>
  <si>
    <t>/PrimalChaos/1Bosses/Bosstiers/2Origins/DireBear/OriginDirebear_Character_BP.OriginDirebear_Character_BP</t>
  </si>
  <si>
    <t>Origin Direbear Summon</t>
  </si>
  <si>
    <t>OriginDirebear_Character_BP_Summon_C</t>
  </si>
  <si>
    <t>/PrimalChaos/1Bosses/Bosstiers/2Origins/DireBear/BossSummon/OriginDirebear_Character_BP_Summon.OriginDirebear_Character_BP_Summon</t>
  </si>
  <si>
    <t>Origin Direbear Tameable</t>
  </si>
  <si>
    <t>OriginDirebear_Character_BP_Tameable_C</t>
  </si>
  <si>
    <t>/PrimalChaos/1Bosses/Bosstiers/2Origins/DireBear/Tameable/OriginDirebear_Character_BP_Tameable.OriginDirebear_Character_BP_Tameable</t>
  </si>
  <si>
    <t>Origin Dodoreaper</t>
  </si>
  <si>
    <t>OriginDodoreaper_Character_BP_C</t>
  </si>
  <si>
    <t>/PrimalChaos/1Bosses/Bosstiers/2Origins/Dodoreaper/OriginDodoreaper_Character_BP.OriginDodoreaper_Character_BP</t>
  </si>
  <si>
    <t>Origin Dodoreaper Summon</t>
  </si>
  <si>
    <t>OriginDodoreaper_Character_BP_Summon_C</t>
  </si>
  <si>
    <t>/PrimalChaos/1Bosses/Bosstiers/2Origins/Dodoreaper/BossSummon/OriginDodoreaper_Character_BP_Summon.OriginDodoreaper_Character_BP_Summon</t>
  </si>
  <si>
    <t>Origin Dodoreaper Tameable</t>
  </si>
  <si>
    <t>OriginDodoreaper_Character_BP_Tameable_C</t>
  </si>
  <si>
    <t>/PrimalChaos/1Bosses/Bosstiers/2Origins/Dodoreaper/Tameable/OriginDodoreaper_Character_BP_Tameable.OriginDodoreaper_Character_BP_Tameable</t>
  </si>
  <si>
    <t>Origin Kairuku</t>
  </si>
  <si>
    <t>OriginKairuku_Character_BP_C</t>
  </si>
  <si>
    <t>/PrimalChaos/1Bosses/Bosstiers/2Origins/Kairuku/OriginKairuku_Character_BP.OriginKairuku_Character_BP</t>
  </si>
  <si>
    <t>Origin Kairuku Summon</t>
  </si>
  <si>
    <t>OriginKairuku_Character_BP_Summon_C</t>
  </si>
  <si>
    <t>/PrimalChaos/1Bosses/Bosstiers/2Origins/Kairuku/BossSummon/OriginKairuku_Character_BP_Summon.OriginKairuku_Character_BP_Summon</t>
  </si>
  <si>
    <t>Origin Kairuku Tameable</t>
  </si>
  <si>
    <t>OriginKairuku_Character_BP_Tameable_C</t>
  </si>
  <si>
    <t>/PrimalChaos/1Bosses/Bosstiers/2Origins/Kairuku/Tameable/OriginKairuku_Character_BP_Tameable.OriginKairuku_Character_BP_Tameable</t>
  </si>
  <si>
    <t>Origin Raptor</t>
  </si>
  <si>
    <t>OriginRaptor_Character_BP_C</t>
  </si>
  <si>
    <t>/PrimalChaos/1Bosses/Bosstiers/2Origins/Raptor/OriginRaptor_Character_BP.OriginRaptor_Character_BP</t>
  </si>
  <si>
    <t>Origin Raptor Summon</t>
  </si>
  <si>
    <t>OriginRaptor_Character_BP_Summon_C</t>
  </si>
  <si>
    <t>/PrimalChaos/1Bosses/Bosstiers/2Origins/Raptor/BossSummon/OriginRaptor_Character_BP_Summon.OriginRaptor_Character_BP_Summon</t>
  </si>
  <si>
    <t>Origin Raptor Tameable</t>
  </si>
  <si>
    <t>OriginRaptor_Character_BP_Tameable_C</t>
  </si>
  <si>
    <t>/PrimalChaos/1Bosses/Bosstiers/2Origins/Raptor/Tameable/OriginRaptor_Character_BP_Tameable.OriginRaptor_Character_BP_Tameable</t>
  </si>
  <si>
    <t>Origin Rex</t>
  </si>
  <si>
    <t>OriginRex_Character_BP_C</t>
  </si>
  <si>
    <t>/PrimalChaos/1Bosses/Bosstiers/2Origins/rex/OriginRex_Character_BP.OriginRex_Character_BP</t>
  </si>
  <si>
    <t>Origin Rex Summon</t>
  </si>
  <si>
    <t>OriginRex_Character_BP_Summon_C</t>
  </si>
  <si>
    <t>/PrimalChaos/1Bosses/Bosstiers/2Origins/rex/BossSummon/OriginRex_Character_BP_Summon.OriginRex_Character_BP_Summon</t>
  </si>
  <si>
    <t>Origin Rex Tameable</t>
  </si>
  <si>
    <t>OriginRex_Character_BP_Tameable_C</t>
  </si>
  <si>
    <t>/PrimalChaos/1Bosses/Bosstiers/2Origins/rex/Tameable/OriginRex_Character_BP_Tameable.OriginRex_Character_BP_Tameable</t>
  </si>
  <si>
    <t>Origin Spino</t>
  </si>
  <si>
    <t>OriginSpino_Character_BP_C</t>
  </si>
  <si>
    <t>/PrimalChaos/1Bosses/Bosstiers/2Origins/Spino/OriginSpino_Character_BP.OriginSpino_Character_BP</t>
  </si>
  <si>
    <t>Origin Spino Summon</t>
  </si>
  <si>
    <t>OriginSpino_Character_BP_Summon_C</t>
  </si>
  <si>
    <t>/PrimalChaos/1Bosses/Bosstiers/2Origins/Spino/BossSummon/OriginSpino_Character_BP_Summon.OriginSpino_Character_BP_Summon</t>
  </si>
  <si>
    <t>Origin Spino Tameable</t>
  </si>
  <si>
    <t>OriginSpino_Character_BP_Tameable_C</t>
  </si>
  <si>
    <t>/PrimalChaos/1Bosses/Bosstiers/2Origins/Spino/Tameable/OriginSpino_Character_BP_Tameable.OriginSpino_Character_BP_Tameable</t>
  </si>
  <si>
    <t>Origin Trike</t>
  </si>
  <si>
    <t>OriginTrike_Character_BP_C</t>
  </si>
  <si>
    <t>/PrimalChaos/1Bosses/Bosstiers/2Origins/Trike/OriginTrike_Character_BP.OriginTrike_Character_BP</t>
  </si>
  <si>
    <t>Origin Trike Summon</t>
  </si>
  <si>
    <t>OriginTrike_Character_BP_Summon_C</t>
  </si>
  <si>
    <t>/PrimalChaos/1Bosses/Bosstiers/2Origins/Trike/BossSummon/OriginTrike_Character_BP_Summon.OriginTrike_Character_BP_Summon</t>
  </si>
  <si>
    <t>Origin Trike Tameable</t>
  </si>
  <si>
    <t>OriginTrike_Character_BP_Tameable_C</t>
  </si>
  <si>
    <t>/PrimalChaos/1Bosses/Bosstiers/2Origins/Trike/Tameable/OriginTrike_Character_BP_Tameable.OriginTrike_Character_BP_Tameable</t>
  </si>
  <si>
    <t>Origin Wyvern</t>
  </si>
  <si>
    <t>OriginWyvern_Character_BP_C</t>
  </si>
  <si>
    <t>/PrimalChaos/1Bosses/Bosstiers/2Origins/Wyvern/OriginWyvern_Character_BP.OriginWyvern_Character_BP</t>
  </si>
  <si>
    <t>Origin Wyvern Summon</t>
  </si>
  <si>
    <t>OriginWyvern_Character_BP_Summon_C</t>
  </si>
  <si>
    <t>/PrimalChaos/1Bosses/Bosstiers/2Origins/Wyvern/BossSummon/OriginWyvern_Character_BP_Summon.OriginWyvern_Character_BP_Summon</t>
  </si>
  <si>
    <t>Origin Wyvern Tameable</t>
  </si>
  <si>
    <t>OriginWyvern_Character_BP_Tameable_C</t>
  </si>
  <si>
    <t>/PrimalChaos/1Bosses/Bosstiers/2Origins/Wyvern/Tameable/OriginWyvern_Character_BP_Tameable.OriginWyvern_Character_BP_Tameable</t>
  </si>
  <si>
    <t>Origin Yutyrannus</t>
  </si>
  <si>
    <t>OriginYutyrannus_Character_BP_C</t>
  </si>
  <si>
    <t>/PrimalChaos/1Bosses/Bosstiers/2Origins/yuty/OriginYutyrannus_Character_BP.OriginYutyrannus_Character_BP</t>
  </si>
  <si>
    <t>Origin Yutyrannus Summon</t>
  </si>
  <si>
    <t>OriginYutyrannus_Character_BP_Summon_C</t>
  </si>
  <si>
    <t>/PrimalChaos/1Bosses/Bosstiers/2Origins/yuty/BossSummon/OriginYutyrannus_Character_BP_Summon.OriginYutyrannus_Character_BP_Summon</t>
  </si>
  <si>
    <t>Origin Yutyrannus Tameable</t>
  </si>
  <si>
    <t>OriginYutyrannus_Character_BP_Tameable_C</t>
  </si>
  <si>
    <t>/PrimalChaos/1Bosses/Bosstiers/2Origins/yuty/Tameable/OriginYutyrannus_Character_BP_Tameable.OriginYutyrannus_Character_BP_Tameable</t>
  </si>
  <si>
    <t>Mr Artifact the Stronger</t>
  </si>
  <si>
    <t>Megatherium</t>
  </si>
  <si>
    <t>MrArtifact_Megatherium_Character_BP_C</t>
  </si>
  <si>
    <t>/PrimalChaos/1Bosses/Bosses/MRartifactTheStronger/Megatherium/MrArtifact_Megatherium_Character_BP.MrArtifact_Megatherium_Character_BP</t>
  </si>
  <si>
    <t>Mr Artifact The Original</t>
  </si>
  <si>
    <t>MrArtifactTheOriginal_Character_BP_C</t>
  </si>
  <si>
    <t>/PrimalChaos/1Bosses/Bosses/MrArtifactTheOriginal/MrArtifactTheOriginal_Character_BP.MrArtifactTheOriginal_Character_BP</t>
  </si>
  <si>
    <t>Primal Resurrected Carno</t>
  </si>
  <si>
    <t>Primal Res</t>
  </si>
  <si>
    <t>PrimalResurrected_Carno_Character_BP_C</t>
  </si>
  <si>
    <t>/PrimalChaos/1Dinos/6PrimalResurrected/Carno/PrimalResurrected_Carno_Character_BP.PrimalResurrected_Carno_Character_BP</t>
  </si>
  <si>
    <t>Primal Resurrected Gigant</t>
  </si>
  <si>
    <t>PrimalResurrected_Gigant_Character_BP_C</t>
  </si>
  <si>
    <t>/PrimalChaos/1Dinos/6PrimalResurrected/Giga/PrimalResurrected_Gigant_Character_BP.PrimalResurrected_Gigant_Character_BP</t>
  </si>
  <si>
    <t>Primal Resurrected Raptor</t>
  </si>
  <si>
    <t>PrimalResurrected_Raptor_Character_BP_C</t>
  </si>
  <si>
    <t>/PrimalChaos/1Dinos/6PrimalResurrected/Raptor/PrimalResurrected_Raptor_Character_BP.PrimalResurrected_Raptor_Character_BP</t>
  </si>
  <si>
    <t>Primal Resurrected Rex</t>
  </si>
  <si>
    <t>PrimalResurrected_Rex_Character_BP_C</t>
  </si>
  <si>
    <t>/PrimalChaos/1Dinos/6PrimalResurrected/Rex/PrimalResurrected_Rex_Character_BP.PrimalResurrected_Rex_Character_BP</t>
  </si>
  <si>
    <t>Primal Resurrected Sauropod</t>
  </si>
  <si>
    <t>PrimalResurrected_Sauropod_Character_BP_C</t>
  </si>
  <si>
    <t>/PrimalChaos/1Dinos/6PrimalResurrected/Bronto/PrimalResurrected_Sauropod_Character_BP.PrimalResurrected_Sauropod_Character_BP</t>
  </si>
  <si>
    <t>Primal Resurrected Stego</t>
  </si>
  <si>
    <t>PrimalResurrected_Stego_Character_BP_C</t>
  </si>
  <si>
    <t>/PrimalChaos/1Dinos/6PrimalResurrected/Stego/PrimalResurrected_Stego_Character_BP.PrimalResurrected_Stego_Character_BP</t>
  </si>
  <si>
    <t>Primal Resurrected Trike</t>
  </si>
  <si>
    <t>PrimalResurrected_Trike_Character_BP_C</t>
  </si>
  <si>
    <t>/PrimalChaos/1Dinos/6PrimalResurrected/Trike/PrimalResurrected_Trike_Character_BP.PrimalResurrected_Trike_Character_BP</t>
  </si>
  <si>
    <t>Primal Resurrected Wyvern</t>
  </si>
  <si>
    <t>PrimalResurrected_Wyvern_Character_BP_C</t>
  </si>
  <si>
    <t>/PrimalChaos/1Dinos/6PrimalResurrected/Wyvern/PrimalResurrected_Wyvern_Character_BP.PrimalResurrected_Wyvern_Character_BP</t>
  </si>
  <si>
    <t>Primal Allo</t>
  </si>
  <si>
    <t>Primal</t>
  </si>
  <si>
    <t>PrimalAllo_Character_BP_PC_C</t>
  </si>
  <si>
    <t>/PrimalChaos/1Bosses/Bosstiers/1Primal/Allo/PrimalAllo_Character_BP_PC.PrimalAllo_Character_BP_PC</t>
  </si>
  <si>
    <t>Primal Carno</t>
  </si>
  <si>
    <t>PrimalCarno_Character_BP_PC_C</t>
  </si>
  <si>
    <t>/PrimalChaos/1Bosses/Bosstiers/1Primal/Carno/PrimalCarno_Character_BP_PC.PrimalCarno_Character_BP_PC</t>
  </si>
  <si>
    <t>Primal Direbear</t>
  </si>
  <si>
    <t>PrimalDirebear_Character_BP_PC_C</t>
  </si>
  <si>
    <t>/PrimalChaos/1Bosses/Bosstiers/1Primal/Bear/PrimalDirebear_Character_BP_PC.PrimalDirebear_Character_BP_PC</t>
  </si>
  <si>
    <t>Primal Gigant</t>
  </si>
  <si>
    <t>PrimalGigant_Character_BP_PC_C</t>
  </si>
  <si>
    <t>/PrimalChaos/1Bosses/Bosstiers/1Primal/Giga/PrimalGigant_Character_BP_PC.PrimalGigant_Character_BP_PC</t>
  </si>
  <si>
    <t>Primal Kentro</t>
  </si>
  <si>
    <t>PrimalKentro_Character_BP_PC_C</t>
  </si>
  <si>
    <t>/PrimalChaos/1Bosses/Bosstiers/1Primal/Kentro/PrimalKentro_Character_BP_PC.PrimalKentro_Character_BP_PC</t>
  </si>
  <si>
    <t>Primal Megalodon</t>
  </si>
  <si>
    <t>PrimalMegalodon_Character_BP_PC_C</t>
  </si>
  <si>
    <t>/PrimalChaos/1Bosses/Bosstiers/1Primal/Megalodon/PrimalMegalodon_Character_BP_PC.PrimalMegalodon_Character_BP_PC</t>
  </si>
  <si>
    <t>Primal Mosa</t>
  </si>
  <si>
    <t>PrimalMosa_Character_BP_PC_C</t>
  </si>
  <si>
    <t>/PrimalChaos/1Bosses/Bosstiers/1Primal/Mosa/PrimalMosa_Character_BP_PC.PrimalMosa_Character_BP_PC</t>
  </si>
  <si>
    <t>Primal Plesiosaur</t>
  </si>
  <si>
    <t>PrimalPlesiosaur_Character_BP_PC_C</t>
  </si>
  <si>
    <t>/PrimalChaos/1Bosses/Bosstiers/1Primal/Plesio/PrimalPlesiosaur_Character_BP_PC.PrimalPlesiosaur_Character_BP_PC</t>
  </si>
  <si>
    <t>Primal Raptor</t>
  </si>
  <si>
    <t>PrimalRaptor_Character_BP_PC_C</t>
  </si>
  <si>
    <t>/PrimalChaos/1Bosses/Bosstiers/1Primal/Raptor/PrimalRaptor_Character_BP_PC.PrimalRaptor_Character_BP_PC</t>
  </si>
  <si>
    <t>Primal Rock Drake</t>
  </si>
  <si>
    <t>PrimalRockDrake_Character_BP_PC_C</t>
  </si>
  <si>
    <t>/PrimalChaos/1Bosses/Bosstiers/1Primal/Rockdrake/PrimalRockDrake_Character_BP_PC.PrimalRockDrake_Character_BP_PC</t>
  </si>
  <si>
    <t>Primal Tek Giga</t>
  </si>
  <si>
    <t>Primal Tek</t>
  </si>
  <si>
    <t>BionicGigant_Character_BP_Primal_C</t>
  </si>
  <si>
    <t>/PrimalChaos/1Bosses/Bosstiers/0PrimalTek/Giga/BionicGigant_Character_BP_Primal.BionicGigant_Character_BP_Primal</t>
  </si>
  <si>
    <t>Primal Tek Parasaur</t>
  </si>
  <si>
    <t>BionicPara_Character_BP_Primal_C</t>
  </si>
  <si>
    <t>/PrimalChaos/1Bosses/Bosstiers/0PrimalTek/Parasaur/BionicPara_Character_BP_Primal.BionicPara_Character_BP_Primal</t>
  </si>
  <si>
    <t>Primal Tek Quetzal</t>
  </si>
  <si>
    <t>BionicQuetz_Character_BP_Primal_C</t>
  </si>
  <si>
    <t>/PrimalChaos/1Bosses/Bosstiers/0PrimalTek/Quetz/BionicQuetz_Character_BP_Primal.BionicQuetz_Character_BP_Primal</t>
  </si>
  <si>
    <t>Primal Tek Raptor</t>
  </si>
  <si>
    <t>BionicRaptor_Character_BP_Primal_C</t>
  </si>
  <si>
    <t>/PrimalChaos/1Bosses/Bosstiers/0PrimalTek/Raptor/BionicRaptor_Character_BP_Primal.BionicRaptor_Character_BP_Primal</t>
  </si>
  <si>
    <t>Primal Tek Rex</t>
  </si>
  <si>
    <t>BionicRex_Character_BP_Primal_C</t>
  </si>
  <si>
    <t>/PrimalChaos/1Bosses/Bosstiers/0PrimalTek/Rex/BionicRex_Character_BP_Primal.BionicRex_Character_BP_Primal</t>
  </si>
  <si>
    <t>Primal Tek Stego</t>
  </si>
  <si>
    <t>BionicStego_Character_BP_Primal_C</t>
  </si>
  <si>
    <t>/PrimalChaos/1Bosses/Bosstiers/0PrimalTek/Stego/BionicStego_Character_BP_Primal.BionicStego_Character_BP_Primal</t>
  </si>
  <si>
    <t>Primal Tek Trike</t>
  </si>
  <si>
    <t>BionicTrike_Character_BP_Primal_C</t>
  </si>
  <si>
    <t>/PrimalChaos/1Bosses/Bosstiers/0PrimalTek/Trike/BionicTrike_Character_BP_Primal.BionicTrike_Character_BP_Primal</t>
  </si>
  <si>
    <t>Random</t>
  </si>
  <si>
    <t>Loot Boss Ramshackle</t>
  </si>
  <si>
    <t>Loot Boss</t>
  </si>
  <si>
    <t>LootBoss_Character_BP_Ramshackle_C</t>
  </si>
  <si>
    <t>/PrimalChaos/1Bosses/Lootboss/1Ramshackle/LootBoss_Character_BP_Ramshackle.LootBoss_Character_BP_Ramshackle</t>
  </si>
  <si>
    <t>Loot Boss Apprentice</t>
  </si>
  <si>
    <t>LootBoss_Character_BP_Apprentice_C</t>
  </si>
  <si>
    <t>/PrimalChaos/1Bosses/Lootboss/2Apprentice/LootBoss_Character_BP_Apprentice.LootBoss_Character_BP_Apprentice</t>
  </si>
  <si>
    <t>Loot Boss Journeyman</t>
  </si>
  <si>
    <t>LootBoss_Character_BP_Journeyman_C</t>
  </si>
  <si>
    <t>/PrimalChaos/1Bosses/Lootboss/3Journeyman/LootBoss_Character_BP_Journeyman.LootBoss_Character_BP_Journeyman</t>
  </si>
  <si>
    <t>Loot Boss Mastercraft</t>
  </si>
  <si>
    <t>LootBoss_Character_BP_Mastercraft_C</t>
  </si>
  <si>
    <t>/PrimalChaos/1Bosses/Lootboss/4Mastercraft/LootBoss_Character_BP_Mastercraft.LootBoss_Character_BP_Mastercraft</t>
  </si>
  <si>
    <t>Loot Boss Ascendant</t>
  </si>
  <si>
    <t>LootBoss_Character_BP_Ascendant_C</t>
  </si>
  <si>
    <t>/PrimalChaos/1Bosses/Lootboss/5Ascendant/LootBoss_Character_BP_Ascendant.LootBoss_Character_BP_Ascendant</t>
  </si>
  <si>
    <t>Loot Boss Origin</t>
  </si>
  <si>
    <t>LootBoss_Character_BP_Origin_C</t>
  </si>
  <si>
    <t>/PrimalChaos/1Bosses/Lootboss/6Origin/LootBoss_Character_BP_Origin.LootBoss_Character_BP_Origin</t>
  </si>
  <si>
    <t>Loot Boss Nightmare</t>
  </si>
  <si>
    <t>LootBoss_Character_BP_Nightmare_C</t>
  </si>
  <si>
    <t>/PrimalChaos/1Bosses/Lootboss/7Nightmare/LootBoss_Character_BP_Nightmare.LootBoss_Character_BP_Nightmare</t>
  </si>
  <si>
    <t>Nuka Dodo</t>
  </si>
  <si>
    <t>NukaDodo_Character_BP_C</t>
  </si>
  <si>
    <t>/PrimalChaos/1Dinos/0Special/NukaDodo/NukaDodo_Character_BP.NukaDodo_Character_BP</t>
  </si>
  <si>
    <t>Blood/Narcotics</t>
  </si>
  <si>
    <t>Item Order</t>
  </si>
  <si>
    <t>Item Type</t>
  </si>
  <si>
    <t>Engram Name</t>
  </si>
  <si>
    <t>Class</t>
  </si>
  <si>
    <t>Spawn (Amount, Quality, Force Blueprint)</t>
  </si>
  <si>
    <t>Unlock String</t>
  </si>
  <si>
    <t>Disable Item - Add to Game.ini - If you remove items you could ruin mod progression</t>
  </si>
  <si>
    <t>Blood Alpha</t>
  </si>
  <si>
    <t>PrimalItemConsumable_Blood_Alpha_C</t>
  </si>
  <si>
    <t>/PrimalChaos/3Items/Bloods/2Alpha/PrimalItemConsumable_Blood_Alpha.PrimalItemConsumable_Blood_Alpha</t>
  </si>
  <si>
    <t>Blood Demonic</t>
  </si>
  <si>
    <t>PrimalItemConsumable_Blood_Demonic_C</t>
  </si>
  <si>
    <t>/PrimalChaos/3Items/Bloods/6Demonic/PrimalItemConsumable_Blood_Demonic.PrimalItemConsumable_Blood_Demonic</t>
  </si>
  <si>
    <t>Blood Electric</t>
  </si>
  <si>
    <t>PrimalItemConsumable_Blood_Electric_C</t>
  </si>
  <si>
    <t>/PrimalChaos/3Items/Bloods/3Element/Electric/PrimalItemConsumable_Blood_Electric.PrimalItemConsumable_Blood_Electric</t>
  </si>
  <si>
    <t>Blood Element</t>
  </si>
  <si>
    <t>PrimalItemConsumable_Blood_Element_C</t>
  </si>
  <si>
    <t>/PrimalChaos/3Items/Bloods/3Element/Volcanic/PrimalItemConsumable_Blood_Element.PrimalItemConsumable_Blood_Element</t>
  </si>
  <si>
    <t>Blood Fabled</t>
  </si>
  <si>
    <t>PrimalItemConsumable_Blood_Fabled_C</t>
  </si>
  <si>
    <t>/PrimalChaos/3Items/Bloods/5MythicAndLegendary/Fabled/PrimalItemConsumable_Blood_Fabled.PrimalItemConsumable_Blood_Fabled</t>
  </si>
  <si>
    <t>Blood Hydro</t>
  </si>
  <si>
    <t>PrimalItemConsumable_Blood_Hydro_C</t>
  </si>
  <si>
    <t>/PrimalChaos/3Items/Bloods/3Element/Hydro/PrimalItemConsumable_Blood_Hydro.PrimalItemConsumable_Blood_Hydro</t>
  </si>
  <si>
    <t>Blood Legendary</t>
  </si>
  <si>
    <t>PrimalItemConsumable_Blood_Legendary_C</t>
  </si>
  <si>
    <t>/PrimalChaos/3Items/Bloods/5MythicAndLegendary/Legendary/PrimalItemConsumable_Blood_Legendary.PrimalItemConsumable_Blood_Legendary</t>
  </si>
  <si>
    <t>Blood Mythic</t>
  </si>
  <si>
    <t>PrimalItemConsumable_Blood_Mythic_C</t>
  </si>
  <si>
    <t>/PrimalChaos/3Items/Bloods/5MythicAndLegendary/Mythic/PrimalItemConsumable_Blood_Mythic.PrimalItemConsumable_Blood_Mythic</t>
  </si>
  <si>
    <t>Blood Omega</t>
  </si>
  <si>
    <t>PrimalItemConsumable_Blood_Omega_C</t>
  </si>
  <si>
    <t>/PrimalChaos/3Items/Bloods/5MythicAndLegendary/Omega/PrimalItemConsumable_Blood_Omega.PrimalItemConsumable_Blood_Omega</t>
  </si>
  <si>
    <t>Blood Origin</t>
  </si>
  <si>
    <t>PrimalItemConsumable_Blood_Origin_C</t>
  </si>
  <si>
    <t>/PrimalChaos/3Items/Bloods/Origin/PrimalItemConsumable_Blood_Origin.PrimalItemConsumable_Blood_Origin</t>
  </si>
  <si>
    <t>Blood Primal</t>
  </si>
  <si>
    <t>PrimalItemConsumable_Blood_Primal_C</t>
  </si>
  <si>
    <t>/PrimalChaos/3Items/Bloods/Primal/PrimalItemConsumable_Blood_Primal.PrimalItemConsumable_Blood_Primal</t>
  </si>
  <si>
    <t>Blood Shadow</t>
  </si>
  <si>
    <t>PrimalItemConsumable_Blood_Shadow_C</t>
  </si>
  <si>
    <t>/PrimalChaos/3Items/Bloods/4Shadow/PrimalItemConsumable_Blood_Shadow.PrimalItemConsumable_Blood_Shadow</t>
  </si>
  <si>
    <t>Blood Toxic</t>
  </si>
  <si>
    <t>PrimalItemConsumable_Blood_Toxic_C</t>
  </si>
  <si>
    <t>/PrimalChaos/3Items/Bloods/1Toxic/PrimalItemConsumable_Blood_Toxic.PrimalItemConsumable_Blood_Toxic</t>
  </si>
  <si>
    <t>Narcotic Alpha</t>
  </si>
  <si>
    <t>PrimalItemConsumable_Narcotic_Alpha_C</t>
  </si>
  <si>
    <t>/PrimalChaos/3Items/Narcotics/2Alpha/PrimalItemConsumable_Narcotic_Alpha.PrimalItemConsumable_Narcotic_Alpha</t>
  </si>
  <si>
    <t>Narcotic Element</t>
  </si>
  <si>
    <t>PrimalItemConsumable_Narcotic_Element_C</t>
  </si>
  <si>
    <t>/PrimalChaos/3Items/Narcotics/3Element/PrimalItemConsumable_Narcotic_Element.PrimalItemConsumable_Narcotic_Element</t>
  </si>
  <si>
    <t>Narcotic Mythic</t>
  </si>
  <si>
    <t>PrimalItemConsumable_Narcotic_Mythic_C</t>
  </si>
  <si>
    <t>/PrimalChaos/3Items/Narcotics/5Mythic/PrimalItemConsumable_Narcotic_Mythic.PrimalItemConsumable_Narcotic_Mythic</t>
  </si>
  <si>
    <t>Narcotic Toxic</t>
  </si>
  <si>
    <t>PrimalItemConsumable_Narcotic_Toxic_C</t>
  </si>
  <si>
    <t>/PrimalChaos/3Items/Narcotics/1Toxic/PrimalItemConsumable_Narcotic_Toxic.PrimalItemConsumable_Narcotic_Toxic</t>
  </si>
  <si>
    <t>PrimalItemConsumable</t>
  </si>
  <si>
    <t>Primal Bonemeal</t>
  </si>
  <si>
    <t>PrimalItemConsumable_PrimalBonemeal_C</t>
  </si>
  <si>
    <t>/PrimalChaos/3Items/Bones/Bonemeal/PrimalItemConsumable_PrimalBonemeal.PrimalItemConsumable_PrimalBonemeal</t>
  </si>
  <si>
    <t>Fruit/Seeds</t>
  </si>
  <si>
    <t>Seed Electric</t>
  </si>
  <si>
    <t>PrimalItemConsumable_Seed_Electric_C</t>
  </si>
  <si>
    <t>/PrimalChaos/3Items/Seeds/Electric/PrimalItemConsumable_Seed_Electric.PrimalItemConsumable_Seed_Electric</t>
  </si>
  <si>
    <t>Seed Hydro</t>
  </si>
  <si>
    <t>PrimalItemConsumable_Seed_Hydro_C</t>
  </si>
  <si>
    <t>/PrimalChaos/3Items/Seeds/Hydro/PrimalItemConsumable_Seed_Hydro.PrimalItemConsumable_Seed_Hydro</t>
  </si>
  <si>
    <t>Seed Volcanic</t>
  </si>
  <si>
    <t>PrimalItemConsumable_Seed_Volcanic_C</t>
  </si>
  <si>
    <t>/PrimalChaos/3Items/Seeds/Volcanic/PrimalItemConsumable_Seed_Volcanic.PrimalItemConsumable_Seed_Volcanic</t>
  </si>
  <si>
    <t>Fruit Electric</t>
  </si>
  <si>
    <t>PrimalItemConsumable_Fruit_Electric_C</t>
  </si>
  <si>
    <t>/PrimalChaos/3Items/Seeds/Electric/PrimalItemConsumable_Fruit_Electric.PrimalItemConsumable_Fruit_Electric</t>
  </si>
  <si>
    <t>Fruit Hydro</t>
  </si>
  <si>
    <t>PrimalItemConsumable_Fruit_Hydro_C</t>
  </si>
  <si>
    <t>/PrimalChaos/3Items/Seeds/Hydro/PrimalItemConsumable_Fruit_Hydro.PrimalItemConsumable_Fruit_Hydro</t>
  </si>
  <si>
    <t>Fruit Volcanic</t>
  </si>
  <si>
    <t>PrimalItemConsumable_Fruit_Volcanic_C</t>
  </si>
  <si>
    <t>/PrimalChaos/3Items/Seeds/Volcanic/PrimalItemConsumable_Fruit_Volcanic.PrimalItemConsumable_Fruit_Volcanic</t>
  </si>
  <si>
    <t>Unfert Eggs</t>
  </si>
  <si>
    <t>PrimalItemConsumable_Egg_Unfertilized</t>
  </si>
  <si>
    <t>Egg Alpha</t>
  </si>
  <si>
    <t>PrimalItemConsumable_Egg_Alpha_C</t>
  </si>
  <si>
    <t>/PrimalChaos/3Items/eggs/2Alpha/PrimalItemConsumable_Egg_Alpha.PrimalItemConsumable_Egg_Alpha</t>
  </si>
  <si>
    <t>Egg Angelic</t>
  </si>
  <si>
    <t>PrimalItemConsumable_Egg_Angelic_C</t>
  </si>
  <si>
    <t>/PrimalChaos/3Items/eggs/6DemonicAndAngelic/Angelic/PrimalItemConsumable_Egg_Angelic.PrimalItemConsumable_Egg_Angelic</t>
  </si>
  <si>
    <t>Egg Demonic</t>
  </si>
  <si>
    <t>PrimalItemConsumable_Egg_Demonic_C</t>
  </si>
  <si>
    <t>/PrimalChaos/3Items/eggs/6Demonic/PrimalItemConsumable_Egg_Demonic.PrimalItemConsumable_Egg_Demonic</t>
  </si>
  <si>
    <t>Egg Electric</t>
  </si>
  <si>
    <t>PrimalItemConsumable_Egg_Electric_C</t>
  </si>
  <si>
    <t>/PrimalChaos/3Items/eggs/3Element/Electric/PrimalItemConsumable_Egg_Electric.PrimalItemConsumable_Egg_Electric</t>
  </si>
  <si>
    <t>Egg Fabled</t>
  </si>
  <si>
    <t>PrimalItemConsumable_Egg_Fabled_C</t>
  </si>
  <si>
    <t>/PrimalChaos/3Items/eggs/5Mythic_Legendary_Omega_Fabled/Fabled/PrimalItemConsumable_Egg_Fabled.PrimalItemConsumable_Egg_Fabled</t>
  </si>
  <si>
    <t>Egg Fairy</t>
  </si>
  <si>
    <t>PrimalItemConsumable_Egg_Fairy_C</t>
  </si>
  <si>
    <t>/PrimalChaos/3Items/eggs/4Shadow/Fairy/PrimalItemConsumable_Egg_Fairy.PrimalItemConsumable_Egg_Fairy</t>
  </si>
  <si>
    <t>Egg Hydro</t>
  </si>
  <si>
    <t>PrimalItemConsumable_Egg_Hydro_C</t>
  </si>
  <si>
    <t>/PrimalChaos/3Items/eggs/3Element/Hydro/PrimalItemConsumable_Egg_Hydro.PrimalItemConsumable_Egg_Hydro</t>
  </si>
  <si>
    <t>Egg Legendary</t>
  </si>
  <si>
    <t>PrimalItemConsumable_Egg_Legendary_C</t>
  </si>
  <si>
    <t>/PrimalChaos/3Items/eggs/5MythicAndLegendary/Legendary/PrimalItemConsumable_Egg_Legendary.PrimalItemConsumable_Egg_Legendary</t>
  </si>
  <si>
    <t>Egg Mythic</t>
  </si>
  <si>
    <t>PrimalItemConsumable_Egg_Mythic_C</t>
  </si>
  <si>
    <t>/PrimalChaos/3Items/eggs/5MythicAndLegendary/Mythic/PrimalItemConsumable_Egg_Mythic.PrimalItemConsumable_Egg_Mythic</t>
  </si>
  <si>
    <t>Egg Omega</t>
  </si>
  <si>
    <t>PrimalItemConsumable_Egg_Omega_C</t>
  </si>
  <si>
    <t>/PrimalChaos/3Items/eggs/5Mythic_Legendary_Omega_Fabled/Omega/PrimalItemConsumable_Egg_Omega.PrimalItemConsumable_Egg_Omega</t>
  </si>
  <si>
    <t>Egg Shadow</t>
  </si>
  <si>
    <t>PrimalItemConsumable_Egg_Shadow_C</t>
  </si>
  <si>
    <t>/PrimalChaos/3Items/eggs/4Shadow/Shadow/PrimalItemConsumable_Egg_Shadow.PrimalItemConsumable_Egg_Shadow</t>
  </si>
  <si>
    <t>Egg Toxic</t>
  </si>
  <si>
    <t>PrimalItemConsumable_Egg_Toxic_C</t>
  </si>
  <si>
    <t>/PrimalChaos/3Items/eggs/1Toxic/PrimalItemConsumable_Egg_Toxic.PrimalItemConsumable_Egg_Toxic</t>
  </si>
  <si>
    <t>Egg Volcanic</t>
  </si>
  <si>
    <t>PrimalItemConsumable_Egg_Volcanic_C</t>
  </si>
  <si>
    <t>/PrimalChaos/3Items/eggs/3Element/Volcanic/PrimalItemConsumable_Egg_Volcanic.PrimalItemConsumable_Egg_Volcanic</t>
  </si>
  <si>
    <t>Kibble</t>
  </si>
  <si>
    <t>Kibble Alpha</t>
  </si>
  <si>
    <t>PrimalItemConsumable_Kibble_Alpha_C</t>
  </si>
  <si>
    <t>/PrimalChaos/3Items/Kibbles/2Alpha/PrimalItemConsumable_Kibble_Alpha.PrimalItemConsumable_Kibble_Alpha</t>
  </si>
  <si>
    <t>Kibble Angelic</t>
  </si>
  <si>
    <t>PrimalItemConsumable_Kibble_Angelic_C</t>
  </si>
  <si>
    <t>/PrimalChaos/3Items/Kibbles/6DemonicAndAngelic/Angelic/PrimalItemConsumable_Kibble_Angelic.PrimalItemConsumable_Kibble_Angelic</t>
  </si>
  <si>
    <t>Kibble Chaos</t>
  </si>
  <si>
    <t>PrimalItemConsumable_Kibble_Chaos_C</t>
  </si>
  <si>
    <t>/PrimalChaos/3Items/Kibbles/7SpiritAndChaos/Chaos/PrimalItemConsumable_Kibble_Chaos.PrimalItemConsumable_Kibble_Chaos</t>
  </si>
  <si>
    <t>Kibble Demonic</t>
  </si>
  <si>
    <t>PrimalItemConsumable_Kibble_Demonic_C</t>
  </si>
  <si>
    <t>/PrimalChaos/3Items/Kibbles/6DemonicAndAngelic/Demonic/PrimalItemConsumable_Kibble_Demonic.PrimalItemConsumable_Kibble_Demonic</t>
  </si>
  <si>
    <t>Kibble Elemental</t>
  </si>
  <si>
    <t>PrimalItemConsumable_Kibble_Elemental_C</t>
  </si>
  <si>
    <t>/PrimalChaos/3Items/Kibbles/3Element/PrimalItemConsumable_Kibble_Elemental.PrimalItemConsumable_Kibble_Elemental</t>
  </si>
  <si>
    <t>Kibble Fabled</t>
  </si>
  <si>
    <t>PrimalItemConsumable_Kibble_Fabled_C</t>
  </si>
  <si>
    <t>/PrimalChaos/3Items/Kibbles/5MythicAndLegendary/Fabled/PrimalItemConsumable_Kibble_Fabled.PrimalItemConsumable_Kibble_Fabled</t>
  </si>
  <si>
    <t>Kibble Fairy</t>
  </si>
  <si>
    <t>PrimalItemConsumable_Kibble_Fairy_C</t>
  </si>
  <si>
    <t>/PrimalChaos/3Items/Kibbles/4ShadowAndFairy/Fairy/PrimalItemConsumable_Kibble_Fairy.PrimalItemConsumable_Kibble_Fairy</t>
  </si>
  <si>
    <t>Kibble Legendary</t>
  </si>
  <si>
    <t>PrimalItemConsumable_Kibble_Legendary_C</t>
  </si>
  <si>
    <t>/PrimalChaos/3Items/Kibbles/5MythicAndLegendary/Legendary/PrimalItemConsumable_Kibble_Legendary.PrimalItemConsumable_Kibble_Legendary</t>
  </si>
  <si>
    <t>Kibble Mythic</t>
  </si>
  <si>
    <t>PrimalItemConsumable_Kibble_Mythic_C</t>
  </si>
  <si>
    <t>/PrimalChaos/3Items/Kibbles/5MythicAndLegendary/Mythic/PrimalItemConsumable_Kibble_Mythic.PrimalItemConsumable_Kibble_Mythic</t>
  </si>
  <si>
    <t>Kibble Omega</t>
  </si>
  <si>
    <t>PrimalItemConsumable_Kibble_Omega_C</t>
  </si>
  <si>
    <t>/PrimalChaos/3Items/Kibbles/5MythicAndLegendary/Omega/PrimalItemConsumable_Kibble_Omega.PrimalItemConsumable_Kibble_Omega</t>
  </si>
  <si>
    <t>Kibble Shadow</t>
  </si>
  <si>
    <t>PrimalItemConsumable_Kibble_Shadow_C</t>
  </si>
  <si>
    <t>/PrimalChaos/3Items/Kibbles/4ShadowAndFairy/Shadow/PrimalItemConsumable_Kibble_Shadow.PrimalItemConsumable_Kibble_Shadow</t>
  </si>
  <si>
    <t>Kibble Spirit</t>
  </si>
  <si>
    <t>PrimalItemConsumable_Kibble_Spirit_C</t>
  </si>
  <si>
    <t>/PrimalChaos/3Items/Kibbles/7SpiritAndChaos/Spirit/PrimalItemConsumable_Kibble_Spirit.PrimalItemConsumable_Kibble_Spirit</t>
  </si>
  <si>
    <t>Kibble Toxic</t>
  </si>
  <si>
    <t>PrimalItemConsumable_Kibble_Toxic_C</t>
  </si>
  <si>
    <t>/PrimalChaos/3Items/Kibbles/1Toxic/PrimalItemConsumable_Kibble_Toxic.PrimalItemConsumable_Kibble_Toxic</t>
  </si>
  <si>
    <t>Potions/Paste/Misc</t>
  </si>
  <si>
    <t>Origin Artifact</t>
  </si>
  <si>
    <t>PrimalItemConsumable_OriginArtifact_C</t>
  </si>
  <si>
    <t>/PrimalChaos/Content/3Items/OriginArtifact/PrimalItemConsumable_OriginArtifact</t>
  </si>
  <si>
    <t>PrimalItemConsumable_Potion</t>
  </si>
  <si>
    <t>Alpha Health Potion</t>
  </si>
  <si>
    <t>PrimalItemConsumable_AlphaHealthPotion_C</t>
  </si>
  <si>
    <t>/PrimalChaos/3Items/Healing/2Alpha/PrimalItemConsumable_AlphaHealthPotion.PrimalItemConsumable_AlphaHealthPotion</t>
  </si>
  <si>
    <t>Toxic Health Potion</t>
  </si>
  <si>
    <t>PrimalItemConsumable_ToxicHealthPotion_C</t>
  </si>
  <si>
    <t>/PrimalChaos/3Items/Healing/1Toxic/PrimalItemConsumable_ToxicHealthPotion.PrimalItemConsumable_ToxicHealthPotion</t>
  </si>
  <si>
    <t>Mythic Health Potion</t>
  </si>
  <si>
    <t>PrimalItemConsumable_MythicHealthPotion_C</t>
  </si>
  <si>
    <t>/PrimalChaos/3Items/Healing/3Mythic/PrimalItemConsumable_MythicHealthPotion.PrimalItemConsumable_MythicHealthPotion</t>
  </si>
  <si>
    <t>Nightmare Health Potion</t>
  </si>
  <si>
    <t>PrimalItemConsumable_NightmareHealthPotion_C</t>
  </si>
  <si>
    <t>/PrimalChaos/3Items/Healing/Nightmare/PrimalItemConsumable_NightmareHealthPotion.PrimalItemConsumable_NightmareHealthPotion</t>
  </si>
  <si>
    <t>PrimalItemConsumable_XP</t>
  </si>
  <si>
    <t>Max X P</t>
  </si>
  <si>
    <t>PrimalItemConsumable_MaxXP_C</t>
  </si>
  <si>
    <t>/PrimalChaos/3Items/XpPotions/PrimalItemConsumable_MaxXP.PrimalItemConsumable_MaxXP</t>
  </si>
  <si>
    <t>X P Large</t>
  </si>
  <si>
    <t>PrimalItemConsumable_XPLarge_C</t>
  </si>
  <si>
    <t>/PrimalChaos/3Items/XpPotions/PrimalItemConsumable_XPLarge.PrimalItemConsumable_XPLarge</t>
  </si>
  <si>
    <t>X P Medium</t>
  </si>
  <si>
    <t>PrimalItemConsumable_XPMedium_C</t>
  </si>
  <si>
    <t>/PrimalChaos/3Items/XpPotions/PrimalItemConsumable_XPMedium.PrimalItemConsumable_XPMedium</t>
  </si>
  <si>
    <t>X P Small</t>
  </si>
  <si>
    <t>PrimalItemConsumable_XPSmall_C</t>
  </si>
  <si>
    <t>/PrimalChaos/3Items/XpPotions/PrimalItemConsumable_XPSmall.PrimalItemConsumable_XPSmall</t>
  </si>
  <si>
    <t>Food X100</t>
  </si>
  <si>
    <t>PrimalItemConsumable_Food_X100_C</t>
  </si>
  <si>
    <t>/PrimalChaos/3Items/TamingPaste/x100/PrimalItemConsumable_Food_X100.PrimalItemConsumable_Food_X100</t>
  </si>
  <si>
    <t>Food X250</t>
  </si>
  <si>
    <t>PrimalItemConsumable_Food_X250_C</t>
  </si>
  <si>
    <t>/PrimalChaos/3Items/TamingPaste/x250/PrimalItemConsumable_Food_X250.PrimalItemConsumable_Food_X250</t>
  </si>
  <si>
    <t>Food X50</t>
  </si>
  <si>
    <t>PrimalItemConsumable_Food_X50_C</t>
  </si>
  <si>
    <t>/PrimalChaos/3Items/TamingPaste/x50/PrimalItemConsumable_Food_X50.PrimalItemConsumable_Food_X50</t>
  </si>
  <si>
    <t>PrimalItemConsumable_Food</t>
  </si>
  <si>
    <t>Stamina Paste</t>
  </si>
  <si>
    <t>PrimalItemConsumable_StaminaPaste_C</t>
  </si>
  <si>
    <t>/PrimalChaos/3Items/StaminaPaste/PrimalItemConsumable_StaminaPaste.PrimalItemConsumable_StaminaPaste</t>
  </si>
  <si>
    <t>Resources</t>
  </si>
  <si>
    <t>Electronics Demonic</t>
  </si>
  <si>
    <t>PrimalItemResource_Electronics_Demonic_C</t>
  </si>
  <si>
    <t>/PrimalChaos/6Tranqs/Rockets/Launcher/Nightmare_Electronics/PrimalItemResource_Electronics_Demonic.PrimalItemResource_Electronics_Demonic</t>
  </si>
  <si>
    <t>Polymer Demonic</t>
  </si>
  <si>
    <t>PrimalItemResource_Polymer_Demonic_C</t>
  </si>
  <si>
    <t>/PrimalChaos/6Tranqs/Rockets/Launcher/Nightmare_Polymors/PrimalItemResource_Polymer_Demonic.PrimalItemResource_Polymer_Demonic</t>
  </si>
  <si>
    <t>Primal Bones</t>
  </si>
  <si>
    <t>PrimalItemResource_Bones_Primals_C</t>
  </si>
  <si>
    <t>/PrimalChaos/3Items/Bones/Bones/PrimalItemResource_Bones_Primals.PrimalItemResource_Bones_Primals</t>
  </si>
  <si>
    <t>Hide Alpha</t>
  </si>
  <si>
    <t>PrimalItemResource_Hide_Alpha_C</t>
  </si>
  <si>
    <t>/PrimalChaos/3Items/Hides/2Alpha/PrimalItemResource_Hide_Alpha.PrimalItemResource_Hide_Alpha</t>
  </si>
  <si>
    <t>Hide Toxic</t>
  </si>
  <si>
    <t>PrimalItemResource_Hide_Toxic_C</t>
  </si>
  <si>
    <t>/PrimalChaos/3Items/Hides/1Beta/PrimalItemResource_Hide_Beta.PrimalItemResource_Hide_Beta</t>
  </si>
  <si>
    <t>Hide Angelic</t>
  </si>
  <si>
    <t>PrimalItemResource_Hide_Angelic_C</t>
  </si>
  <si>
    <t>Hide Demonic</t>
  </si>
  <si>
    <t>PrimalItemResource_Hide_Demonic_C</t>
  </si>
  <si>
    <t>/PrimalChaos/3Items/Hides/6Demonic/PrimalItemResource_Hide_Demonic.PrimalItemResource_Hide_Demonic</t>
  </si>
  <si>
    <t>Hide Electric</t>
  </si>
  <si>
    <t>PrimalItemResource_Hide_Electric_C</t>
  </si>
  <si>
    <t>/PrimalChaos/3Items/Hides/3Element/Electric/PrimalItemResource_Hide_Electric.PrimalItemResource_Hide_Electric</t>
  </si>
  <si>
    <t>Hide Fabled</t>
  </si>
  <si>
    <t>PrimalItemResource_Hide_Fabled_C</t>
  </si>
  <si>
    <t>/PrimalChaos/3Items/Hides/5MythicAndLegendary/Fabled/PrimalItemResource_Hide_Fabled.PrimalItemResource_Hide_Fabled</t>
  </si>
  <si>
    <t>Hide Fairy</t>
  </si>
  <si>
    <t>PrimalItemResource_Hide_Fairy_C</t>
  </si>
  <si>
    <t>/PrimalChaos/3Items/Hides/4ADVElement/Fairy/PrimalItemResource_Hide_Fairy.PrimalItemResource_Hide_Fairy</t>
  </si>
  <si>
    <t>Hide Hydro</t>
  </si>
  <si>
    <t>PrimalItemResource_Hide_Hydro_C</t>
  </si>
  <si>
    <t>/PrimalChaos/3Items/Hides/3Element/Hydro/PrimalItemResource_Hide_Hydro.PrimalItemResource_Hide_Hydro</t>
  </si>
  <si>
    <t>Hide Legendary</t>
  </si>
  <si>
    <t>PrimalItemResource_Hide_Legendary_C</t>
  </si>
  <si>
    <t>/PrimalChaos/3Items/Hides/5MythicAndLegendary/Legendary/PrimalItemResource_Hide_Legendary.PrimalItemResource_Hide_Legendary</t>
  </si>
  <si>
    <t>Hide Mythic</t>
  </si>
  <si>
    <t>PrimalItemResource_Hide_Mythic_C</t>
  </si>
  <si>
    <t>/PrimalChaos/3Items/Hides/5MythicAndLegendary/Mythic/PrimalItemResource_Hide_Mythic.PrimalItemResource_Hide_Mythic</t>
  </si>
  <si>
    <t>Hide Omega</t>
  </si>
  <si>
    <t>PrimalItemResource_Hide_Omega_C</t>
  </si>
  <si>
    <t>/PrimalChaos/3Items/Hides/5MythicAndLegendary/Omega/PrimalItemResource_Hide_Omega.PrimalItemResource_Hide_Omega</t>
  </si>
  <si>
    <t>Hide Shadow</t>
  </si>
  <si>
    <t>PrimalItemResource_Hide_Shadow_C</t>
  </si>
  <si>
    <t>/PrimalChaos/3Items/Hides/4Shadow/PrimalItemResource_Hide_Shadow.PrimalItemResource_Hide_Shadow</t>
  </si>
  <si>
    <t>Hide Volcanic</t>
  </si>
  <si>
    <t>PrimalItemResource_Hide_Volcanic_C</t>
  </si>
  <si>
    <t>/PrimalChaos/3Items/Hides/3Element/Volcanic/PrimalItemResource_Hide_Volcanic.PrimalItemResource_Hide_Volcanic</t>
  </si>
  <si>
    <t>Metal Ingot Alpha</t>
  </si>
  <si>
    <t>PrimalItemResource_MetalIngot_Alpha_C</t>
  </si>
  <si>
    <t>/PrimalChaos/3Items/Ingots/2Alpha/PrimalItemResource_MetalIngot_Alpha.PrimalItemResource_MetalIngot_Alpha</t>
  </si>
  <si>
    <t>Metal Ingot Demonic</t>
  </si>
  <si>
    <t>PrimalItemResource_MetalIngot_Demonic_C</t>
  </si>
  <si>
    <t>/PrimalChaos/3Items/Ingots/5Demonic/PrimalItemResource_MetalIngot_Demonic.PrimalItemResource_MetalIngot_Demonic</t>
  </si>
  <si>
    <t>Metal Ingot Element</t>
  </si>
  <si>
    <t>PrimalItemResource_MetalIngot_Element_C</t>
  </si>
  <si>
    <t>/PrimalChaos/3Items/Ingots/3Elemental/Volcanic/PrimalItemResource_MetalIngot_Element.PrimalItemResource_MetalIngot_Element</t>
  </si>
  <si>
    <t>Metal Ingot Mythic</t>
  </si>
  <si>
    <t>PrimalItemResource_MetalIngot_Mythic_C</t>
  </si>
  <si>
    <t>/PrimalChaos/3Items/Ingots/4Mythic/PrimalItemResource_MetalIngot_Mythic.PrimalItemResource_MetalIngot_Mythic</t>
  </si>
  <si>
    <t>Metal Ingot Toxic</t>
  </si>
  <si>
    <t>PrimalItemResource_MetalIngot_Toxic_C</t>
  </si>
  <si>
    <t>/PrimalChaos/3Items/Ingots/1Toxic/PrimalItemResource_MetalIngot_Toxic.PrimalItemResource_MetalIngot_Toxic</t>
  </si>
  <si>
    <t>Summon Items</t>
  </si>
  <si>
    <t>Nightmare Token Carno</t>
  </si>
  <si>
    <t>PrimalItem_NightmareToken_Carno_C</t>
  </si>
  <si>
    <t>/PrimalChaos/3Items/Tokens/Nightmare/Carno/PrimalItem_NightmareToken_Carno.PrimalItem_NightmareToken_Carno</t>
  </si>
  <si>
    <t>Nightmare Token Dodo Reaper</t>
  </si>
  <si>
    <t>PrimalItem_NightmareToken_DodoReaper_C</t>
  </si>
  <si>
    <t>/PrimalChaos/3Items/Tokens/Nightmare/DodoReaper/PrimalItem_NightmareToken_DodoReaper.PrimalItem_NightmareToken_DodoReaper</t>
  </si>
  <si>
    <t>Nightmare Token Raptor</t>
  </si>
  <si>
    <t>PrimalItem_NightmareToken_Raptor_C</t>
  </si>
  <si>
    <t>/PrimalChaos/3Items/Tokens/Nightmare/Raptor/PrimalItem_NightmareToken_Raptor.PrimalItem_NightmareToken_Raptor</t>
  </si>
  <si>
    <t>Nightmare Token Rex</t>
  </si>
  <si>
    <t>PrimalItem_NightmareToken_Rex_C</t>
  </si>
  <si>
    <t>/PrimalChaos/3Items/Tokens/Nightmare/Rex/PrimalItem_NightmareToken_Rex.PrimalItem_NightmareToken_Rex</t>
  </si>
  <si>
    <t>Nightmare Token Spino</t>
  </si>
  <si>
    <t>PrimalItem_NightmareToken_Spino_C</t>
  </si>
  <si>
    <t>/PrimalChaos/3Items/Tokens/Nightmare/Spino/PrimalItem_NightmareToken_Spino.PrimalItem_NightmareToken_Spino</t>
  </si>
  <si>
    <t>Nightmare Token Trike</t>
  </si>
  <si>
    <t>PrimalItem_NightmareToken_Trike_C</t>
  </si>
  <si>
    <t>/PrimalChaos/3Items/Tokens/Nightmare/Trike/PrimalItem_NightmareToken_Trike.PrimalItem_NightmareToken_Trike</t>
  </si>
  <si>
    <t>Nightmare Token Yuty</t>
  </si>
  <si>
    <t>PrimalItem_NightmareToken_Yuty_C</t>
  </si>
  <si>
    <t>/PrimalChaos/3Items/Tokens/Nightmare/Yuty/PrimalItem_NightmareToken_Yuty.PrimalItem_NightmareToken_Yuty</t>
  </si>
  <si>
    <t>Origin Token Argent</t>
  </si>
  <si>
    <t>PrimalItem_OriginToken_Argent_C</t>
  </si>
  <si>
    <t>/PrimalChaos/3Items/Tokens/Origins/Argent/PrimalItem_OriginToken_Argent.PrimalItem_OriginToken_Argent</t>
  </si>
  <si>
    <t>Origin Token Carno</t>
  </si>
  <si>
    <t>PrimalItem_OriginToken_Carno_C</t>
  </si>
  <si>
    <t>/PrimalChaos/3Items/Tokens/Origins/Carno/PrimalItem_OriginToken_Carno.PrimalItem_OriginToken_Carno</t>
  </si>
  <si>
    <t>Origin Token Dire Bear</t>
  </si>
  <si>
    <t>PrimalItem_OriginToken_DireBear_C</t>
  </si>
  <si>
    <t>/PrimalChaos/3Items/Tokens/Origins/DireBear/PrimalItem_OriginToken_DireBear.PrimalItem_OriginToken_DireBear</t>
  </si>
  <si>
    <t>Origin Token Kairuku</t>
  </si>
  <si>
    <t>PrimalItem_OriginToken_Kairuku_C</t>
  </si>
  <si>
    <t>/PrimalChaos/3Items/Tokens/Origins/Kairuku/PrimalItem_OriginToken_Kairuku.PrimalItem_OriginToken_Kairuku</t>
  </si>
  <si>
    <t>Origin Token Raptor</t>
  </si>
  <si>
    <t>PrimalItem_OriginToken_Raptor_C</t>
  </si>
  <si>
    <t>/PrimalChaos/3Items/Tokens/Origins/Raptor/PrimalItem_OriginToken_Raptor.PrimalItem_OriginToken_Raptor</t>
  </si>
  <si>
    <t>Origin Token Rex</t>
  </si>
  <si>
    <t>PrimalItem_OriginToken_Rex_C</t>
  </si>
  <si>
    <t>/PrimalChaos/3Items/Tokens/Origins/Rex/PrimalItem_OriginToken_Rex.PrimalItem_OriginToken_Rex</t>
  </si>
  <si>
    <t>Origin Token Spino</t>
  </si>
  <si>
    <t>PrimalItem_OriginToken_Spino_C</t>
  </si>
  <si>
    <t>/PrimalChaos/3Items/Tokens/Origins/Spino/PrimalItem_OriginToken_Spino.PrimalItem_OriginToken_Spino</t>
  </si>
  <si>
    <t>Origin Token Wyvern</t>
  </si>
  <si>
    <t>PrimalItem_OriginToken_Wyvern_C</t>
  </si>
  <si>
    <t>/PrimalChaos/3Items/Tokens/Origins/Wyvern/PrimalItem_OriginToken_Wyvern.PrimalItem_OriginToken_Wyvern</t>
  </si>
  <si>
    <t>Soul Angelic</t>
  </si>
  <si>
    <t>PrimalItem_Soul_Angelic_C</t>
  </si>
  <si>
    <t>/PrimalChaos/3Items/Souls/Angelic/PrimalItem_Soul_Angelic.PrimalItem_Soul_Angelic</t>
  </si>
  <si>
    <t>Soul Demonic</t>
  </si>
  <si>
    <t>PrimalItem_Soul_Demonic_C</t>
  </si>
  <si>
    <t>/PrimalChaos/3Items/Souls/Demonic/PrimalItem_Soul_Demonic.PrimalItem_Soul_Demonic</t>
  </si>
  <si>
    <t>Soul Origin</t>
  </si>
  <si>
    <t>PrimalItem_OriginSoul_C</t>
  </si>
  <si>
    <t>/PrimalChaos/3Items/Souls/Origin/PrimalItem_OriginSoul.PrimalItem_OriginSoul</t>
  </si>
  <si>
    <t>Soul Primal</t>
  </si>
  <si>
    <t>PrimalItem_PrimalSoul_C</t>
  </si>
  <si>
    <t>/PrimalChaos/3Items/Souls/Primal/PrimalItem_PrimalSoul.PrimalItem_PrimalSoul</t>
  </si>
  <si>
    <t>Soul Angelic BOSS</t>
  </si>
  <si>
    <t>PrimalItem_AngelicBOSSSoul_C</t>
  </si>
  <si>
    <t>/PrimalChaos/Content/3Items/Souls/OriginBOSS/PrimalItem_OriginBOSSSoul</t>
  </si>
  <si>
    <t>Soul Demonic BOSS</t>
  </si>
  <si>
    <t>PrimalItem_DemonicBOSSSoul_C</t>
  </si>
  <si>
    <t>/PrimalChaos/Content/3Items/Souls/DemonicBOSS/PrimalItem_DemonicBOSSSoul</t>
  </si>
  <si>
    <t>Soul Origin BOSS</t>
  </si>
  <si>
    <t>PrimalItem_OriginBOSSSoul_C</t>
  </si>
  <si>
    <t>PrimalItem</t>
  </si>
  <si>
    <t>Summon Angelic BOSS</t>
  </si>
  <si>
    <t>PrimalItemConsumable_Summon_AngelicBOSS_C</t>
  </si>
  <si>
    <t>/PrimalChaos/1Bosses/Bosses/DemonicAndAngelicBOSS/Angelic/Summon/PrimalItemConsumable_Summon_AngelicBOSS.PrimalItemConsumable_Summon_AngelicBOSS</t>
  </si>
  <si>
    <t>PrimalItemConsumable_Summon</t>
  </si>
  <si>
    <t>Summon Death Knight</t>
  </si>
  <si>
    <t>PrimalItemConsumable_Summon_DeathKnight_C</t>
  </si>
  <si>
    <t>/PrimalChaos/1Bosses/Nightmares/PrimalItemConsumable_Summon_DeathKnight.PrimalItemConsumable_Summon_DeathKnight</t>
  </si>
  <si>
    <t>Summon Death Knight Tameable</t>
  </si>
  <si>
    <t>PrimalItemConsumable_Summon_DeathKnight_Tameable_C</t>
  </si>
  <si>
    <t>/PrimalChaos/1Bosses/Nightmares/TameableDeathKnight/PrimalItemConsumable_Summon_DeathKnight_Tameable.PrimalItemConsumable_Summon_DeathKnight_Tameable</t>
  </si>
  <si>
    <t>Summon Demonic BOSS</t>
  </si>
  <si>
    <t>PrimalItemConsumable_Summon_DemonicBOSS_C</t>
  </si>
  <si>
    <t>/PrimalChaos/1Bosses/Bosses/DemonicAndAngelicBOSS/Demonic/Summon/PrimalItemConsumable_Summon_DemonicBOSS.PrimalItemConsumable_Summon_DemonicBOSS</t>
  </si>
  <si>
    <t>Summon Origin BOSS</t>
  </si>
  <si>
    <t>PrimalItemConsumable_Summon_Draconis_C</t>
  </si>
  <si>
    <t>/PrimalChaos/Content/1Bosses/Bosses/OriginBOSS/0Summon/PrimalItemConsumable_Summon_Draconis</t>
  </si>
  <si>
    <t>Electric Guardian Summon</t>
  </si>
  <si>
    <t>PrimalItemConsumable_ElectricGuardianSummon_C</t>
  </si>
  <si>
    <t>/PrimalChaos/1Bosses/ElementalBosses/GuardianElectric/ElectricBossTameable/PrimalItemConsumable_ElectricGuardianSummon.PrimalItemConsumable_ElectricGuardianSummon</t>
  </si>
  <si>
    <t>Hydro Guardian Summon</t>
  </si>
  <si>
    <t>PrimalItemConsumable_HydroGuardianSummon_C</t>
  </si>
  <si>
    <t>/PrimalChaos/1Bosses/ElementalBosses/GuardianHydro/HydroBossTameable/PrimalItemConsumable_HydroGuardianSummon.PrimalItemConsumable_HydroGuardianSummon</t>
  </si>
  <si>
    <t>Summon chaos BOSS</t>
  </si>
  <si>
    <t>PrimalItemConsumable_Summon_ChaosBOSS_C</t>
  </si>
  <si>
    <t>/PrimalChaos/Content/1Bosses/Bosses/SpiritAndChaosTITAN/Spirit/Summon/PrimalItemConsumable_Summon_ChaosBOSS</t>
  </si>
  <si>
    <t>Summon Spirit BOSS</t>
  </si>
  <si>
    <t>PrimalItemConsumable_Summon_SpiritBOSS_C</t>
  </si>
  <si>
    <t>/PrimalChaos/Content/1Bosses/Bosses/SpiritAndChaosTITAN/Spirit/Summon/PrimalItemConsumable_Summon_SpiritBOSS</t>
  </si>
  <si>
    <t>Summon Nightmare Carno</t>
  </si>
  <si>
    <t>PrimalItemConsumable_Summon_NightmareCarno_C</t>
  </si>
  <si>
    <t>/PrimalChaos/1Dinos/6Nightmare/Carno/Summon/PrimalItemConsumable_Summon_NightmareCarno.PrimalItemConsumable_Summon_NightmareCarno</t>
  </si>
  <si>
    <t>Summon Nightmare DodoReaper</t>
  </si>
  <si>
    <t>PrimalItemConsumable_Summon_NightmareReaper_C</t>
  </si>
  <si>
    <t>/PrimalChaos/1Dinos/6Nightmare/DodoReaper/Summon/PrimalItemConsumable_Summon_NightmareReaper.PrimalItemConsumable_Summon_NightmareReaper</t>
  </si>
  <si>
    <t>Summon Nightmare Raptor</t>
  </si>
  <si>
    <t>PrimalItemConsumable_Summon_NightmareRaptor_C</t>
  </si>
  <si>
    <t>/PrimalChaos/1Dinos/6Nightmare/Raptor/Summon/PrimalItemConsumable_Summon_NightmareRaptor.PrimalItemConsumable_Summon_NightmareRaptor</t>
  </si>
  <si>
    <t>Summon Nightmare Rex</t>
  </si>
  <si>
    <t>PrimalItemConsumable_Summon_NightmareRex_C</t>
  </si>
  <si>
    <t>/PrimalChaos/1Dinos/6Nightmare/Rex/Summon/PrimalItemConsumable_Summon_NightmareRex.PrimalItemConsumable_Summon_NightmareRex</t>
  </si>
  <si>
    <t>Summon Nightmare Spino</t>
  </si>
  <si>
    <t>PrimalItemConsumable_Summon_NightmareSpino_C</t>
  </si>
  <si>
    <t>/PrimalChaos/1Dinos/6Nightmare/Spino/Summon/PrimalItemConsumable_Summon_NightmareSpino.PrimalItemConsumable_Summon_NightmareSpino</t>
  </si>
  <si>
    <t>Summon Nightmare Trike</t>
  </si>
  <si>
    <t>PrimalItemConsumable_Summon_NightmareTrike_C</t>
  </si>
  <si>
    <t>/PrimalChaos/1Dinos/6Nightmare/Trike/Summon/PrimalItemConsumable_Summon_NightmareTrike.PrimalItemConsumable_Summon_NightmareTrike</t>
  </si>
  <si>
    <t>Summon Nightmare Yuty</t>
  </si>
  <si>
    <t>PrimalItemConsumable_Summon_NightmareYuty_C</t>
  </si>
  <si>
    <t>/PrimalChaos/1Dinos/6Nightmare/Yuty/Summon/PrimalItemConsumable_Summon_NightmareYuty.PrimalItemConsumable_Summon_NightmareYuty</t>
  </si>
  <si>
    <t>Volcanic Guardian Summon</t>
  </si>
  <si>
    <t>PrimalItemConsumable_VolcanicGuardianSummon_C</t>
  </si>
  <si>
    <t>/PrimalChaos/1Bosses/ElementalBosses/GuardianVolcanic/VolcanicBossTameable/PrimalItemConsumable_VolcanicGuardianSummon.PrimalItemConsumable_VolcanicGuardianSummon</t>
  </si>
  <si>
    <t>Structures</t>
  </si>
  <si>
    <t>Anvil Bench Chaos</t>
  </si>
  <si>
    <t>PrimalItemStructure_AnvilBench_Chaos_C</t>
  </si>
  <si>
    <t>/PrimalChaos/2Structures/Smithy/PrimalItemStructure_AnvilBench_Chaos.PrimalItemStructure_AnvilBench_Chaos</t>
  </si>
  <si>
    <t>Chaos Bed</t>
  </si>
  <si>
    <t>PrimalItemStructure_ChaosBed_C</t>
  </si>
  <si>
    <t>/PrimalChaos/2Structures/Bed/PrimalItemStructure_ChaosBed.PrimalItemStructure_ChaosBed</t>
  </si>
  <si>
    <t>Forge Chaos</t>
  </si>
  <si>
    <t>PrimalItemStructure_Forge_Chaos_C</t>
  </si>
  <si>
    <t>/PrimalChaos/2Structures/Forge/PrimalItemStructure_Forge_Chaos.PrimalItemStructure_Forge_Chaos</t>
  </si>
  <si>
    <t>Metal Spike Wall Alpha</t>
  </si>
  <si>
    <t>PrimalItemStructure_MetalSpikeWall_Alpha_C</t>
  </si>
  <si>
    <t>/PrimalChaos/2Structures/SpikeWalls/1Alpha/PrimalItemStructure_MetalSpikeWall_Alpha.PrimalItemStructure_MetalSpikeWall_Alpha</t>
  </si>
  <si>
    <t>Metal Spike Wall Mythic</t>
  </si>
  <si>
    <t>PrimalItemStructure_MetalSpikeWall_Mythic_C</t>
  </si>
  <si>
    <t>/PrimalChaos/2Structures/SpikeWalls/2Mythic/PrimalItemStructure_MetalSpikeWall_Mythic.PrimalItemStructure_MetalSpikeWall_Mythic</t>
  </si>
  <si>
    <t>Metal Spike Wall Toxic</t>
  </si>
  <si>
    <t>PrimalItemStructure_MetalSpikeWall_Toxic_C</t>
  </si>
  <si>
    <t>/PrimalChaos/2Structures/SpikeWalls/0Toxic/PrimalItemStructure_MetalSpikeWall_Toxic.PrimalItemStructure_MetalSpikeWall_Toxic</t>
  </si>
  <si>
    <t>Primal Tek Shield</t>
  </si>
  <si>
    <t>PrimalItemStructure_PrimalTekShield_C</t>
  </si>
  <si>
    <t>/PrimalChaos/2Structures/TekShield/PrimalItemStructure_PrimalTekShield.PrimalItemStructure_PrimalTekShield</t>
  </si>
  <si>
    <t>Turret Alpha</t>
  </si>
  <si>
    <t>PrimalItemStructure_Turret_Alpha_C</t>
  </si>
  <si>
    <t>/PrimalChaos/2Structures/Turret/1Turrets/1Alpha/PrimalItemStructure_Turret_Alpha.PrimalItemStructure_Turret_Alpha</t>
  </si>
  <si>
    <t>Turret Electric</t>
  </si>
  <si>
    <t>PrimalItemStructure_Turret_Electric_C</t>
  </si>
  <si>
    <t>/PrimalChaos/2Structures/Turret/1Turrets/2Elemental/Electric/PrimalItemStructure_Turret_Electric.PrimalItemStructure_Turret_Electric</t>
  </si>
  <si>
    <t>Turret Hydro</t>
  </si>
  <si>
    <t>PrimalItemStructure_Turret_Hydro_C</t>
  </si>
  <si>
    <t>/PrimalChaos/2Structures/Turret/1Turrets/2Elemental/Hydro/PrimalItemStructure_Turret_Hydro.PrimalItemStructure_Turret_Hydro</t>
  </si>
  <si>
    <t>Turret Volcanic</t>
  </si>
  <si>
    <t>PrimalItemStructure_Turret_Volcanic_C</t>
  </si>
  <si>
    <t>/PrimalChaos/2Structures/Turret/1Turrets/2Elemental/Fire/PrimalItemStructure_Turret_Volcanic.PrimalItemStructure_Turret_Volcanic</t>
  </si>
  <si>
    <t>Tools/Weapons/Ammo</t>
  </si>
  <si>
    <t>Grappling Bow</t>
  </si>
  <si>
    <t>PrimalItem_GrapplingBow_C</t>
  </si>
  <si>
    <t>/PrimalChaos/4Tools/0Primal/GrapplingBow/PrimalItem_GrapplingBow.PrimalItem_GrapplingBow</t>
  </si>
  <si>
    <t>Reusable Parachute</t>
  </si>
  <si>
    <t>Primalitem_ReusableParachute_C</t>
  </si>
  <si>
    <t>/PrimalChaos/4Tools/0Primal/Parachute/Primalitem_ReusableParachute.Primalitem_ReusableParachute</t>
  </si>
  <si>
    <t>Reusable Spear</t>
  </si>
  <si>
    <t>PrimalItem_ReusableSpear_C</t>
  </si>
  <si>
    <t>/PrimalChaos/4Tools/0Primal/Spear/PrimalItem_ReusableSpear.PrimalItem_ReusableSpear</t>
  </si>
  <si>
    <t>Weapon Metal Hatchet Alpha</t>
  </si>
  <si>
    <t>PrimalItem_WeaponMetalHatchet_Alpha_C</t>
  </si>
  <si>
    <t>/PrimalChaos/4Tools/2Alpha/Hatchet/PrimalItem_WeaponMetalHatchet_Alpha.PrimalItem_WeaponMetalHatchet_Alpha</t>
  </si>
  <si>
    <t>Weapon Metal Hatchet Toxic</t>
  </si>
  <si>
    <t>PrimalItem_WeaponMetalHatchet_Toxic_C</t>
  </si>
  <si>
    <t>/PrimalChaos/4Tools/1Toxic/Hatchet/PrimalItem_WeaponMetalHatchet_Toxic.PrimalItem_WeaponMetalHatchet_Toxic</t>
  </si>
  <si>
    <t>Weapon Metal Pick Alpha</t>
  </si>
  <si>
    <t>PrimalItem_WeaponMetalPick_Alpha_C</t>
  </si>
  <si>
    <t>/PrimalChaos/4Tools/2Alpha/Pick/PrimalItem_WeaponMetalPick_Alpha.PrimalItem_WeaponMetalPick_Alpha</t>
  </si>
  <si>
    <t>Weapon Metal Pick Toxic</t>
  </si>
  <si>
    <t>PrimalItem_WeaponMetalPick_Toxic_C</t>
  </si>
  <si>
    <t>/PrimalChaos/4Tools/1Toxic/Pick/PrimalItem_WeaponMetalPick_Toxic.PrimalItem_WeaponMetalPick_Toxic</t>
  </si>
  <si>
    <t>Weapon Pike Alpha</t>
  </si>
  <si>
    <t>PrimalItem_WeaponPike_Alpha_C</t>
  </si>
  <si>
    <t>/PrimalChaos/4Tools/2Alpha/Pike/PrimalItem_WeaponPike_Alpha.PrimalItem_WeaponPike_Alpha</t>
  </si>
  <si>
    <t>Weapon Pike Toxic</t>
  </si>
  <si>
    <t>PrimalItem_WeaponPike_Toxic_C</t>
  </si>
  <si>
    <t>/PrimalChaos/4Tools/1Toxic/Pike/PrimalItem_WeaponPike_Toxic.PrimalItem_WeaponPike_Toxic</t>
  </si>
  <si>
    <t>Weapon Rocket Launcher Demonic</t>
  </si>
  <si>
    <t>PrimalItem_WeaponRocketLauncher_Demonic_C</t>
  </si>
  <si>
    <t>/PrimalChaos/6Tranqs/Rockets/Launcher/PrimalItem_WeaponRocketLauncher_Demonic.PrimalItem_WeaponRocketLauncher_Demonic</t>
  </si>
  <si>
    <t>Weapon Sickle Alpha</t>
  </si>
  <si>
    <t>PrimalItem_WeaponSickle_Alpha_C</t>
  </si>
  <si>
    <t>/PrimalChaos/4Tools/2Alpha/Sickle/PrimalItem_WeaponSickle_Alpha.PrimalItem_WeaponSickle_Alpha</t>
  </si>
  <si>
    <t>Weapon Sickle Toxic</t>
  </si>
  <si>
    <t>PrimalItem_WeaponSickle_Toxic_C</t>
  </si>
  <si>
    <t>/PrimalChaos/4Tools/1Toxic/Sickle/PrimalItem_WeaponSickle_Toxic.PrimalItem_WeaponSickle_Toxic</t>
  </si>
  <si>
    <t>Mythic Pick</t>
  </si>
  <si>
    <t>PrimalItem_WeaponMetalPick_Mythic_C</t>
  </si>
  <si>
    <t>/PrimalChaos/4Tools/5LegendAndmythic/Mythic/Pick/PrimalItem_WeaponMetalPick_Mythic.PrimalItem_WeaponMetalPick_Mythic</t>
  </si>
  <si>
    <t>Mythic Hatchet</t>
  </si>
  <si>
    <t>PrimalItem_WeaponMetalHatchet_Mythic_C</t>
  </si>
  <si>
    <t>/PrimalChaos/4Tools/5LegendAndmythic/Mythic/Hatchet/PrimalItem_WeaponMetalHatchet_Mythic.PrimalItem_WeaponMetalHatchet_Mythic</t>
  </si>
  <si>
    <t>Mythic Sickle</t>
  </si>
  <si>
    <t>PrimalItem_WeaponSickle_Mythic_C</t>
  </si>
  <si>
    <t>/PrimalChaos/4Tools/5LegendAndmythic/Mythic/Sickle/PrimalItem_WeaponSickle_Mythic.PrimalItem_WeaponSickle_Mythic</t>
  </si>
  <si>
    <t>Mythic Pike</t>
  </si>
  <si>
    <t>PrimalItem_WeaponPike_Mythic_C</t>
  </si>
  <si>
    <t>/PrimalChaos/4Tools/5LegendAndmythic/Mythic/Pike/PrimalItem_WeaponPike_Mythic.PrimalItem_WeaponPike_Mythic</t>
  </si>
  <si>
    <t>Volcanic Pick</t>
  </si>
  <si>
    <t>PrimalItem_WeaponMetalPick_Volcanic_C</t>
  </si>
  <si>
    <t>/PrimalChaos/4Tools/3Element/Pick/PrimalItem_WeaponMetalPick_Volcanic.PrimalItem_WeaponMetalPick_Volcanic</t>
  </si>
  <si>
    <t>Volcanic Hatchet</t>
  </si>
  <si>
    <t>PrimalItem_WeaponMetalHatchet_Volcanic_C</t>
  </si>
  <si>
    <t>/PrimalChaos/4Tools/3Element/Hatchet/PrimalItem_WeaponMetalHatchet_Volcanic.PrimalItem_WeaponMetalHatchet_Volcanic</t>
  </si>
  <si>
    <t>Volcanic Sickle</t>
  </si>
  <si>
    <t>PrimalItem_WeaponSickle_Volcanic_C</t>
  </si>
  <si>
    <t>/PrimalChaos/4Tools/3Element/Sickle/PrimalItem_WeaponSickle_Volcanic.PrimalItem_WeaponSickle_Volcanic</t>
  </si>
  <si>
    <t>Volcanic Pike</t>
  </si>
  <si>
    <t>PrimalItem_WeaponPike_Volcanic_C</t>
  </si>
  <si>
    <t>/PrimalChaos/4Tools/3Element/Pike/PrimalItem_WeaponPike_Volcanic.PrimalItem_WeaponPike_Volcanic</t>
  </si>
  <si>
    <t>Advanced Rifle Bullet Alpha</t>
  </si>
  <si>
    <t>PrimalItemAmmo_AdvancedRifleBullet_Alpha_C</t>
  </si>
  <si>
    <t>/PrimalChaos/2Structures/Turret/2Ammo/1Alpha/PrimalItemAmmo_AdvancedRifleBullet_Alpha.PrimalItemAmmo_AdvancedRifleBullet_Alpha</t>
  </si>
  <si>
    <t>Advanced Rifle Bullet Element</t>
  </si>
  <si>
    <t>PrimalItemAmmo_AdvancedRifleBullet_Element_C</t>
  </si>
  <si>
    <t>/PrimalChaos/2Structures/Turret/2Ammo/2Elemental/PrimalItemAmmo_AdvancedRifleBullet_Element.PrimalItemAmmo_AdvancedRifleBullet_Element</t>
  </si>
  <si>
    <t>Arrow Tranq Alpha</t>
  </si>
  <si>
    <t>PrimalItemAmmo_ArrowTranq_Alpha_C</t>
  </si>
  <si>
    <t>/PrimalChaos/6Tranqs/Arrow/2Alpha/PrimalItemAmmo_ArrowTranq_Alpha.PrimalItemAmmo_ArrowTranq_Alpha</t>
  </si>
  <si>
    <t>Arrow Tranq Toxic</t>
  </si>
  <si>
    <t>PrimalItemAmmo_ArrowTranq_Toxic_C</t>
  </si>
  <si>
    <t>/PrimalChaos/6Tranqs/Arrow/1Toxic/PrimalItemAmmo_ArrowTranq_Toxic.PrimalItemAmmo_ArrowTranq_Toxic</t>
  </si>
  <si>
    <t>Rocket Demonic</t>
  </si>
  <si>
    <t>PrimalItemAmmo_Rocket_Demonic_C</t>
  </si>
  <si>
    <t>/PrimalChaos/6Tranqs/Rockets/Rockets/PrimalItemAmmo_Rocket_Demonic.PrimalItemAmmo_Rocket_Demonic</t>
  </si>
  <si>
    <t>Tranq Dart Alpha</t>
  </si>
  <si>
    <t>PrimalItemAmmo_TranqDart_Alpha_C</t>
  </si>
  <si>
    <t>/PrimalChaos/6Tranqs/Darts/2Alpha/PrimalItemAmmo_TranqDart_Alpha.PrimalItemAmmo_TranqDart_Alpha</t>
  </si>
  <si>
    <t>Tranq Dart Element</t>
  </si>
  <si>
    <t>PrimalItemAmmo_TranqDart_Element_C</t>
  </si>
  <si>
    <t>/PrimalChaos/6Tranqs/Darts/3Elemental/PrimalItemAmmo_TranqDart_Element.PrimalItemAmmo_TranqDart_Element</t>
  </si>
  <si>
    <t>Tranq Dart Mythic</t>
  </si>
  <si>
    <t>PrimalItemAmmo_TranqDart_Mythic_C</t>
  </si>
  <si>
    <t>/PrimalChaos/6Tranqs/Darts/4Mythic/PrimalItemAmmo_TranqDart_Mythic.PrimalItemAmmo_TranqDart_Mythic</t>
  </si>
  <si>
    <t>Tranq Dart Potent</t>
  </si>
  <si>
    <t>PrimalItemAmmo_TranqDart_Potent_C</t>
  </si>
  <si>
    <t>/PrimalChaos/6Tranqs/Darts/1Potent/PrimalItemAmmo_TranqDart_Potent.PrimalItemAmmo_TranqDart_Potent</t>
  </si>
  <si>
    <t>Tranq Spear Bolt Alpha</t>
  </si>
  <si>
    <t>PrimalItemAmmo_TranqSpearBolt_Alpha_C</t>
  </si>
  <si>
    <t>/PrimalChaos/6Tranqs/WaterDarts/2Alpha/PrimalItemAmmo_TranqSpearBolt_Alpha.PrimalItemAmmo_TranqSpearBolt_Alpha</t>
  </si>
  <si>
    <t>Tranq Spear Bolt Element</t>
  </si>
  <si>
    <t>PrimalItemAmmo_TranqSpearBolt_Element_C</t>
  </si>
  <si>
    <t>/PrimalChaos/6Tranqs/WaterDarts/3Elemental/PrimalItemAmmo_TranqSpearBolt_Element.PrimalItemAmmo_TranqSpearBolt_Element</t>
  </si>
  <si>
    <t>Tranq Spear Bolt Mythic</t>
  </si>
  <si>
    <t>PrimalItemAmmo_TranqSpearBolt_Mythic_C</t>
  </si>
  <si>
    <t>/PrimalChaos/6Tranqs/WaterDarts/4Mythic/PrimalItemAmmo_TranqSpearBolt_Mythic.PrimalItemAmmo_TranqSpearBolt_Mythic</t>
  </si>
  <si>
    <t>Tranq Spear Bolt Potent</t>
  </si>
  <si>
    <t>PrimalItemAmmo_TranqSpearBolt_Potent_C</t>
  </si>
  <si>
    <t>/PrimalChaos/6Tranqs/WaterDarts/1Potent/PrimalItemAmmo_TranqSpearBolt_Potent.PrimalItemAmmo_TranqSpearBolt_Potent</t>
  </si>
  <si>
    <t>Armor</t>
  </si>
  <si>
    <t>Alpha Chitin Boots</t>
  </si>
  <si>
    <t>PrimalItemArmor_ChitinBoots_Alpha_C</t>
  </si>
  <si>
    <t>/PrimalChaos/5Armors/2Alpha/Chitin/PrimalItemArmor_ChitinBoots_Alpha.PrimalItemArmor_ChitinBoots_Alpha</t>
  </si>
  <si>
    <t>Alpha Chitin Gloves</t>
  </si>
  <si>
    <t>PrimalItemArmor_ChitinGloves_Alpha_C</t>
  </si>
  <si>
    <t>/PrimalChaos/5Armors/2Alpha/Chitin/PrimalItemArmor_ChitinGloves_Alpha.PrimalItemArmor_ChitinGloves_Alpha</t>
  </si>
  <si>
    <t>Alpha Chitin Helmet</t>
  </si>
  <si>
    <t>PrimalItemArmor_ChitinHelmet_Alpha_C</t>
  </si>
  <si>
    <t>/PrimalChaos/5Armors/2Alpha/Chitin/PrimalItemArmor_ChitinHelmet_Alpha.PrimalItemArmor_ChitinHelmet_Alpha</t>
  </si>
  <si>
    <t>Alpha Chitin Pants</t>
  </si>
  <si>
    <t>PrimalItemArmor_ChitinPants_Alpha_C</t>
  </si>
  <si>
    <t>/PrimalChaos/5Armors/2Alpha/Chitin/PrimalItemArmor_ChitinPants_Alpha.PrimalItemArmor_ChitinPants_Alpha</t>
  </si>
  <si>
    <t>Alpha Chitin Shirt</t>
  </si>
  <si>
    <t>PrimalItemArmor_ChitinShirt_Alpha_C</t>
  </si>
  <si>
    <t>/PrimalChaos/5Armors/2Alpha/Chitin/PrimalItemArmor_ChitinShirt_Alpha.PrimalItemArmor_ChitinShirt_Alpha</t>
  </si>
  <si>
    <t>Alpha Flak Boots</t>
  </si>
  <si>
    <t>PrimalItemArmor_MetalBoots_Alpha_C</t>
  </si>
  <si>
    <t>/PrimalChaos/5Armors/2Alpha/Flak/PrimalItemArmor_MetalBoots_Alpha.PrimalItemArmor_MetalBoots_Alpha</t>
  </si>
  <si>
    <t>Alpha Flak Gloves</t>
  </si>
  <si>
    <t>PrimalItemArmor_MetalGloves_Alpha_C</t>
  </si>
  <si>
    <t>/PrimalChaos/5Armors/2Alpha/Flak/PrimalItemArmor_MetalGloves_Alpha.PrimalItemArmor_MetalGloves_Alpha</t>
  </si>
  <si>
    <t>Alpha Flak Helmet</t>
  </si>
  <si>
    <t>PrimalItemArmor_MetalHelmet_Alpha_C</t>
  </si>
  <si>
    <t>/PrimalChaos/5Armors/2Alpha/Flak/PrimalItemArmor_MetalHelmet_Alpha.PrimalItemArmor_MetalHelmet_Alpha</t>
  </si>
  <si>
    <t>Alpha Flak Pants</t>
  </si>
  <si>
    <t>PrimalItemArmor_MetalPants_Alpha_C</t>
  </si>
  <si>
    <t>/PrimalChaos/5Armors/2Alpha/Flak/PrimalItemArmor_MetalPants_Alpha.PrimalItemArmor_MetalPants_Alpha</t>
  </si>
  <si>
    <t>Alpha Flak Shirt</t>
  </si>
  <si>
    <t>PrimalItemArmor_MetalShirt_Alpha_C</t>
  </si>
  <si>
    <t>/PrimalChaos/5Armors/2Alpha/Flak/PrimalItemArmor_MetalShirt_Alpha.PrimalItemArmor_MetalShirt_Alpha</t>
  </si>
  <si>
    <t>Toxic Cloth Boots</t>
  </si>
  <si>
    <t>PrimalItemArmor_ClothBoots_Toxic_C</t>
  </si>
  <si>
    <t>/PrimalChaos/5Armors/1Toxic/Cloth/PrimalItemArmor_ClothBoots_Toxic.PrimalItemArmor_ClothBoots_Toxic</t>
  </si>
  <si>
    <t>Toxic Cloth Gloves</t>
  </si>
  <si>
    <t>PrimalItemArmor_ClothGloves_Toxic_C</t>
  </si>
  <si>
    <t>/PrimalChaos/5Armors/1Toxic/Cloth/PrimalItemArmor_ClothGloves_Toxic.PrimalItemArmor_ClothGloves_Toxic</t>
  </si>
  <si>
    <t>Toxic Cloth Helmet</t>
  </si>
  <si>
    <t>PrimalItemArmor_ClothHelmet_Toxic_C</t>
  </si>
  <si>
    <t>/PrimalChaos/5Armors/1Toxic/Cloth/PrimalItemArmor_ClothHelmet_Toxic.PrimalItemArmor_ClothHelmet_Toxic</t>
  </si>
  <si>
    <t>Toxic Cloth Pants</t>
  </si>
  <si>
    <t>PrimalItemArmor_ClothPants_Toxic_C</t>
  </si>
  <si>
    <t>/PrimalChaos/5Armors/1Toxic/PrimalItemArmor_ClothPants_Toxic.PrimalItemArmor_ClothPants_Toxic</t>
  </si>
  <si>
    <t>Toxic Cloth Shirt</t>
  </si>
  <si>
    <t>PrimalItemArmor_ClothShirt_Toxic_C</t>
  </si>
  <si>
    <t>/PrimalChaos/5Armors/1Toxic/Cloth/PrimalItemArmor_ClothShirt_Toxic.PrimalItemArmor_ClothShirt_Toxic</t>
  </si>
  <si>
    <t>Toxic Hide Boots</t>
  </si>
  <si>
    <t>PrimalItemArmor_HideBoots_Toxic_C</t>
  </si>
  <si>
    <t>/PrimalChaos/5Armors/1Toxic/Hide/PrimalItemArmor_HideBoots_Toxic.PrimalItemArmor_HideBoots_Toxic</t>
  </si>
  <si>
    <t>Toxic Hide Gloves</t>
  </si>
  <si>
    <t>PrimalItemArmor_HideGloves_Toxic_C</t>
  </si>
  <si>
    <t>/PrimalChaos/5Armors/1Toxic/Hide/PrimalItemArmor_HideGloves_Toxic.PrimalItemArmor_HideGloves_Toxic</t>
  </si>
  <si>
    <t>Toxic Hide Helmet</t>
  </si>
  <si>
    <t>PrimalItemArmor_HideHelmet_Toxic_C</t>
  </si>
  <si>
    <t>/PrimalChaos/5Armors/1Toxic/Hide/PrimalItemArmor_HideHelmet_Toxic.PrimalItemArmor_HideHelmet_Toxic</t>
  </si>
  <si>
    <t>Toxic Hide Pants</t>
  </si>
  <si>
    <t>PrimalItemArmor_HidePants_Toxic_C</t>
  </si>
  <si>
    <t>/PrimalChaos/5Armors/1Toxic/Hide/PrimalItemArmor_HidePants_Toxic.PrimalItemArmor_HidePants_Toxic</t>
  </si>
  <si>
    <t>Toxic Hide Shirt</t>
  </si>
  <si>
    <t>PrimalItemArmor_HideShirt_Toxic_C</t>
  </si>
  <si>
    <t>/PrimalChaos/5Armors/1Toxic/Hide/PrimalItemArmor_HideShirt_Toxic.PrimalItemArmor_HideShirt_Toxic</t>
  </si>
  <si>
    <t>DeathKnight Boots</t>
  </si>
  <si>
    <t>PrimalItemArmor_Deathknight_Boots_C</t>
  </si>
  <si>
    <t>/PrimalChaos/5Armors/6Nightmare/Boots/PrimalItemArmor_Deathknight_Boots.PrimalItemArmor_Deathknight_Boots</t>
  </si>
  <si>
    <t>DeathKnight Chest</t>
  </si>
  <si>
    <t>PrimalItemArmor_Deathknight_Chest_C</t>
  </si>
  <si>
    <t>/PrimalChaos/5Armors/6Nightmare/Chest/PrimalItemArmor_Deathknight_Chest.PrimalItemArmor_Deathknight_Chest</t>
  </si>
  <si>
    <t>DeathKnight Gloves</t>
  </si>
  <si>
    <t>PrimalItemArmor_Deathknight_Gloves_C</t>
  </si>
  <si>
    <t>/PrimalChaos/5Armors/6Nightmare/gloves/PrimalItemArmor_Deathknight_Gloves.PrimalItemArmor_Deathknight_Gloves</t>
  </si>
  <si>
    <t>DeathKnight Helmet</t>
  </si>
  <si>
    <t>PrimalItemArmor_Deathknight_Helmet_C</t>
  </si>
  <si>
    <t>/PrimalChaos/5Armors/6Nightmare/Helmet/PrimalItemArmor_Deathknight_Helmet.PrimalItemArmor_Deathknight_Helmet</t>
  </si>
  <si>
    <t>DeathKnight Pants</t>
  </si>
  <si>
    <t>PrimalItemArmor_Deathknight_Pants_C</t>
  </si>
  <si>
    <t>/PrimalChaos/5Armors/6Nightmare/Pants/PrimalItemArmor_Deathknight_Pants.PrimalItemArmor_Deathknight_Pants</t>
  </si>
  <si>
    <t>Legendary Riot Boots</t>
  </si>
  <si>
    <t>PrimalItemArmor_RiotBoots_Legend_C</t>
  </si>
  <si>
    <t>/PrimalChaos/5Armors/5LegendAndMythic/Legendary/Boots/PrimalItemArmor_RiotBoots_Legend.PrimalItemArmor_RiotBoots_Legend</t>
  </si>
  <si>
    <t>Legendary Riot Gloves</t>
  </si>
  <si>
    <t>PrimalItemArmor_RiotGloves_Legend_C</t>
  </si>
  <si>
    <t>/PrimalChaos/5Armors/5LegendAndMythic/Legendary/gloves/PrimalItemArmor_RiotGloves_Legend.PrimalItemArmor_RiotGloves_Legend</t>
  </si>
  <si>
    <t>Legendary Riot Helmet</t>
  </si>
  <si>
    <t>PrimalItemArmor_RiotHelmet_Legend_C</t>
  </si>
  <si>
    <t>/PrimalChaos/5Armors/5LegendAndMythic/Legendary/Helmet/PrimalItemArmor_RiotHelmet_Legend.PrimalItemArmor_RiotHelmet_Legend</t>
  </si>
  <si>
    <t>Legendary Riot Pants</t>
  </si>
  <si>
    <t>PrimalItemArmor_RiotPants_Legend_C</t>
  </si>
  <si>
    <t>/PrimalChaos/5Armors/5LegendAndMythic/Legendary/Pants/PrimalItemArmor_RiotPants_Legend.PrimalItemArmor_RiotPants_Legend</t>
  </si>
  <si>
    <t>Legendary Riot Shirt</t>
  </si>
  <si>
    <t>PrimalItemArmor_RiotShirt_Legend_C</t>
  </si>
  <si>
    <t>/PrimalChaos/5Armors/5LegendAndMythic/Legendary/Chest/PrimalItemArmor_RiotShirt_Legend.PrimalItemArmor_RiotShirt_Legend</t>
  </si>
  <si>
    <t>Mythic Boots</t>
  </si>
  <si>
    <t>PrimalItemArmor_MetalBoots_Mythic_C</t>
  </si>
  <si>
    <t>/PrimalChaos/5Armors/5LegendAndMythic/Mythic/Boots/PrimalItemArmor_MetalBoots_Mythic.PrimalItemArmor_MetalBoots_Mythic</t>
  </si>
  <si>
    <t>Mythic Gloves</t>
  </si>
  <si>
    <t>PrimalItemArmor_MetalGloves_Mythic_C</t>
  </si>
  <si>
    <t>/PrimalChaos/5Armors/5LegendAndMythic/Mythic/Gloves/PrimalItemArmor_MetalGloves_Mythic.PrimalItemArmor_MetalGloves_Mythic</t>
  </si>
  <si>
    <t>Mythic Helmet</t>
  </si>
  <si>
    <t>PrimalItemArmor_MetalHelmet_Mythic_C</t>
  </si>
  <si>
    <t>/PrimalChaos/5Armors/5LegendAndMythic/Mythic/Helmet/PrimalItemArmor_MetalHelmet_Mythic.PrimalItemArmor_MetalHelmet_Mythic</t>
  </si>
  <si>
    <t>Mythic Pants</t>
  </si>
  <si>
    <t>PrimalItemArmor_MetalPants_Mythic_C</t>
  </si>
  <si>
    <t>/PrimalChaos/5Armors/5LegendAndMythic/Mythic/Pants/PrimalItemArmor_MetalPants_Mythic.PrimalItemArmor_MetalPants_Mythic</t>
  </si>
  <si>
    <t>Mythic Shirt</t>
  </si>
  <si>
    <t>PrimalItemArmor_MetalShirt_Mythic_C</t>
  </si>
  <si>
    <t>/PrimalChaos/5Armors/5LegendAndMythic/Mythic/Chest/PrimalItemArmor_MetalShirt_Mythic.PrimalItemArmor_MetalShirt_Mythic</t>
  </si>
  <si>
    <t>Volcanic Boots</t>
  </si>
  <si>
    <t>PrimalItemArmor_MetalBoots_Volcanic_C</t>
  </si>
  <si>
    <t>/PrimalChaos/5Armors/3Elemental/PrimalItemArmor_MetalBoots_Volcanic.PrimalItemArmor_MetalBoots_Volcanic</t>
  </si>
  <si>
    <t>Volcanic Gloves</t>
  </si>
  <si>
    <t>PrimalItemArmor_MetalGloves_Volcanic_C</t>
  </si>
  <si>
    <t>/PrimalChaos/5Armors/3Elemental/PrimalItemArmor_MetalGloves_Volcanic.PrimalItemArmor_MetalGloves_Volcanic</t>
  </si>
  <si>
    <t>Volcanic Helmet</t>
  </si>
  <si>
    <t>PrimalItemArmor_MetalHelmet_Volcanic_C</t>
  </si>
  <si>
    <t>/PrimalChaos/5Armors/3Elemental/PrimalItemArmor_MetalHelmet_Volcanic.PrimalItemArmor_MetalHelmet_Volcanic</t>
  </si>
  <si>
    <t>Volcanic Pants</t>
  </si>
  <si>
    <t>PrimalItemArmor_MetalPants_Volcanic_C</t>
  </si>
  <si>
    <t>/PrimalChaos/5Armors/3Elemental/PrimalItemArmor_MetalPants_Volcanic.PrimalItemArmor_MetalPants_Volcanic</t>
  </si>
  <si>
    <t>Volcanic Shirt</t>
  </si>
  <si>
    <t>PrimalItemArmor_MetalShirt_Volcanic_C</t>
  </si>
  <si>
    <t>/PrimalChaos/5Armors/3Elemental/PrimalItemArmor_MetalShirt_Volcanic.PrimalItemArmor_MetalShirt_Volcanic</t>
  </si>
  <si>
    <t>Saddles</t>
  </si>
  <si>
    <t>Achatina Alpha</t>
  </si>
  <si>
    <t>PrimalItemSaddle_Achatina_Alpha_C</t>
  </si>
  <si>
    <t>/PrimalChaos/3Items/Saddles/2Alpha/Achatina/PrimalItemSaddle_Achatina_Alpha.PrimalItemSaddle_Achatina_Alpha</t>
  </si>
  <si>
    <t>Achatina Toxic</t>
  </si>
  <si>
    <t>PrimalItemSaddle_Achatina_Toxic_C</t>
  </si>
  <si>
    <t>/PrimalChaos/3Items/Saddles/1Toxic/Achatina/PrimalItemSaddle_Achatina_Toxic.PrimalItemSaddle_Achatina_Toxic</t>
  </si>
  <si>
    <t>Allo Saddle Alpha</t>
  </si>
  <si>
    <t>PrimalItemArmor_AlloSaddle_Alpha_C</t>
  </si>
  <si>
    <t>/PrimalChaos/3Items/Saddles/2Alpha/Allo/PrimalItemArmor_AlloSaddle_Alpha.PrimalItemArmor_AlloSaddle_Alpha</t>
  </si>
  <si>
    <t>Allo Saddle Electric</t>
  </si>
  <si>
    <t>PrimalItemArmor_AlloSaddle_Electric_C</t>
  </si>
  <si>
    <t>/PrimalChaos/3Items/Saddles/3Elemental/Electric/Allo/PrimalItemArmor_AlloSaddle_Electric.PrimalItemArmor_AlloSaddle_Electric</t>
  </si>
  <si>
    <t>Allo Saddle Hydro</t>
  </si>
  <si>
    <t>PrimalItemArmor_AlloSaddle_Hydro_C</t>
  </si>
  <si>
    <t>/PrimalChaos/3Items/Saddles/3Elemental/Hydro/Allo/PrimalItemArmor_AlloSaddle_Hydro.PrimalItemArmor_AlloSaddle_Hydro</t>
  </si>
  <si>
    <t>Allo Saddle Legendary</t>
  </si>
  <si>
    <t>PrimalItemArmor_AlloSaddle_Legendary_C</t>
  </si>
  <si>
    <t>/PrimalChaos/3Items/Saddles/5Legendary_Mythic_Omega_Fabled/Legendary/Allo/PrimalItemArmor_AlloSaddle_Legendary.PrimalItemArmor_AlloSaddle_Legendary</t>
  </si>
  <si>
    <t>Allo Saddle Toxic</t>
  </si>
  <si>
    <t>PrimalItemArmor_AlloSaddle_Toxic_C</t>
  </si>
  <si>
    <t>/PrimalChaos/3Items/Saddles/1Toxic/Allo/PrimalItemArmor_AlloSaddle_Toxic.PrimalItemArmor_AlloSaddle_Toxic</t>
  </si>
  <si>
    <t>Allo Saddle Volcanic</t>
  </si>
  <si>
    <t>PrimalItemArmor_AlloSaddle_Volcanic_C</t>
  </si>
  <si>
    <t>/PrimalChaos/3Items/Saddles/3Elemental/Volcanic/Allo/PrimalItemArmor_AlloSaddle_Volcanic.PrimalItemArmor_AlloSaddle_Volcanic</t>
  </si>
  <si>
    <t>Ankylo Saddle Alpha</t>
  </si>
  <si>
    <t>PrimalItemArmor_AnkyloSaddle_Alpha_C</t>
  </si>
  <si>
    <t>/PrimalChaos/3Items/Saddles/2Alpha/Ankylosaurus/PrimalItemArmor_AnkyloSaddle_Alpha.PrimalItemArmor_AnkyloSaddle_Alpha</t>
  </si>
  <si>
    <t>Ankylo Saddle Mythic</t>
  </si>
  <si>
    <t>PrimalItemArmor_AnkyloSaddle_Mythic_C</t>
  </si>
  <si>
    <t>/PrimalChaos/3Items/Saddles/5Legendary_Mythic_Omega_Fabled/Mythic/Ankylosaurus/PrimalItemArmor_AnkyloSaddle_Mythic.PrimalItemArmor_AnkyloSaddle_Mythic</t>
  </si>
  <si>
    <t>Ankylo Saddle Toxic</t>
  </si>
  <si>
    <t>PrimalItemArmor_AnkyloSaddle_Toxic_C</t>
  </si>
  <si>
    <t>/PrimalChaos/3Items/Saddles/1Toxic/Ankylosaurus/PrimalItemArmor_AnkyloSaddle_Toxic.PrimalItemArmor_AnkyloSaddle_Toxic</t>
  </si>
  <si>
    <t>Ant Alpha</t>
  </si>
  <si>
    <t>PrimalItemSaddle_Ant_Alpha_C</t>
  </si>
  <si>
    <t>/PrimalChaos/3Items/Saddles/2Alpha/Ant/PrimalItemSaddle_Ant_Alpha.PrimalItemSaddle_Ant_Alpha</t>
  </si>
  <si>
    <t>Ant Toxic</t>
  </si>
  <si>
    <t>PrimalItemSaddle_Ant_Toxic_C</t>
  </si>
  <si>
    <t>/PrimalChaos/3Items/Saddles/1Toxic/Ant/PrimalItemSaddle_Ant_Toxic.PrimalItemSaddle_Ant_Toxic</t>
  </si>
  <si>
    <t>Archaeopteryx Alpha</t>
  </si>
  <si>
    <t>PrimalItemSaddle_Archaeopteryx_Alpha_C</t>
  </si>
  <si>
    <t>/PrimalChaos/3Items/Saddles/2Alpha/Archaeopteryx/PrimalItemSaddle_Archaeopteryx_Alpha.PrimalItemSaddle_Archaeopteryx_Alpha</t>
  </si>
  <si>
    <t>Archaeopteryx Toxic</t>
  </si>
  <si>
    <t>PrimalItemSaddle_Archaeopteryx_Toxic_C</t>
  </si>
  <si>
    <t>/PrimalChaos/3Items/Saddles/1Toxic/Archaeopteryx/PrimalItemSaddle_Archaeopteryx_Toxic.PrimalItemSaddle_Archaeopteryx_Toxic</t>
  </si>
  <si>
    <t>Argentavis Saddle Alpha</t>
  </si>
  <si>
    <t>PrimalItemArmor_ArgentavisSaddle_Alpha_C</t>
  </si>
  <si>
    <t>/PrimalChaos/3Items/Saddles/2Alpha/Argentavis/PrimalItemArmor_ArgentavisSaddle_Alpha.PrimalItemArmor_ArgentavisSaddle_Alpha</t>
  </si>
  <si>
    <t>Argentavis Saddle Angelic</t>
  </si>
  <si>
    <t>PrimalItemArmor_ArgentavisSaddle_Angelic_C</t>
  </si>
  <si>
    <t>/PrimalChaos/3Items/Saddles/DemonicAndAngelic/Angelic/Argent/PrimalItemArmor_ArgentavisSaddle_Angelic.PrimalItemArmor_ArgentavisSaddle_Angelic</t>
  </si>
  <si>
    <t>Argentavis Saddle Electric</t>
  </si>
  <si>
    <t>PrimalItemArmor_ArgentavisSaddle_Electric_C</t>
  </si>
  <si>
    <t>/PrimalChaos/3Items/Saddles/3Elemental/Electric/Argentavis/PrimalItemArmor_ArgentavisSaddle_Electric.PrimalItemArmor_ArgentavisSaddle_Electric</t>
  </si>
  <si>
    <t>Argentavis Saddle Fairy</t>
  </si>
  <si>
    <t>PrimalItemArmor_ArgentavisSaddle_Fairy_C</t>
  </si>
  <si>
    <t>/PrimalChaos/3Items/Saddles/4ADVElement/Fairy/Argentavis/PrimalItemArmor_ArgentavisSaddle_Fairy.PrimalItemArmor_ArgentavisSaddle_Fairy</t>
  </si>
  <si>
    <t>Argentavis Saddle Mythic</t>
  </si>
  <si>
    <t>PrimalItemArmor_ArgentavisSaddle_Mythic_C</t>
  </si>
  <si>
    <t>/PrimalChaos/3Items/Saddles/5Legendary_Mythic_Omega_Fabled/Mythic/Argentavis/PrimalItemArmor_ArgentavisSaddle_Mythic.PrimalItemArmor_ArgentavisSaddle_Mythic</t>
  </si>
  <si>
    <t>Argentavis Saddle Toxic</t>
  </si>
  <si>
    <t>PrimalItemArmor_ArgentavisSaddle_Toxic_C</t>
  </si>
  <si>
    <t>/PrimalChaos/3Items/Saddles/1Toxic/Argentavis/PrimalItemArmor_ArgentavisSaddle_Toxic.PrimalItemArmor_ArgentavisSaddle_Toxic</t>
  </si>
  <si>
    <t>Argentavis Saddle Origin</t>
  </si>
  <si>
    <t>PrimalItemArmor_ArgentavisSaddle_Origin_C</t>
  </si>
  <si>
    <t>/PrimalChaos/Content/3Items/Saddles/Origins/Argentavis/PrimalItemArmor_ArgentavisSaddle_Origin</t>
  </si>
  <si>
    <t>Arthro Saddle Alpha</t>
  </si>
  <si>
    <t>PrimalItemArmor_ArthroSaddle_Alpha_C</t>
  </si>
  <si>
    <t>/PrimalChaos/3Items/Saddles/2Alpha/Arthropluera/PrimalItemArmor_ArthroSaddle_Alpha.PrimalItemArmor_ArthroSaddle_Alpha</t>
  </si>
  <si>
    <t>Arthro Saddle Shadow</t>
  </si>
  <si>
    <t>PrimalItemArmor_ArthroSaddle_Shadow_C</t>
  </si>
  <si>
    <t>/PrimalChaos/3Items/Saddles/4ADVElement/Shadow/Arthro/PrimalItemArmor_ArthroSaddle_Shadow.PrimalItemArmor_ArthroSaddle_Shadow</t>
  </si>
  <si>
    <t>Arthro Saddle Toxic</t>
  </si>
  <si>
    <t>PrimalItemArmor_ArthroSaddle_Toxic_C</t>
  </si>
  <si>
    <t>/PrimalChaos/3Items/Saddles/1Toxic/Arthropluera/PrimalItemArmor_ArthroSaddle_Toxic.PrimalItemArmor_ArthroSaddle_Toxic</t>
  </si>
  <si>
    <t>Baryonyx Saddle Alpha</t>
  </si>
  <si>
    <t>PrimalItemArmor_BaryonyxSaddle_Alpha_C</t>
  </si>
  <si>
    <t>/PrimalChaos/3Items/Saddles/2Alpha/Baryonyx/PrimalItemArmor_BaryonyxSaddle_Alpha.PrimalItemArmor_BaryonyxSaddle_Alpha</t>
  </si>
  <si>
    <t>Baryonyx Saddle Hydro</t>
  </si>
  <si>
    <t>PrimalItemArmor_BaryonyxSaddle_Hydro_C</t>
  </si>
  <si>
    <t>/PrimalChaos/3Items/Saddles/3Elemental/Hydro/Baryonyx/PrimalItemArmor_BaryonyxSaddle_Hydro.PrimalItemArmor_BaryonyxSaddle_Hydro</t>
  </si>
  <si>
    <t>Baryonyx Saddle Legendary</t>
  </si>
  <si>
    <t>PrimalItemArmor_BaryonyxSaddle_Legendary_C</t>
  </si>
  <si>
    <t>/PrimalChaos/3Items/Saddles/5Legendary_Mythic_Omega_Fabled/Legendary/Baryonyx/PrimalItemArmor_BaryonyxSaddle_Legendary.PrimalItemArmor_BaryonyxSaddle_Legendary</t>
  </si>
  <si>
    <t>Baryonyx Saddle Toxic</t>
  </si>
  <si>
    <t>PrimalItemArmor_BaryonyxSaddle_Toxic_C</t>
  </si>
  <si>
    <t>/PrimalChaos/3Items/Saddles/1Toxic/Baryonyx/PrimalItemArmor_BaryonyxSaddle_Toxic.PrimalItemArmor_BaryonyxSaddle_Toxic</t>
  </si>
  <si>
    <t>Beaver Saddle Alpha</t>
  </si>
  <si>
    <t>PrimalItemArmor_BeaverSaddle_Alpha_C</t>
  </si>
  <si>
    <t>/PrimalChaos/3Items/Saddles/2Alpha/Castoroides/PrimalItemArmor_BeaverSaddle_Alpha.PrimalItemArmor_BeaverSaddle_Alpha</t>
  </si>
  <si>
    <t>Beaver Saddle Hydro</t>
  </si>
  <si>
    <t>PrimalItemArmor_BeaverSaddle_Hydro_C</t>
  </si>
  <si>
    <t>/PrimalChaos/3Items/Saddles/3Elemental/Hydro/Castoroides/PrimalItemArmor_BeaverSaddle_Hydro.PrimalItemArmor_BeaverSaddle_Hydro</t>
  </si>
  <si>
    <t>Beaver Saddle Mythic</t>
  </si>
  <si>
    <t>PrimalItemArmor_BeaverSaddle_Mythic_C</t>
  </si>
  <si>
    <t>/PrimalChaos/3Items/Saddles/5Legendary_Mythic_Omega_Fabled/Mythic/Castoroides/PrimalItemArmor_BeaverSaddle_Mythic.PrimalItemArmor_BeaverSaddle_Mythic</t>
  </si>
  <si>
    <t>Beaver Saddle Toxic</t>
  </si>
  <si>
    <t>PrimalItemArmor_BeaverSaddle_Toxic_C</t>
  </si>
  <si>
    <t>/PrimalChaos/3Items/Saddles/1Toxic/Castoroides/PrimalItemArmor_BeaverSaddle_Toxic.PrimalItemArmor_BeaverSaddle_Toxic</t>
  </si>
  <si>
    <t>Bigfoot Alpha</t>
  </si>
  <si>
    <t>PrimalItemSaddle_Bigfoot_Alpha_C</t>
  </si>
  <si>
    <t>/PrimalChaos/3Items/Saddles/2Alpha/Gigantopithecus/PrimalItemSaddle_Bigfoot_Alpha.PrimalItemSaddle_Bigfoot_Alpha</t>
  </si>
  <si>
    <t>Bigfoot Mythic</t>
  </si>
  <si>
    <t>PrimalItemSaddle_Bigfoot_Mythic_C</t>
  </si>
  <si>
    <t>/PrimalChaos/3Items/Saddles/5Legendary_Mythic_Omega_Fabled/Mythic/Gigantopithecus/PrimalItemSaddle_Bigfoot_Mythic.PrimalItemSaddle_Bigfoot_Mythic</t>
  </si>
  <si>
    <t>Bigfoot Toxic</t>
  </si>
  <si>
    <t>PrimalItemSaddle_Bigfoot_Toxic_C</t>
  </si>
  <si>
    <t>/PrimalChaos/3Items/Saddles/1Toxic/Gigantopithecus/PrimalItemSaddle_Bigfoot_Toxic.PrimalItemSaddle_Bigfoot_Toxic</t>
  </si>
  <si>
    <t>Broodmother Shadow</t>
  </si>
  <si>
    <t>PrimalItemSaddle_Broodmother_Shadow_C</t>
  </si>
  <si>
    <t>/PrimalChaos/3Items/Saddles/4ADVElement/Shadow/Broodmother/PrimalItemSaddle_Broodmother_Shadow.PrimalItemSaddle_Broodmother_Shadow</t>
  </si>
  <si>
    <t>Carno Saddle</t>
  </si>
  <si>
    <t>PrimalItemArmor_CarnoSaddle_C</t>
  </si>
  <si>
    <t>/PrimalChaos/3Items/Saddles/SpiritAndChaos/Spirit/Carno/PrimalItemArmor_CarnoSaddle.PrimalItemArmor_CarnoSaddle</t>
  </si>
  <si>
    <t>Carno Saddle Alpha</t>
  </si>
  <si>
    <t>PrimalItemArmor_CarnoSaddle_Alpha_C</t>
  </si>
  <si>
    <t>/PrimalChaos/3Items/Saddles/2Alpha/Carno/PrimalItemArmor_CarnoSaddle_Alpha.PrimalItemArmor_CarnoSaddle_Alpha</t>
  </si>
  <si>
    <t>Carno Saddle Legendary</t>
  </si>
  <si>
    <t>PrimalItemArmor_CarnoSaddle__Legendary_C</t>
  </si>
  <si>
    <t>/PrimalChaos/3Items/Saddles/5Legendary_Mythic_Omega_Fabled/Legendary/Carno/PrimalItemArmor_CarnoSaddle__Legendary.PrimalItemArmor_CarnoSaddle__Legendary</t>
  </si>
  <si>
    <t>Carno Saddle Toxic</t>
  </si>
  <si>
    <t>PrimalItemArmor_CarnoSaddle_Toxic_C</t>
  </si>
  <si>
    <t>/PrimalChaos/3Items/Saddles/1Toxic/Carno/PrimalItemArmor_CarnoSaddle_Toxic.PrimalItemArmor_CarnoSaddle_Toxic</t>
  </si>
  <si>
    <t>Carno Saddle Origin</t>
  </si>
  <si>
    <t>PrimalItemArmor_CarnoSaddle_Origin_C</t>
  </si>
  <si>
    <t>/PrimalChaos/Content/3Items/Saddles/Origins/Carno/PrimalItemArmor_CarnoSaddle_Origin.</t>
  </si>
  <si>
    <t>Chalico Saddle Alpha</t>
  </si>
  <si>
    <t>PrimalItemArmor_ChalicoSaddle_Alpha_C</t>
  </si>
  <si>
    <t>/PrimalChaos/3Items/Saddles/2Alpha/Chalicotherium/PrimalItemArmor_ChalicoSaddle_Alpha.PrimalItemArmor_ChalicoSaddle_Alpha</t>
  </si>
  <si>
    <t>Chalico Saddle Toxic</t>
  </si>
  <si>
    <t>PrimalItemArmor_ChalicoSaddle_Toxic_C</t>
  </si>
  <si>
    <t>/PrimalChaos/3Items/Saddles/1Toxic/Chalicotherium/PrimalItemArmor_ChalicoSaddle_Toxic.PrimalItemArmor_ChalicoSaddle_Toxic</t>
  </si>
  <si>
    <t>Compy Alpha</t>
  </si>
  <si>
    <t>PrimalItemSaddle_Compy_Alpha_C</t>
  </si>
  <si>
    <t>/PrimalChaos/3Items/Saddles/2Alpha/Compy/PrimalItemSaddle_Compy_Alpha.PrimalItemSaddle_Compy_Alpha</t>
  </si>
  <si>
    <t>Compy Toxic</t>
  </si>
  <si>
    <t>PrimalItemSaddle_Compy_Toxic_C</t>
  </si>
  <si>
    <t>/PrimalChaos/3Items/Saddles/1Toxic/Compy/PrimalItemSaddle_Compy_Toxic.PrimalItemSaddle_Compy_Toxic</t>
  </si>
  <si>
    <t>Daeodon Saddle Alpha</t>
  </si>
  <si>
    <t>PrimalItemArmor_DaeodonSaddle_Alpha_C</t>
  </si>
  <si>
    <t>/PrimalChaos/3Items/Saddles/2Alpha/Daeodon/PrimalItemArmor_DaeodonSaddle_Alpha.PrimalItemArmor_DaeodonSaddle_Alpha</t>
  </si>
  <si>
    <t>Daeodon Saddle Toxic</t>
  </si>
  <si>
    <t>PrimalItemArmor_DaeodonSaddle_Toxic_C</t>
  </si>
  <si>
    <t>/PrimalChaos/3Items/Saddles/1Toxic/Daeodon/PrimalItemArmor_DaeodonSaddle_Toxic.PrimalItemArmor_DaeodonSaddle_Toxic</t>
  </si>
  <si>
    <t>PrimalItemSaddle_DeathKnight_C</t>
  </si>
  <si>
    <t>/PrimalChaos/3Items/Saddles/Deathknight/PrimalItemSaddle_DeathKnight.PrimalItemSaddle_DeathKnight</t>
  </si>
  <si>
    <t>Deathworm Volcanic</t>
  </si>
  <si>
    <t>PrimalItemSaddle_Deathworm_Volcanic_C</t>
  </si>
  <si>
    <t>/PrimalChaos/3Items/Saddles/3Elemental/Volcanic/Deathworm/PrimalItemSaddle_Deathworm_Volcanic.PrimalItemSaddle_Deathworm_Volcanic</t>
  </si>
  <si>
    <t>Demonic Boss (Skorvax) DemonKing Saddle</t>
  </si>
  <si>
    <t>PrimalItemSaddle_DemonKing_C</t>
  </si>
  <si>
    <t>/PrimalChaos/Content/3Items/Saddles/DemonKing/PrimalItemSaddle_DemonKing</t>
  </si>
  <si>
    <t>PrimalItemSaddle_DemonicDilo_C</t>
  </si>
  <si>
    <t>/PrimalChaos/3Items/Saddles/DemonicAndAngelic/Demonic/Dilo/PrimalItemSaddle_DemonicDilo.PrimalItemSaddle_DemonicDilo</t>
  </si>
  <si>
    <t>Demonic Dilo Quality</t>
  </si>
  <si>
    <t>PrimalItemSaddle_DemonicDilo_Quality_C</t>
  </si>
  <si>
    <t>/PrimalChaos/3Items/Saddles/DemonicAndAngelic/Demonic/0SpecialQuality/PrimalItemSaddle_DemonicDilo_Quality.PrimalItemSaddle_DemonicDilo_Quality</t>
  </si>
  <si>
    <t>PrimalItemSaddle_DemonicFerox_C</t>
  </si>
  <si>
    <t>/PrimalChaos/3Items/Saddles/DemonicAndAngelic/Demonic/Ferox/PrimalItemSaddle_DemonicFerox.PrimalItemSaddle_DemonicFerox</t>
  </si>
  <si>
    <t>Demonic Ferox Quality</t>
  </si>
  <si>
    <t>PrimalItemSaddle_DemonicFerox_Quality_C</t>
  </si>
  <si>
    <t>/PrimalChaos/3Items/Saddles/DemonicAndAngelic/Demonic/0SpecialQuality/PrimalItemSaddle_DemonicFerox_Quality.PrimalItemSaddle_DemonicFerox_Quality</t>
  </si>
  <si>
    <t>PrimalItemSaddle_DemonicGorilla_C</t>
  </si>
  <si>
    <t>/PrimalChaos/3Items/Saddles/DemonicAndAngelic/Demonic/Gorilla/PrimalItemSaddle_DemonicGorilla.PrimalItemSaddle_DemonicGorilla</t>
  </si>
  <si>
    <t>Demonic Gorilla Quality</t>
  </si>
  <si>
    <t>PrimalItemSaddle_DemonicGorilla_Quality_C</t>
  </si>
  <si>
    <t>/PrimalChaos/3Items/Saddles/DemonicAndAngelic/Demonic/0SpecialQuality/PrimalItemSaddle_DemonicGorilla_Quality.PrimalItemSaddle_DemonicGorilla_Quality</t>
  </si>
  <si>
    <t>PrimalItemSaddle_DemonicReaper_C</t>
  </si>
  <si>
    <t>/PrimalChaos/3Items/Saddles/DemonicAndAngelic/Demonic/Reaper/PrimalItemSaddle_DemonicReaper.PrimalItemSaddle_DemonicReaper</t>
  </si>
  <si>
    <t>Demonic Reaper Quality</t>
  </si>
  <si>
    <t>PrimalItemSaddle_DemonicReaper_Quality_C</t>
  </si>
  <si>
    <t>/PrimalChaos/3Items/Saddles/DemonicAndAngelic/Demonic/0SpecialQuality/PrimalItemSaddle_DemonicReaper_Quality.PrimalItemSaddle_DemonicReaper_Quality</t>
  </si>
  <si>
    <t>PrimalItemSaddle_Shinehorn_Demonic_C</t>
  </si>
  <si>
    <t>/PrimalChaos/Content/3Items/Saddles/DemonicAndAngelic/Demonic/Shinehorn/PrimalItemSaddle_Shinehorn_Demonic</t>
  </si>
  <si>
    <t>Demonic Spiney Lizard Saddle</t>
  </si>
  <si>
    <t>PrimalItemArmor_DemonicSpineyLizardSaddle_C</t>
  </si>
  <si>
    <t>/PrimalChaos/3Items/Saddles/DemonicAndAngelic/Demonic/Thorny/PrimalItemArmor_DemonicSpineyLizardSaddle.PrimalItemArmor_DemonicSpineyLizardSaddle</t>
  </si>
  <si>
    <t>Demonic Spiney Lizard Saddle Quality</t>
  </si>
  <si>
    <t>PrimalItemArmor_DemonicSpineyLizardSaddle_Quality_C</t>
  </si>
  <si>
    <t>/PrimalChaos/3Items/Saddles/DemonicAndAngelic/Demonic/0SpecialQuality/PrimalItemArmor_DemonicSpineyLizardSaddle_Quality.PrimalItemArmor_DemonicSpineyLizardSaddle_Quality</t>
  </si>
  <si>
    <t>Dilo Alpha</t>
  </si>
  <si>
    <t>PrimalItemSaddle_Dilo_Alpha_C</t>
  </si>
  <si>
    <t>/PrimalChaos/3Items/Saddles/2Alpha/Dilo/PrimalItemSaddle_Dilo_Alpha.PrimalItemSaddle_Dilo_Alpha</t>
  </si>
  <si>
    <t>Dilo Legendary</t>
  </si>
  <si>
    <t>PrimalItemSaddle_Dilo_Legendary_C</t>
  </si>
  <si>
    <t>/PrimalChaos/3Items/Saddles/5Legendary_Mythic_Omega_Fabled/Legendary/Dilo/PrimalItemSaddle_Dilo_Legendary.PrimalItemSaddle_Dilo_Legendary</t>
  </si>
  <si>
    <t>Dilo Toxic</t>
  </si>
  <si>
    <t>PrimalItemSaddle_Dilo_Toxic_C</t>
  </si>
  <si>
    <t>/PrimalChaos/3Items/Saddles/1Toxic/Dilo/PrimalItemSaddle_Dilo_Toxic.PrimalItemSaddle_Dilo_Toxic</t>
  </si>
  <si>
    <t>Dimetrodon Alpha</t>
  </si>
  <si>
    <t>PrimalItemSaddle_Dimetrodon_Alpha_C</t>
  </si>
  <si>
    <t>/PrimalChaos/3Items/Saddles/2Alpha/Dimetrodon/PrimalItemSaddle_Dimetrodon_Alpha.PrimalItemSaddle_Dimetrodon_Alpha</t>
  </si>
  <si>
    <t>Dimetrodon Toxic</t>
  </si>
  <si>
    <t>PrimalItemSaddle_Dimetrodon_Toxic_C</t>
  </si>
  <si>
    <t>/PrimalChaos/3Items/Saddles/1Toxic/Dimetrodon/PrimalItemSaddle_Dimetrodon_Toxic.PrimalItemSaddle_Dimetrodon_Toxic</t>
  </si>
  <si>
    <t>Dimorphodon Alpha</t>
  </si>
  <si>
    <t>PrimalItemSaddle_Dimorphodon_Alpha_C</t>
  </si>
  <si>
    <t>/PrimalChaos/3Items/Saddles/2Alpha/Dimorphodon/PrimalItemSaddle_Dimorphodon_Alpha.PrimalItemSaddle_Dimorphodon_Alpha</t>
  </si>
  <si>
    <t>Dimorphodon Toxic</t>
  </si>
  <si>
    <t>PrimalItemSaddle_Dimorphodon_Toxic_C</t>
  </si>
  <si>
    <t>/PrimalChaos/3Items/Saddles/1Toxic/Dimorphodon/PrimalItemSaddle_Dimorphodon_Toxic.PrimalItemSaddle_Dimorphodon_Toxic</t>
  </si>
  <si>
    <t>Diplocaulus Hydro</t>
  </si>
  <si>
    <t>PrimalItemSaddle_Diplocaulus_Hydro_C</t>
  </si>
  <si>
    <t>/PrimalChaos/3Items/Saddles/3Elemental/Hydro/Diplocaulus/PrimalItemSaddle_Diplocaulus_Hydro.PrimalItemSaddle_Diplocaulus_Hydro</t>
  </si>
  <si>
    <t>Diplodocus Saddle Alpha</t>
  </si>
  <si>
    <t>PrimalItemArmor_DiplodocusSaddle_Alpha_C</t>
  </si>
  <si>
    <t>/PrimalChaos/3Items/Saddles/2Alpha/Diplodocus/PrimalItemArmor_DiplodocusSaddle_Alpha.PrimalItemArmor_DiplodocusSaddle_Alpha</t>
  </si>
  <si>
    <t>Diplodocus Saddle Toxic</t>
  </si>
  <si>
    <t>PrimalItemArmor_DiplodocusSaddle_Toxic_C</t>
  </si>
  <si>
    <t>/PrimalChaos/3Items/Saddles/1Toxic/Diplodocus/PrimalItemArmor_DiplodocusSaddle_Toxic.PrimalItemArmor_DiplodocusSaddle_Toxic</t>
  </si>
  <si>
    <t>Dire Bear Saddle Alpha</t>
  </si>
  <si>
    <t>PrimalItemArmor_DireBearSaddle_Alpha_C</t>
  </si>
  <si>
    <t>/PrimalChaos/3Items/Saddles/2Alpha/Direbear/PrimalItemArmor_DireBearSaddle_Alpha.PrimalItemArmor_DireBearSaddle_Alpha</t>
  </si>
  <si>
    <t>Dire Bear Saddle Electric</t>
  </si>
  <si>
    <t>PrimalItemArmor_DireBearSaddle_Electric_C</t>
  </si>
  <si>
    <t>/PrimalChaos/3Items/Saddles/3Elemental/Electric/Direbear/PrimalItemArmor_DireBearSaddle_Electric.PrimalItemArmor_DireBearSaddle_Electric</t>
  </si>
  <si>
    <t>Dire Bear Saddle Toxic</t>
  </si>
  <si>
    <t>PrimalItemArmor_DireBearSaddle_Toxic_C</t>
  </si>
  <si>
    <t>/PrimalChaos/3Items/Saddles/1Toxic/Direbear/PrimalItemArmor_DireBearSaddle_Toxic.PrimalItemArmor_DireBearSaddle_Toxic</t>
  </si>
  <si>
    <t>Dire Bear Saddle Origin</t>
  </si>
  <si>
    <t>PrimalItemArmor_DireBearSaddle_Origin_C</t>
  </si>
  <si>
    <t>/PrimalChaos/Content/3Items/Saddles/Origins/Direbear/PrimalItemArmor_DireBearSaddle_Origin</t>
  </si>
  <si>
    <t>Direwolf Alpha</t>
  </si>
  <si>
    <t>PrimalItemSaddle_Direwolf_Alpha_C</t>
  </si>
  <si>
    <t>/PrimalChaos/3Items/Saddles/2Alpha/Direwolf/PrimalItemSaddle_Direwolf_Alpha.PrimalItemSaddle_Direwolf_Alpha</t>
  </si>
  <si>
    <t>Direwolf Angelic</t>
  </si>
  <si>
    <t>PrimalItemSaddle_Direwolf_Angelic_C</t>
  </si>
  <si>
    <t>/PrimalChaos/3Items/Saddles/DemonicAndAngelic/Angelic/DireWolf/PrimalItemSaddle_Direwolf_Angelic.PrimalItemSaddle_Direwolf_Angelic</t>
  </si>
  <si>
    <t>Direwolf Toxic</t>
  </si>
  <si>
    <t>PrimalItemSaddle_Direwolf_Toxic_C</t>
  </si>
  <si>
    <t>/PrimalChaos/3Items/Saddles/1Toxic/Direwolf/PrimalItemSaddle_Direwolf_Toxic.PrimalItemSaddle_Direwolf_Toxic</t>
  </si>
  <si>
    <t>Dodo Alpha</t>
  </si>
  <si>
    <t>PrimalItemSaddle_Dodo_Alpha_C</t>
  </si>
  <si>
    <t>/PrimalChaos/3Items/Saddles/2Alpha/Dodo/PrimalItemSaddle_Dodo_Alpha.PrimalItemSaddle_Dodo_Alpha</t>
  </si>
  <si>
    <t>Dodo Toxic</t>
  </si>
  <si>
    <t>PrimalItemSaddle_Dodo_Toxic_C</t>
  </si>
  <si>
    <t>/PrimalChaos/3Items/Saddles/1Toxic/Dodo/PrimalItemSaddle_Dodo_Toxic.PrimalItemSaddle_Dodo_Toxic</t>
  </si>
  <si>
    <t>DodoReaper Saddle Origin</t>
  </si>
  <si>
    <t>PrimalItemSaddle_DodoReaper_Origin_C</t>
  </si>
  <si>
    <t>/PrimalChaos/Content/3Items/Saddles/Origins/DodoReaper/PrimalItemSaddle_DodoReaper_Origin</t>
  </si>
  <si>
    <t>Dodorex Chaos</t>
  </si>
  <si>
    <t>PrimalItemSaddle_Dodorex_Chaos_C</t>
  </si>
  <si>
    <t>/PrimalChaos/3Items/Saddles/SpiritAndChaos/Chaos/Dodorex/PrimalItemSaddle_Dodorex_Chaos.PrimalItemSaddle_Dodorex_Chaos</t>
  </si>
  <si>
    <t>Dodorex Electric</t>
  </si>
  <si>
    <t>PrimalItemSaddle_Dodorex_Electric_C</t>
  </si>
  <si>
    <t>/PrimalChaos/3Items/Saddles/3Elemental/Electric/Dodorex/PrimalItemSaddle_Dodorex_Electric.PrimalItemSaddle_Dodorex_Electric</t>
  </si>
  <si>
    <t>Dodorex Hydro</t>
  </si>
  <si>
    <t>PrimalItemSaddle_Dodorex_Hydro_C</t>
  </si>
  <si>
    <t>/PrimalChaos/3Items/Saddles/3Elemental/Hydro/Dodorexy/PrimalItemSaddle_Dodorex_Hydro.PrimalItemSaddle_Dodorex_Hydro</t>
  </si>
  <si>
    <t>Dodorex Spirit</t>
  </si>
  <si>
    <t>PrimalItemSaddle_Dodorex_Spirit_C</t>
  </si>
  <si>
    <t>/PrimalChaos/3Items/Saddles/SpiritAndChaos/Spirit/Dodorex/PrimalItemSaddle_Dodorex_Spirit.PrimalItemSaddle_Dodorex_Spirit</t>
  </si>
  <si>
    <t>Dodorexy Volcanic</t>
  </si>
  <si>
    <t>PrimalItemSaddle_Dodorexy_Volcanic_C</t>
  </si>
  <si>
    <t>/PrimalChaos/3Items/Saddles/3Elemental/Volcanic/Dodorexy/PrimalItemSaddle_Dodorexy_Volcanic.PrimalItemSaddle_Dodorexy_Volcanic</t>
  </si>
  <si>
    <t>Doed Saddle Alpha</t>
  </si>
  <si>
    <t>PrimalItemArmor_DoedSaddle_Alpha_C</t>
  </si>
  <si>
    <t>/PrimalChaos/3Items/Saddles/2Alpha/Doedicurus/PrimalItemArmor_DoedSaddle_Alpha.PrimalItemArmor_DoedSaddle_Alpha</t>
  </si>
  <si>
    <t>Doed Saddle Fairy</t>
  </si>
  <si>
    <t>PrimalItemArmor_DoedSaddle_Fairy_C</t>
  </si>
  <si>
    <t>/PrimalChaos/3Items/Saddles/4ADVElement/Fairy/Doedicurus/PrimalItemArmor_DoedSaddle_Fairy.PrimalItemArmor_DoedSaddle_Fairy</t>
  </si>
  <si>
    <t>Doed Saddle Mythic</t>
  </si>
  <si>
    <t>PrimalItemArmor_DoedSaddle_Mythic_C</t>
  </si>
  <si>
    <t>/PrimalChaos/3Items/Saddles/5Legendary_Mythic_Omega_Fabled/Mythic/Doedicurus/PrimalItemArmor_DoedSaddle_Mythic.PrimalItemArmor_DoedSaddle_Mythic</t>
  </si>
  <si>
    <t>Doed Saddle Toxic</t>
  </si>
  <si>
    <t>PrimalItemArmor_DoedSaddle_Toxic_C</t>
  </si>
  <si>
    <t>/PrimalChaos/3Items/Saddles/1Toxic/Doedicurus/PrimalItemArmor_DoedSaddle_Toxic.PrimalItemArmor_DoedSaddle_Toxic</t>
  </si>
  <si>
    <t>Dragon Electric</t>
  </si>
  <si>
    <t>PrimalItemSaddle_Dragon_Electric_C</t>
  </si>
  <si>
    <t>/PrimalChaos/3Items/Saddles/3Elemental/Electric/Dragon/PrimalItemSaddle_Dragon_Electric.PrimalItemSaddle_Dragon_Electric</t>
  </si>
  <si>
    <t>Dragon Volcanic</t>
  </si>
  <si>
    <t>PrimalItemSaddle_Dragon_Volcanic_C</t>
  </si>
  <si>
    <t>/PrimalChaos/3Items/Saddles/3Elemental/Volcanic/Dragon/PrimalItemSaddle_Dragon_Volcanic.PrimalItemSaddle_Dragon_Volcanic</t>
  </si>
  <si>
    <t>Dragonfly Alpha</t>
  </si>
  <si>
    <t>PrimalItemSaddle_Dragonfly_Alpha_C</t>
  </si>
  <si>
    <t>/PrimalChaos/3Items/Saddles/2Alpha/Dragonfly/PrimalItemSaddle_Dragonfly_Alpha.PrimalItemSaddle_Dragonfly_Alpha</t>
  </si>
  <si>
    <t>Dragonfly Toxic</t>
  </si>
  <si>
    <t>PrimalItemSaddle_Dragonfly_Toxic_C</t>
  </si>
  <si>
    <t>/PrimalChaos/3Items/Saddles/1Toxic/Dragonfly/PrimalItemSaddle_Dragonfly_Toxic.PrimalItemSaddle_Dragonfly_Toxic</t>
  </si>
  <si>
    <t>Dungbeetle Alpha</t>
  </si>
  <si>
    <t>PrimalItemSaddle_Dungbeetle_Alpha_C</t>
  </si>
  <si>
    <t>/PrimalChaos/3Items/Saddles/2Alpha/Dungbeetle/PrimalItemSaddle_Dungbeetle_Alpha.PrimalItemSaddle_Dungbeetle_Alpha</t>
  </si>
  <si>
    <t>Dungbeetle Toxic</t>
  </si>
  <si>
    <t>PrimalItemSaddle_Dungbeetle_Toxic_C</t>
  </si>
  <si>
    <t>/PrimalChaos/3Items/Saddles/1Toxic/Dungbeetle/PrimalItemSaddle_Dungbeetle_Toxic.PrimalItemSaddle_Dungbeetle_Toxic</t>
  </si>
  <si>
    <t>Equus Saddle Alpha</t>
  </si>
  <si>
    <t>PrimalItemArmor_EquusSaddle_Alpha_C</t>
  </si>
  <si>
    <t>/PrimalChaos/3Items/Saddles/2Alpha/Equus/PrimalItemArmor_EquusSaddle_Alpha.PrimalItemArmor_EquusSaddle_Alpha</t>
  </si>
  <si>
    <t>Equus Saddle Mythic</t>
  </si>
  <si>
    <t>PrimalItemArmor_EquusSaddle_Mythic_C</t>
  </si>
  <si>
    <t>/PrimalChaos/3Items/Saddles/5Legendary_Mythic_Omega_Fabled/Mythic/Equus/PrimalItemArmor_EquusSaddle_Mythic.PrimalItemArmor_EquusSaddle_Mythic</t>
  </si>
  <si>
    <t>Equus Saddle Toxic</t>
  </si>
  <si>
    <t>PrimalItemArmor_EquusSaddle_Toxic_C</t>
  </si>
  <si>
    <t>/PrimalChaos/3Items/Saddles/1Toxic/Equus/PrimalItemArmor_EquusSaddle_Toxic.PrimalItemArmor_EquusSaddle_Toxic</t>
  </si>
  <si>
    <t>Gallimimus Alpha</t>
  </si>
  <si>
    <t>PrimalItemArmor_Gallimimus_Alpha_C</t>
  </si>
  <si>
    <t>/PrimalChaos/3Items/Saddles/2Alpha/Gallimimus/PrimalItemArmor_Gallimimus_Alpha.PrimalItemArmor_Gallimimus_Alpha</t>
  </si>
  <si>
    <t>Gallimimus Toxic</t>
  </si>
  <si>
    <t>PrimalItemArmor_Gallimimus_Toxic_C</t>
  </si>
  <si>
    <t>/PrimalChaos/3Items/Saddles/1Toxic/Gallimimus/PrimalItemArmor_Gallimimus_Toxic.PrimalItemArmor_Gallimimus_Toxic</t>
  </si>
  <si>
    <t>Gigant Saddle Spirit</t>
  </si>
  <si>
    <t>PrimalItemArmor_GigantSaddle_C</t>
  </si>
  <si>
    <t>/PrimalChaos/3Items/Saddles/SpiritAndChaos/Spirit/Giga/PrimalItemArmor_GigantSaddle.PrimalItemArmor_GigantSaddle</t>
  </si>
  <si>
    <t>Gigant Saddle Alpha</t>
  </si>
  <si>
    <t>PrimalItemArmor_GigantSaddle_Alpha_C</t>
  </si>
  <si>
    <t>/PrimalChaos/3Items/Saddles/2Alpha/Giga/PrimalItemArmor_GigantSaddle_Alpha.PrimalItemArmor_GigantSaddle_Alpha</t>
  </si>
  <si>
    <t>Gigant Saddle Toxic</t>
  </si>
  <si>
    <t>PrimalItemArmor_GigantSaddle_Toxic_C</t>
  </si>
  <si>
    <t>/PrimalChaos/3Items/Saddles/1Toxic/Giga/PrimalItemArmor_GigantSaddle_Toxic.PrimalItemArmor_GigantSaddle_Toxic</t>
  </si>
  <si>
    <t>Gorilla Shadow</t>
  </si>
  <si>
    <t>PrimalItemSaddle_Gorilla_Shadow_C</t>
  </si>
  <si>
    <t>/PrimalChaos/3Items/Saddles/4ADVElement/Shadow/Gorilla/PrimalItemSaddle_Gorilla_Shadow.PrimalItemSaddle_Gorilla_Shadow</t>
  </si>
  <si>
    <t>Griffin Chaos</t>
  </si>
  <si>
    <t>PrimalItemSaddle_Griffin_Chaos_C</t>
  </si>
  <si>
    <t>/PrimalChaos/3Items/Saddles/SpiritAndChaos/Chaos/Griffin/PrimalItemSaddle_Griffin_Chaos.PrimalItemSaddle_Griffin_Chaos</t>
  </si>
  <si>
    <t>Griffin Electric</t>
  </si>
  <si>
    <t>PrimalItemSaddle_Griffin_Electric_C</t>
  </si>
  <si>
    <t>/PrimalChaos/3Items/Saddles/3Elemental/Electric/Griffin/PrimalItemSaddle_Griffin_Electric.PrimalItemSaddle_Griffin_Electric</t>
  </si>
  <si>
    <t>Guardian Electric</t>
  </si>
  <si>
    <t>PrimalItemSaddle_Guardian_Electric_C</t>
  </si>
  <si>
    <t>/PrimalChaos/3Items/Saddles/EleGuardians/Electric/PrimalItemSaddle_Guardian_Electric.PrimalItemSaddle_Guardian_Electric</t>
  </si>
  <si>
    <t>Guardian Hydro</t>
  </si>
  <si>
    <t>PrimalItemSaddle_Guardian_Hydro_C</t>
  </si>
  <si>
    <t>/PrimalChaos/3Items/Saddles/EleGuardians/Hydro/PrimalItemSaddle_Guardian_Hydro.PrimalItemSaddle_Guardian_Hydro</t>
  </si>
  <si>
    <t>Guardian Volcanic</t>
  </si>
  <si>
    <t>PrimalItemSaddle_Guardian_Volcanic_C</t>
  </si>
  <si>
    <t>/PrimalChaos/3Items/Saddles/EleGuardians/Volcanic/PrimalItemSaddle_Guardian_Volcanic.PrimalItemSaddle_Guardian_Volcanic</t>
  </si>
  <si>
    <t>Hesperornis Alpha</t>
  </si>
  <si>
    <t>PrimalItemSaddle_Hesperornis_Alpha_C</t>
  </si>
  <si>
    <t>/PrimalChaos/3Items/Saddles/2Alpha/Hesperornis/PrimalItemSaddle_Hesperornis_Alpha.PrimalItemSaddle_Hesperornis_Alpha</t>
  </si>
  <si>
    <t>Hesperornis Toxic</t>
  </si>
  <si>
    <t>PrimalItemSaddle_Hesperornis_Toxic_C</t>
  </si>
  <si>
    <t>/PrimalChaos/3Items/Saddles/1Toxic/Hesperornis/PrimalItemSaddle_Hesperornis_Toxic.PrimalItemSaddle_Hesperornis_Toxic</t>
  </si>
  <si>
    <t>Hyerna Alpha</t>
  </si>
  <si>
    <t>PrimalItemSaddle_Hyerna_Alpha_C</t>
  </si>
  <si>
    <t>/PrimalChaos/3Items/Saddles/2Alpha/Hyena/PrimalItemSaddle_Hyerna_Alpha.PrimalItemSaddle_Hyerna_Alpha</t>
  </si>
  <si>
    <t>Hyerna Toxic</t>
  </si>
  <si>
    <t>PrimalItemSaddle_Hyerna_Toxic_C</t>
  </si>
  <si>
    <t>/PrimalChaos/3Items/Saddles/1Toxic/Hyena/PrimalItemSaddle_Hyerna_Toxic.PrimalItemSaddle_Hyerna_Toxic</t>
  </si>
  <si>
    <t>Iguanodon Saddle Alpha</t>
  </si>
  <si>
    <t>PrimalItemArmor_IguanodonSaddle_Alpha_C</t>
  </si>
  <si>
    <t>/PrimalChaos/3Items/Saddles/2Alpha/Iguanodon/PrimalItemArmor_IguanodonSaddle_Alpha.PrimalItemArmor_IguanodonSaddle_Alpha</t>
  </si>
  <si>
    <t>Iguanodon Saddle Toxic</t>
  </si>
  <si>
    <t>PrimalItemArmor_IguanodonSaddle_Toxic_C</t>
  </si>
  <si>
    <t>/PrimalChaos/3Items/Saddles/1Toxic/Iguanodon/PrimalItemArmor_IguanodonSaddle_Toxic.PrimalItemArmor_IguanodonSaddle_Toxic</t>
  </si>
  <si>
    <t>Indom Chaos</t>
  </si>
  <si>
    <t>PrimalItemSaddle_Indom_Chaos_C</t>
  </si>
  <si>
    <t>/PrimalChaos/3Items/Saddles/SpiritAndChaos/Chaos/Indom/PrimalItemSaddle_Indom_Chaos.PrimalItemSaddle_Indom_Chaos</t>
  </si>
  <si>
    <t>Indom Saddle</t>
  </si>
  <si>
    <t>PrimalItemArmor_IndomSaddle_C</t>
  </si>
  <si>
    <t>/PrimalChaos/0Core/Indom/PrimalItemArmor_IndomSaddle.PrimalItemArmor_IndomSaddle</t>
  </si>
  <si>
    <t>Indom Saddle Legendary</t>
  </si>
  <si>
    <t>PrimalItemArmor_IndomSaddle_Legendary_C</t>
  </si>
  <si>
    <t>/PrimalChaos/3Items/Saddles/5Legendary_Mythic_Omega_Fabled/Legendary/Indom/PrimalItemArmor_IndomSaddle_Legendary.PrimalItemArmor_IndomSaddle_Legendary</t>
  </si>
  <si>
    <t>Indom Spirit</t>
  </si>
  <si>
    <t>PrimalItemSaddle_Indom_Spirit_C</t>
  </si>
  <si>
    <t>/PrimalChaos/3Items/Saddles/SpiritAndChaos/Spirit/Indom/PrimalItemSaddle_Indom_Spirit.PrimalItemSaddle_Indom_Spirit</t>
  </si>
  <si>
    <t>Jerboa Fairy</t>
  </si>
  <si>
    <t>PrimalItemSaddle_Jerboa_Fairy_C</t>
  </si>
  <si>
    <t>/PrimalChaos/3Items/Saddles/4ADVElement/Fairy/Jerboa/PrimalItemSaddle_Jerboa_Fairy.PrimalItemSaddle_Jerboa_Fairy</t>
  </si>
  <si>
    <t>Jerboa Mythic</t>
  </si>
  <si>
    <t>PrimalItemSaddle_Jerboa_Mythic_C</t>
  </si>
  <si>
    <t>/PrimalChaos/3Items/Saddles/5Legendary_Mythic_Omega_Fabled/Mythic/Jerboa/PrimalItemSaddle_Jerboa_Mythic.PrimalItemSaddle_Jerboa_Mythic</t>
  </si>
  <si>
    <t>Jerboa Spirit</t>
  </si>
  <si>
    <t>PrimalItemSaddle_Jerboa_Spirit_C</t>
  </si>
  <si>
    <t>/PrimalChaos/3Items/Saddles/SpiritAndChaos/Spirit/Jerboa/PrimalItemSaddle_Jerboa_Spirit.PrimalItemSaddle_Jerboa_Spirit</t>
  </si>
  <si>
    <t>Kairuku Alpha</t>
  </si>
  <si>
    <t>PrimalItemSaddle_Kairuku_Alpha_C</t>
  </si>
  <si>
    <t>/PrimalChaos/3Items/Saddles/2Alpha/Kairuku/PrimalItemSaddle_Kairuku_Alpha.PrimalItemSaddle_Kairuku_Alpha</t>
  </si>
  <si>
    <t>Kairuku Hydro</t>
  </si>
  <si>
    <t>PrimalItemSaddle_Kairuku_Hydro_C</t>
  </si>
  <si>
    <t>/PrimalChaos/3Items/Saddles/3Elemental/Hydro/Kairuku/PrimalItemSaddle_Kairuku_Hydro.PrimalItemSaddle_Kairuku_Hydro</t>
  </si>
  <si>
    <t>Kairuku Legendary</t>
  </si>
  <si>
    <t>PrimalItemSaddle_Kairuku_Legendary_C</t>
  </si>
  <si>
    <t>/PrimalChaos/3Items/Saddles/5Legendary_Mythic_Omega_Fabled/Legendary/Kairuku/PrimalItemSaddle_Kairuku_Legendary.PrimalItemSaddle_Kairuku_Legendary</t>
  </si>
  <si>
    <t>Kairuku Toxic</t>
  </si>
  <si>
    <t>PrimalItemSaddle_Kairuku_Toxic_C</t>
  </si>
  <si>
    <t>/PrimalChaos/3Items/Saddles/1Toxic/Kairuku/PrimalItemSaddle_Kairuku_Toxic.PrimalItemSaddle_Kairuku_Toxic</t>
  </si>
  <si>
    <t>Kairuku Saddle Origin</t>
  </si>
  <si>
    <t>PrimalItemSaddle_Kairuku_Origin_C</t>
  </si>
  <si>
    <t>/PrimalChaos/Content/3Items/Saddles/Origins/Kairuku/PrimalItemSaddle_Kairuku_Origin</t>
  </si>
  <si>
    <t>Kaprosuchus Saddle Alpha</t>
  </si>
  <si>
    <t>PrimalItemArmor_KaprosuchusSaddle_Alpha_C</t>
  </si>
  <si>
    <t>/PrimalChaos/3Items/Saddles/2Alpha/Kaprosuchus/PrimalItemArmor_KaprosuchusSaddle_Alpha.PrimalItemArmor_KaprosuchusSaddle_Alpha</t>
  </si>
  <si>
    <t>Kaprosuchus Saddle Hydro</t>
  </si>
  <si>
    <t>PrimalItemArmor_KaprosuchusSaddle_Hydro_C</t>
  </si>
  <si>
    <t>/PrimalChaos/3Items/Saddles/3Elemental/Hydro/Kaprosuchus/PrimalItemArmor_KaprosuchusSaddle_Hydro.PrimalItemArmor_KaprosuchusSaddle_Hydro</t>
  </si>
  <si>
    <t>Kaprosuchus Saddle Legendary</t>
  </si>
  <si>
    <t>PrimalItemArmor_KaprosuchusSaddle_Legendary_C</t>
  </si>
  <si>
    <t>/PrimalChaos/3Items/Saddles/5Legendary_Mythic_Omega_Fabled/Legendary/Kaprosuchus/PrimalItemArmor_KaprosuchusSaddle_Legendary.PrimalItemArmor_KaprosuchusSaddle_Legendary</t>
  </si>
  <si>
    <t>Kaprosuchus Saddle Toxic</t>
  </si>
  <si>
    <t>PrimalItemArmor_KaprosuchusSaddle_Toxic_C</t>
  </si>
  <si>
    <t>/PrimalChaos/3Items/Saddles/1Toxic/Kaprosuchus/PrimalItemArmor_KaprosuchusSaddle_Toxic.PrimalItemArmor_KaprosuchusSaddle_Toxic</t>
  </si>
  <si>
    <t>Kentro Alpha</t>
  </si>
  <si>
    <t>PrimalItemSaddle_Kentro_Alpha_C</t>
  </si>
  <si>
    <t>/PrimalChaos/3Items/Saddles/2Alpha/Kentro/PrimalItemSaddle_Kentro_Alpha.PrimalItemSaddle_Kentro_Alpha</t>
  </si>
  <si>
    <t>Kentro Toxic</t>
  </si>
  <si>
    <t>PrimalItemSaddle_Kentro_Toxic_C</t>
  </si>
  <si>
    <t>/PrimalChaos/3Items/Saddles/1Toxic/Kentro/PrimalItemSaddle_Kentro_Toxic.PrimalItemSaddle_Kentro_Toxic</t>
  </si>
  <si>
    <t>Lystro Alpha</t>
  </si>
  <si>
    <t>PrimalItemSaddle_Lystro_Alpha_C</t>
  </si>
  <si>
    <t>/PrimalChaos/3Items/Saddles/2Alpha/Lystro/PrimalItemSaddle_Lystro_Alpha.PrimalItemSaddle_Lystro_Alpha</t>
  </si>
  <si>
    <t>Lystro Toxic</t>
  </si>
  <si>
    <t>PrimalItemSaddle_Lystro_Toxic_C</t>
  </si>
  <si>
    <t>/PrimalChaos/3Items/Saddles/1Toxic/Lystro/PrimalItemSaddle_Lystro_Toxic.PrimalItemSaddle_Lystro_Toxic</t>
  </si>
  <si>
    <t>Mammoth Saddle Alpha</t>
  </si>
  <si>
    <t>PrimalItemArmor_MammothSaddle_Alpha_C</t>
  </si>
  <si>
    <t>/PrimalChaos/3Items/Saddles/2Alpha/Mammoth/PrimalItemArmor_MammothSaddle_Alpha.PrimalItemArmor_MammothSaddle_Alpha</t>
  </si>
  <si>
    <t>Mammoth Saddle Mythic</t>
  </si>
  <si>
    <t>PrimalItemArmor_MammothSaddle_Mythic_C</t>
  </si>
  <si>
    <t>/PrimalChaos/3Items/Saddles/5Legendary_Mythic_Omega_Fabled/Mythic/Mammoth/PrimalItemArmor_MammothSaddle_Mythic.PrimalItemArmor_MammothSaddle_Mythic</t>
  </si>
  <si>
    <t>Mammoth Saddle Toxic</t>
  </si>
  <si>
    <t>PrimalItemArmor_MammothSaddle_Toxic_C</t>
  </si>
  <si>
    <t>/PrimalChaos/3Items/Saddles/1Toxic/Mammoth/PrimalItemArmor_MammothSaddle_Toxic.PrimalItemArmor_MammothSaddle_Toxic</t>
  </si>
  <si>
    <t>Megalania Saddle Alpha</t>
  </si>
  <si>
    <t>PrimalItemArmor_MegalaniaSaddle_Alpha_C</t>
  </si>
  <si>
    <t>/PrimalChaos/3Items/Saddles/2Alpha/Megalania/PrimalItemArmor_MegalaniaSaddle_Alpha.PrimalItemArmor_MegalaniaSaddle_Alpha</t>
  </si>
  <si>
    <t>Megalania Saddle Toxic</t>
  </si>
  <si>
    <t>PrimalItemArmor_MegalaniaSaddle_Toxic_C</t>
  </si>
  <si>
    <t>/PrimalChaos/3Items/Saddles/1Toxic/Megalania/PrimalItemArmor_MegalaniaSaddle_Toxic.PrimalItemArmor_MegalaniaSaddle_Toxic</t>
  </si>
  <si>
    <t>Megalosaurus Saddle Alpha</t>
  </si>
  <si>
    <t>PrimalItemArmor_MegalosaurusSaddle_Alpha_C</t>
  </si>
  <si>
    <t>/PrimalChaos/3Items/Saddles/2Alpha/Megalo/PrimalItemArmor_MegalosaurusSaddle_Alpha.PrimalItemArmor_MegalosaurusSaddle_Alpha</t>
  </si>
  <si>
    <t>Megalosaurus Saddle Toxic</t>
  </si>
  <si>
    <t>PrimalItemArmor_MegalosaurusSaddle_Toxic_C</t>
  </si>
  <si>
    <t>/PrimalChaos/3Items/Saddles/1Toxic/Megalo/PrimalItemArmor_MegalosaurusSaddle_Toxic.PrimalItemArmor_MegalosaurusSaddle_Toxic</t>
  </si>
  <si>
    <t>Megatherium Saddle Alpha</t>
  </si>
  <si>
    <t>PrimalItemArmor_MegatheriumSaddle_Alpha_C</t>
  </si>
  <si>
    <t>/PrimalChaos/3Items/Saddles/2Alpha/Megatherium/PrimalItemArmor_MegatheriumSaddle_Alpha.PrimalItemArmor_MegatheriumSaddle_Alpha</t>
  </si>
  <si>
    <t>Megatherium Saddle Toxic</t>
  </si>
  <si>
    <t>PrimalItemArmor_MegatheriumSaddle_Toxic_C</t>
  </si>
  <si>
    <t>/PrimalChaos/3Items/Saddles/1Toxic/Megatherium/PrimalItemArmor_MegatheriumSaddle_Toxic.PrimalItemArmor_MegatheriumSaddle_Toxic</t>
  </si>
  <si>
    <t>Monkey Alpha</t>
  </si>
  <si>
    <t>PrimalItemSaddle_Monkey_Alpha_C</t>
  </si>
  <si>
    <t>/PrimalChaos/3Items/Saddles/2Alpha/Monkey/PrimalItemSaddle_Monkey_Alpha.PrimalItemSaddle_Monkey_Alpha</t>
  </si>
  <si>
    <t>Monkey Demonic</t>
  </si>
  <si>
    <t>PrimalItemSaddle_Monkey_Demonic_C</t>
  </si>
  <si>
    <t>PrimalChaos/Content/3Items/Saddles/DemonicAndAngelic/Demonic/Monkey/PrimalItemSaddle_Monkey_Demonic</t>
  </si>
  <si>
    <t>Monkey Toxic</t>
  </si>
  <si>
    <t>PrimalItemSaddle_Monkey_Toxic_C</t>
  </si>
  <si>
    <t>/PrimalChaos/3Items/Saddles/1Toxic/Monkey/PrimalItemSaddle_Monkey_Toxic.PrimalItemSaddle_Monkey_Toxic</t>
  </si>
  <si>
    <t>Moschops Alpha</t>
  </si>
  <si>
    <t>PrimalItemSaddle_Moschops_Alpha_C</t>
  </si>
  <si>
    <t>/PrimalChaos/3Items/Saddles/2Alpha/Moschops/PrimalItemSaddle_Moschops_Alpha.PrimalItemSaddle_Moschops_Alpha</t>
  </si>
  <si>
    <t>Moschops Toxic</t>
  </si>
  <si>
    <t>PrimalItemSaddle_Moschops_Toxic_C</t>
  </si>
  <si>
    <t>/PrimalChaos/3Items/Saddles/1Toxic/Moschops/PrimalItemSaddle_Moschops_Toxic.PrimalItemSaddle_Moschops_Toxic</t>
  </si>
  <si>
    <t>Onyc Alpha</t>
  </si>
  <si>
    <t>PrimalItemSaddle_Onyc_Alpha_C</t>
  </si>
  <si>
    <t>/PrimalChaos/3Items/Saddles/2Alpha/Onyc/PrimalItemSaddle_Onyc_Alpha.PrimalItemSaddle_Onyc_Alpha</t>
  </si>
  <si>
    <t>Onyc Toxic</t>
  </si>
  <si>
    <t>PrimalItemSaddle_Onyc_Toxic_C</t>
  </si>
  <si>
    <t>/PrimalChaos/3Items/Saddles/1Toxic/Onyc/PrimalItemSaddle_Onyc_Toxic.PrimalItemSaddle_Onyc_Toxic</t>
  </si>
  <si>
    <t>Origin Boss (Draconis) Saddle</t>
  </si>
  <si>
    <t>PrimalItemSaddle_Draconis_C</t>
  </si>
  <si>
    <t>/PrimalChaos/Content/3Items/Saddles/DraconisTheOriginal/PrimalItemSaddle_Draconis</t>
  </si>
  <si>
    <t>Otter Alpha</t>
  </si>
  <si>
    <t>PrimalItemSaddle_Otter_Alpha_C</t>
  </si>
  <si>
    <t>/PrimalChaos/3Items/Saddles/2Alpha/Otter/PrimalItemSaddle_Otter_Alpha.PrimalItemSaddle_Otter_Alpha</t>
  </si>
  <si>
    <t>Otter Hydro</t>
  </si>
  <si>
    <t>PrimalItemSaddle_Otter_Hydro_C</t>
  </si>
  <si>
    <t>/PrimalChaos/3Items/Saddles/3Elemental/Hydro/Otter/PrimalItemSaddle_Otter_Hydro.PrimalItemSaddle_Otter_Hydro</t>
  </si>
  <si>
    <t>Otter Toxic</t>
  </si>
  <si>
    <t>PrimalItemSaddle_Otter_Toxic_C</t>
  </si>
  <si>
    <t>/PrimalChaos/3Items/Saddles/1Toxic/Otter/PrimalItemSaddle_Otter_Toxic.PrimalItemSaddle_Otter_Toxic</t>
  </si>
  <si>
    <t>Oviraptor Alpha</t>
  </si>
  <si>
    <t>PrimalItemSaddle_Oviraptor_Alpha_C</t>
  </si>
  <si>
    <t>/PrimalChaos/3Items/Saddles/2Alpha/Oviraptor/PrimalItemSaddle_Oviraptor_Alpha.PrimalItemSaddle_Oviraptor_Alpha</t>
  </si>
  <si>
    <t>Oviraptor Toxic</t>
  </si>
  <si>
    <t>PrimalItemSaddle_Oviraptor_Toxic_C</t>
  </si>
  <si>
    <t>/PrimalChaos/3Items/Saddles/1Toxic/Oviraptor/PrimalItemSaddle_Oviraptor_Toxic.PrimalItemSaddle_Oviraptor_Toxic</t>
  </si>
  <si>
    <t>Ovis Alpha</t>
  </si>
  <si>
    <t>PrimalItemSaddle_Ovis_Alpha_C</t>
  </si>
  <si>
    <t>/PrimalChaos/3Items/Saddles/2Alpha/Ovis/PrimalItemSaddle_Ovis_Alpha.PrimalItemSaddle_Ovis_Alpha</t>
  </si>
  <si>
    <t>Ovis Toxic</t>
  </si>
  <si>
    <t>PrimalItemSaddle_Ovis_Toxic_C</t>
  </si>
  <si>
    <t>/PrimalChaos/3Items/Saddles/1Toxic/Ovis/PrimalItemSaddle_Ovis_Toxic.PrimalItemSaddle_Ovis_Toxic</t>
  </si>
  <si>
    <t>Owl Saddle Mythic</t>
  </si>
  <si>
    <t>PrimalItemArmor_OwlSaddle_Mythic_C</t>
  </si>
  <si>
    <t>/PrimalChaos/3Items/Saddles/5Legendary_Mythic_Omega_Fabled/Mythic/Owl/PrimalItemArmor_OwlSaddle_Mythic.PrimalItemArmor_OwlSaddle_Mythic</t>
  </si>
  <si>
    <t>Pachy Saddle Alpha</t>
  </si>
  <si>
    <t>PrimalItemArmor_PachySaddle_Alpha_C</t>
  </si>
  <si>
    <t>cheat gfi PrimalItemArmor_ArthroSaddle_Shadow 1 0 0</t>
  </si>
  <si>
    <t>/PrimalChaos/3Items/Saddles/2Alpha/Pachy/PrimalItemArmor_PachySaddle_Alpha.PrimalItemArmor_PachySaddle_Alpha</t>
  </si>
  <si>
    <t>Pachy Saddle Legendary</t>
  </si>
  <si>
    <t>PrimalItemArmor_PachySaddle_Legendary_C</t>
  </si>
  <si>
    <t>cheat gfi PrimalItemSaddle_Broodmother_Shadow 1 0 0</t>
  </si>
  <si>
    <t>/PrimalChaos/3Items/Saddles/5Legendary_Mythic_Omega_Fabled/Legendary/Pachy/PrimalItemArmor_PachySaddle_Legendary.PrimalItemArmor_PachySaddle_Legendary</t>
  </si>
  <si>
    <t>Pachy Saddle Toxic</t>
  </si>
  <si>
    <t>PrimalItemArmor_PachySaddle_Toxic_C</t>
  </si>
  <si>
    <t>cheat gfi PrimalItemSaddle_Gorilla_Shadow 1 0 0</t>
  </si>
  <si>
    <t>/PrimalChaos/3Items/Saddles/1Toxic/Pachy/PrimalItemArmor_PachySaddle_Toxic.PrimalItemArmor_PachySaddle_Toxic</t>
  </si>
  <si>
    <t>Pachyrhino Saddle Alpha</t>
  </si>
  <si>
    <t>PrimalItemArmor_PachyrhinoSaddle_Alpha_C</t>
  </si>
  <si>
    <t>cheat gfi PrimalItemArmor_RockGolemSaddle_Shadow 1 0 0</t>
  </si>
  <si>
    <t>/PrimalChaos/3Items/Saddles/2Alpha/Pachyrhino/PrimalItemArmor_PachyrhinoSaddle_Alpha.PrimalItemArmor_PachyrhinoSaddle_Alpha</t>
  </si>
  <si>
    <t>Pachyrhino Saddle Toxic</t>
  </si>
  <si>
    <t>PrimalItemArmor_PachyrhinoSaddle_Toxic_C</t>
  </si>
  <si>
    <t>cheat gfi PrimalItemArmor_AlloSaddle_Volcanic 1 0 0</t>
  </si>
  <si>
    <t>/PrimalChaos/3Items/Saddles/1Toxic/Pachyrhino/PrimalItemArmor_PachyrhinoSaddle_Toxic.PrimalItemArmor_PachyrhinoSaddle_Toxic</t>
  </si>
  <si>
    <t>Para Saddle Alpha</t>
  </si>
  <si>
    <t>PrimalItemArmor_ParaSaddle_Alpha_C</t>
  </si>
  <si>
    <t>/PrimalChaos/3Items/Saddles/2Alpha/Parasaur/PrimalItemArmor_ParaSaddle_Alpha.PrimalItemArmor_ParaSaddle_Alpha</t>
  </si>
  <si>
    <t>Para Saddle Demonic</t>
  </si>
  <si>
    <t>PrimalItemArmor_ParaSaddle_Demonic_C</t>
  </si>
  <si>
    <t>/PrimalChaos/Content/3Items/Saddles/DemonicAndAngelic/Demonic/Parasaur/PrimalItemArmor_ParaSaddle_Demonic</t>
  </si>
  <si>
    <t>Para Saddle Toxic</t>
  </si>
  <si>
    <t>PrimalItemArmor_ParaSaddle_Toxic_C</t>
  </si>
  <si>
    <t>/PrimalChaos/3Items/Saddles/1Toxic/Parasaur/PrimalItemArmor_ParaSaddle_Toxic.PrimalItemArmor_ParaSaddle_Toxic</t>
  </si>
  <si>
    <t>Paracer Saddle Alpha</t>
  </si>
  <si>
    <t>PrimalItemArmor_Paracer_Saddle_Alpha_C</t>
  </si>
  <si>
    <t>/PrimalChaos/3Items/Saddles/2Alpha/Paraceratherium/PrimalItemArmor_Paracer_Saddle_Alpha.PrimalItemArmor_Paracer_Saddle_Alpha</t>
  </si>
  <si>
    <t>Paracer Saddle Mythic</t>
  </si>
  <si>
    <t>PrimalItemArmor_Paracer_Saddle_Mythic_C</t>
  </si>
  <si>
    <t>/PrimalChaos/3Items/Saddles/5Legendary_Mythic_Omega_Fabled/Mythic/Paraceratherium/PrimalItemArmor_Paracer_Saddle_Mythic.PrimalItemArmor_Paracer_Saddle_Mythic</t>
  </si>
  <si>
    <t>Paracer Saddle Toxic</t>
  </si>
  <si>
    <t>PrimalItemArmor_Paracer_Saddle_Toxic_C</t>
  </si>
  <si>
    <t>/PrimalChaos/3Items/Saddles/1Toxic/Paraceratherium/PrimalItemArmor_Paracer_Saddle_Toxic.PrimalItemArmor_Paracer_Saddle_Toxic</t>
  </si>
  <si>
    <t>Pegasus Fairy</t>
  </si>
  <si>
    <t>PrimalItemSaddle_Pegasus_Fairy_C</t>
  </si>
  <si>
    <t>/PrimalChaos/3Items/Saddles/4ADVElement/Fairy/Pegasus/PrimalItemSaddle_Pegasus_Fairy.PrimalItemSaddle_Pegasus_Fairy</t>
  </si>
  <si>
    <t>Pegomastax Alpha</t>
  </si>
  <si>
    <t>PrimalItemSaddle_Pegomastax_Alpha_C</t>
  </si>
  <si>
    <t>/PrimalChaos/3Items/Saddles/2Alpha/Pegomastax/PrimalItemSaddle_Pegomastax_Alpha.PrimalItemSaddle_Pegomastax_Alpha</t>
  </si>
  <si>
    <t>Pegomastax Toxic</t>
  </si>
  <si>
    <t>PrimalItemSaddle_Pegomastax_Toxic_C</t>
  </si>
  <si>
    <t>/PrimalChaos/3Items/Saddles/1Toxic/Pegomastax/PrimalItemSaddle_Pegomastax_Toxic.PrimalItemSaddle_Pegomastax_Toxic</t>
  </si>
  <si>
    <t>Pela Saddle Alpha</t>
  </si>
  <si>
    <t>PrimalItemArmor_PelaSaddle_Alpha_C</t>
  </si>
  <si>
    <t>/PrimalChaos/3Items/Saddles/2Alpha/Pelagornis/PrimalItemArmor_PelaSaddle_Alpha.PrimalItemArmor_PelaSaddle_Alpha</t>
  </si>
  <si>
    <t>Pela Saddle Toxic</t>
  </si>
  <si>
    <t>PrimalItemArmor_PelaSaddle_Toxic_C</t>
  </si>
  <si>
    <t>/PrimalChaos/3Items/Saddles/1Toxic/Pelagornis/PrimalItemArmor_PelaSaddle_Toxic.PrimalItemArmor_PelaSaddle_Toxic</t>
  </si>
  <si>
    <t>Phiomia Saddle Alpha</t>
  </si>
  <si>
    <t>PrimalItemArmor_PhiomiaSaddle_Alpha_C</t>
  </si>
  <si>
    <t>/PrimalChaos/3Items/Saddles/2Alpha/Phiomia/PrimalItemArmor_PhiomiaSaddle_Alpha.PrimalItemArmor_PhiomiaSaddle_Alpha</t>
  </si>
  <si>
    <t>Phiomia Saddle Toxic</t>
  </si>
  <si>
    <t>PrimalItemArmor_PhiomiaSaddle_Toxic_C</t>
  </si>
  <si>
    <t>/PrimalChaos/3Items/Saddles/1Toxic/Phiomia/PrimalItemArmor_PhiomiaSaddle_Toxic.PrimalItemArmor_PhiomiaSaddle_Toxic</t>
  </si>
  <si>
    <t>Procoptodon Saddle Alpha</t>
  </si>
  <si>
    <t>PrimalItemArmor_ProcoptodonSaddle_Alpha_C</t>
  </si>
  <si>
    <t>/PrimalChaos/3Items/Saddles/2Alpha/Procoptodon/PrimalItemArmor_ProcoptodonSaddle_Alpha.PrimalItemArmor_ProcoptodonSaddle_Alpha</t>
  </si>
  <si>
    <t>Procoptodon Saddle Toxic</t>
  </si>
  <si>
    <t>PrimalItemArmor_ProcoptodonSaddle_Toxic_C</t>
  </si>
  <si>
    <t>/PrimalChaos/3Items/Saddles/1Toxic/Procoptodon/PrimalItemArmor_ProcoptodonSaddle_Toxic.PrimalItemArmor_ProcoptodonSaddle_Toxic</t>
  </si>
  <si>
    <t>Ptero Saddle Alpha</t>
  </si>
  <si>
    <t>PrimalItemArmor_PteroSaddle_Alpha_C</t>
  </si>
  <si>
    <t>/PrimalChaos/3Items/Saddles/2Alpha/Ptera/PrimalItemArmor_PteroSaddle_Alpha.PrimalItemArmor_PteroSaddle_Alpha</t>
  </si>
  <si>
    <t>Ptero Saddle Legendary</t>
  </si>
  <si>
    <t>PrimalItemArmor_PteroSaddle_Legendary_C</t>
  </si>
  <si>
    <t>/PrimalChaos/3Items/Saddles/5Legendary_Mythic_Omega_Fabled/Legendary/Ptera/PrimalItemArmor_PteroSaddle_Legendary.PrimalItemArmor_PteroSaddle_Legendary</t>
  </si>
  <si>
    <t>Ptero Saddle Mythic</t>
  </si>
  <si>
    <t>PrimalItemArmor_PteroSaddle_Mythic_C</t>
  </si>
  <si>
    <t>/PrimalChaos/3Items/Saddles/5Legendary_Mythic_Omega_Fabled/Mythic/Ptera/PrimalItemArmor_PteroSaddle_Mythic.PrimalItemArmor_PteroSaddle_Mythic</t>
  </si>
  <si>
    <t>Ptero Saddle Toxic</t>
  </si>
  <si>
    <t>PrimalItemArmor_PteroSaddle_Toxic_C</t>
  </si>
  <si>
    <t>/PrimalChaos/3Items/Saddles/1Toxic/Ptera/PrimalItemArmor_PteroSaddle_Toxic.PrimalItemArmor_PteroSaddle_Toxic</t>
  </si>
  <si>
    <t>Purlovia Alpha</t>
  </si>
  <si>
    <t>PrimalItemSaddle_Purlovia_Alpha_C</t>
  </si>
  <si>
    <t>/PrimalChaos/3Items/Saddles/2Alpha/Purlovia/PrimalItemSaddle_Purlovia_Alpha.PrimalItemSaddle_Purlovia_Alpha</t>
  </si>
  <si>
    <t>Purlovia Toxic</t>
  </si>
  <si>
    <t>PrimalItemSaddle_Purlovia_Toxic_C</t>
  </si>
  <si>
    <t>/PrimalChaos/3Items/Saddles/1Toxic/Purlovia/PrimalItemSaddle_Purlovia_Toxic.PrimalItemSaddle_Purlovia_Toxic</t>
  </si>
  <si>
    <t>Quetz Saddle</t>
  </si>
  <si>
    <t>PrimalItemArmor_QuetzSaddle_C</t>
  </si>
  <si>
    <t>/PrimalChaos/3Items/Saddles/SpiritAndChaos/Spirit/Quetz/PrimalItemArmor_QuetzSaddle.PrimalItemArmor_QuetzSaddle</t>
  </si>
  <si>
    <t>Quetz Saddle Alpha</t>
  </si>
  <si>
    <t>PrimalItemArmor_QuetzSaddle_Alpha_C</t>
  </si>
  <si>
    <t>/PrimalChaos/3Items/Saddles/2Alpha/Quetzal/PrimalItemArmor_QuetzSaddle_Alpha.PrimalItemArmor_QuetzSaddle_Alpha</t>
  </si>
  <si>
    <t>Quetz Saddle Mythic</t>
  </si>
  <si>
    <t>PrimalItemArmor_QuetzSaddle_Mythic_C</t>
  </si>
  <si>
    <t>/PrimalChaos/3Items/Saddles/5Legendary_Mythic_Omega_Fabled/Mythic/Quetzal/PrimalItemArmor_QuetzSaddle_Mythic.PrimalItemArmor_QuetzSaddle_Mythic</t>
  </si>
  <si>
    <t>Quetz Saddle Toxic</t>
  </si>
  <si>
    <t>PrimalItemArmor_QuetzSaddle_Toxic_C</t>
  </si>
  <si>
    <t>/PrimalChaos/3Items/Saddles/1Toxic/Quetzal/PrimalItemArmor_QuetzSaddle_Toxic.PrimalItemArmor_QuetzSaddle_Toxic</t>
  </si>
  <si>
    <t>Raptor Saddle</t>
  </si>
  <si>
    <t>PrimalItemArmor_RaptorSaddle_C</t>
  </si>
  <si>
    <t>/PrimalChaos/3Items/Saddles/SpiritAndChaos/Spirit/Raptor/PrimalItemArmor_RaptorSaddle.PrimalItemArmor_RaptorSaddle</t>
  </si>
  <si>
    <t>Raptor Saddle Alpha</t>
  </si>
  <si>
    <t>PrimalItemArmor_RaptorSaddle_Alpha_C</t>
  </si>
  <si>
    <t>/PrimalChaos/3Items/Saddles/2Alpha/Raptor/PrimalItemArmor_RaptorSaddle_Alpha.PrimalItemArmor_RaptorSaddle_Alpha</t>
  </si>
  <si>
    <t>Raptor Saddle Legendary</t>
  </si>
  <si>
    <t>PrimalItemArmor_RaptorSaddle_Legendary_C</t>
  </si>
  <si>
    <t>/PrimalChaos/3Items/Saddles/5Legendary_Mythic_Omega_Fabled/Legendary/Raptor/PrimalItemArmor_RaptorSaddle_Legendary.PrimalItemArmor_RaptorSaddle_Legendary</t>
  </si>
  <si>
    <t>Raptor Saddle Toxic</t>
  </si>
  <si>
    <t>PrimalItemArmor_RaptorSaddle_Toxic_C</t>
  </si>
  <si>
    <t>/PrimalChaos/3Items/Saddles/1Toxic/Raptor/PrimalItemArmor_RaptorSaddle_Toxic.PrimalItemArmor_RaptorSaddle_Toxic</t>
  </si>
  <si>
    <t>Raptor Saddle Volcanic</t>
  </si>
  <si>
    <t>PrimalItemArmor_RaptorSaddle_Volcanic_C</t>
  </si>
  <si>
    <t>/PrimalChaos/3Items/Saddles/3Elemental/Volcanic/Raptor/PrimalItemArmor_RaptorSaddle_Volcanic.PrimalItemArmor_RaptorSaddle_Volcanic</t>
  </si>
  <si>
    <t>Raptor Saddle Origin</t>
  </si>
  <si>
    <t>PrimalItemArmor_RaptorSaddle_Origin_C</t>
  </si>
  <si>
    <t>/PrimalChaos/Content/3Items/Saddles/Origins/Raptor/PrimalItemArmor_RaptorSaddle_Origin</t>
  </si>
  <si>
    <t>Rex Saddle Alpha</t>
  </si>
  <si>
    <t>PrimalItemArmor_RexSaddle_Alpha_C</t>
  </si>
  <si>
    <t>/PrimalChaos/3Items/Saddles/2Alpha/Rex/PrimalItemArmor_RexSaddle_Alpha.PrimalItemArmor_RexSaddle_Alpha</t>
  </si>
  <si>
    <t>Rex Saddle Chaos</t>
  </si>
  <si>
    <t>PrimalItemArmor_RexSaddle_Chaos_C</t>
  </si>
  <si>
    <t>/PrimalChaos/3Items/Saddles/SpiritAndChaos/Chaos/Rex/PrimalItemArmor_RexSaddle_Chaos.PrimalItemArmor_RexSaddle_Chaos</t>
  </si>
  <si>
    <t>Rex Saddle Electric</t>
  </si>
  <si>
    <t>PrimalItemArmor_RexSaddle_Electric_C</t>
  </si>
  <si>
    <t>/PrimalChaos/3Items/Saddles/3Elemental/Electric/Rex/PrimalItemArmor_RexSaddle_Electric.PrimalItemArmor_RexSaddle_Electric</t>
  </si>
  <si>
    <t>Rex Saddle Hydro</t>
  </si>
  <si>
    <t>PrimalItemArmor_RexSaddle_Hydro_C</t>
  </si>
  <si>
    <t>/PrimalChaos/3Items/Saddles/3Elemental/Hydro/Rex/PrimalItemArmor_RexSaddle_Hydro.PrimalItemArmor_RexSaddle_Hydro</t>
  </si>
  <si>
    <t>Rex Saddle Spirit</t>
  </si>
  <si>
    <t>PrimalItemArmor_RexSaddle_Spirit_C</t>
  </si>
  <si>
    <t>/PrimalChaos/3Items/Saddles/SpiritAndChaos/Spirit/Rex/PrimalItemArmor_RexSaddle_Spirit.PrimalItemArmor_RexSaddle_Spirit</t>
  </si>
  <si>
    <t>Rex Saddle Toxic</t>
  </si>
  <si>
    <t>PrimalItemArmor_RexSaddle_Toxic_C</t>
  </si>
  <si>
    <t>/PrimalChaos/3Items/Saddles/1Toxic/Rex/PrimalItemArmor_RexSaddle_Toxic.PrimalItemArmor_RexSaddle_Toxic</t>
  </si>
  <si>
    <t>Rex Saddle Volcanic</t>
  </si>
  <si>
    <t>PrimalItemArmor_RexSaddle_Volcanic_C</t>
  </si>
  <si>
    <t>/PrimalChaos/3Items/Saddles/3Elemental/Volcanic/Rex/PrimalItemArmor_RexSaddle_Volcanic.PrimalItemArmor_RexSaddle_Volcanic</t>
  </si>
  <si>
    <t>Rex Saddle Origin</t>
  </si>
  <si>
    <t>PrimalItemArmor_RexSaddle_Origin_C</t>
  </si>
  <si>
    <t>/PrimalChaos/Content/3Items/Saddles/Origins/Rex/PrimalItemArmor_RexSaddle_Origin</t>
  </si>
  <si>
    <t>Rhino Saddle Alpha</t>
  </si>
  <si>
    <t>PrimalItemArmor_RhinoSaddle_Alpha_C</t>
  </si>
  <si>
    <t>/PrimalChaos/3Items/Saddles/2Alpha/WoollyRhino/PrimalItemArmor_RhinoSaddle_Alpha.PrimalItemArmor_RhinoSaddle_Alpha</t>
  </si>
  <si>
    <t>Rhino Saddle Toxic</t>
  </si>
  <si>
    <t>PrimalItemArmor_RhinoSaddle_Toxic_C</t>
  </si>
  <si>
    <t>/PrimalChaos/3Items/Saddles/1Toxic/WoollyRhino/PrimalItemArmor_RhinoSaddle_Toxic.PrimalItemArmor_RhinoSaddle_Toxic</t>
  </si>
  <si>
    <t>Rhynio Saddle Alpha</t>
  </si>
  <si>
    <t>PrimalItemArmor_RhynioSaddle_Alpha_C</t>
  </si>
  <si>
    <t>/PrimalChaos/3Items/Saddles/2Alpha/Rhynio/PrimalItemArmor_RhynioSaddle_Alpha.PrimalItemArmor_RhynioSaddle_Alpha</t>
  </si>
  <si>
    <t>Rhynio Saddle Toxic</t>
  </si>
  <si>
    <t>PrimalItemArmor_RhynioSaddle_Toxic_C</t>
  </si>
  <si>
    <t>/PrimalChaos/3Items/Saddles/1Toxic/Rhynio/PrimalItemArmor_RhynioSaddle_Toxic.PrimalItemArmor_RhynioSaddle_Toxic</t>
  </si>
  <si>
    <t>Rock Drake Saddle Chaos</t>
  </si>
  <si>
    <t>PrimalItemArmor_RockDrakeSaddle_Chaos_C</t>
  </si>
  <si>
    <t>/PrimalChaos/3Items/Saddles/SpiritAndChaos/Chaos/Rockdrake/PrimalItemArmor_RockDrakeSaddle_Chaos.PrimalItemArmor_RockDrakeSaddle_Chaos</t>
  </si>
  <si>
    <t>Rock Golem Saddle Shadow</t>
  </si>
  <si>
    <t>PrimalItemArmor_RockGolemSaddle_Shadow_C</t>
  </si>
  <si>
    <t>/PrimalChaos/3Items/Saddles/4ADVElement/Shadow/Golem/PrimalItemArmor_RockGolemSaddle_Shadow.PrimalItemArmor_RockGolemSaddle_Shadow</t>
  </si>
  <si>
    <t>Saber Saddle Alpha</t>
  </si>
  <si>
    <t>PrimalItemArmor_SaberSaddle_Alpha_C</t>
  </si>
  <si>
    <t>/PrimalChaos/3Items/Saddles/2Alpha/Sabertooth/PrimalItemArmor_SaberSaddle_Alpha.PrimalItemArmor_SaberSaddle_Alpha</t>
  </si>
  <si>
    <t>Saber Saddle Electric</t>
  </si>
  <si>
    <t>PrimalItemArmor_SaberSaddle_Electric_C</t>
  </si>
  <si>
    <t>/PrimalChaos/3Items/Saddles/3Elemental/Electric/Sabertooth/PrimalItemArmor_SaberSaddle_Electric.PrimalItemArmor_SaberSaddle_Electric</t>
  </si>
  <si>
    <t>Saber Saddle Toxic</t>
  </si>
  <si>
    <t>PrimalItemArmor_SaberSaddle_Toxic_C</t>
  </si>
  <si>
    <t>/PrimalChaos/3Items/Saddles/1Toxic/Sabertooth/PrimalItemArmor_SaberSaddle_Toxic.PrimalItemArmor_SaberSaddle_Toxic</t>
  </si>
  <si>
    <t>Sarco Saddle Alpha</t>
  </si>
  <si>
    <t>PrimalItemArmor_SarcoSaddle_Alpha_C</t>
  </si>
  <si>
    <t>/PrimalChaos/3Items/Saddles/2Alpha/Sarco/PrimalItemArmor_SarcoSaddle_Alpha.PrimalItemArmor_SarcoSaddle_Alpha</t>
  </si>
  <si>
    <t>Sarco Saddle Hydro</t>
  </si>
  <si>
    <t>PrimalItemArmor_SarcoSaddle_Hydro_C</t>
  </si>
  <si>
    <t>/PrimalChaos/3Items/Saddles/3Elemental/Hydro/Sarco/PrimalItemArmor_SarcoSaddle_Hydro.PrimalItemArmor_SarcoSaddle_Hydro</t>
  </si>
  <si>
    <t>Sarco Saddle Legendary</t>
  </si>
  <si>
    <t>PrimalItemArmor_SarcoSaddle_Legendary_C</t>
  </si>
  <si>
    <t>/PrimalChaos/3Items/Saddles/5Legendary_Mythic_Omega_Fabled/Legendary/Sarco/PrimalItemArmor_SarcoSaddle_Legendary.PrimalItemArmor_SarcoSaddle_Legendary</t>
  </si>
  <si>
    <t>Sarco Saddle Toxic</t>
  </si>
  <si>
    <t>PrimalItemArmor_SarcoSaddle_Toxic_C</t>
  </si>
  <si>
    <t>/PrimalChaos/3Items/Saddles/1Toxic/Sarco/PrimalItemArmor_SarcoSaddle_Toxic.PrimalItemArmor_SarcoSaddle_Toxic</t>
  </si>
  <si>
    <t>Sauro Saddle</t>
  </si>
  <si>
    <t>PrimalItemArmor_SauroSaddle_C</t>
  </si>
  <si>
    <t>/PrimalChaos/3Items/Saddles/SpiritAndChaos/Spirit/Bronto/PrimalItemArmor_SauroSaddle.PrimalItemArmor_SauroSaddle</t>
  </si>
  <si>
    <t>Sauro Saddle Alpha</t>
  </si>
  <si>
    <t>PrimalItemArmor_SauroSaddle_Alpha_C</t>
  </si>
  <si>
    <t>/PrimalChaos/3Items/Saddles/2Alpha/Brontosaurus/PrimalItemArmor_SauroSaddle_Alpha.PrimalItemArmor_SauroSaddle_Alpha</t>
  </si>
  <si>
    <t>Sauro Saddle Mythic</t>
  </si>
  <si>
    <t>PrimalItemArmor_SauroSaddle_Mythic_C</t>
  </si>
  <si>
    <t>/PrimalChaos/3Items/Saddles/5Legendary_Mythic_Omega_Fabled/Mythic/Brontosaurus/PrimalItemArmor_SauroSaddle_Mythic.PrimalItemArmor_SauroSaddle_Mythic</t>
  </si>
  <si>
    <t>Sauro Saddle Toxic</t>
  </si>
  <si>
    <t>PrimalItemArmor_SauroSaddle_Toxic_C</t>
  </si>
  <si>
    <t>/PrimalChaos/3Items/Saddles/1Toxic/Brontosaurus/PrimalItemArmor_SauroSaddle_Toxic.PrimalItemArmor_SauroSaddle_Toxic</t>
  </si>
  <si>
    <t>Scorpion Saddle Alpha</t>
  </si>
  <si>
    <t>PrimalItemArmor_ScorpionSaddle_Alpha_C</t>
  </si>
  <si>
    <t>/PrimalChaos/3Items/Saddles/2Alpha/Pulmonoscorpius/PrimalItemArmor_ScorpionSaddle_Alpha.PrimalItemArmor_ScorpionSaddle_Alpha</t>
  </si>
  <si>
    <t>Scorpion Saddle Legendary</t>
  </si>
  <si>
    <t>PrimalItemArmor_ScorpionSaddle_Legendary_C</t>
  </si>
  <si>
    <t>/PrimalChaos/3Items/Saddles/5Legendary_Mythic_Omega_Fabled/Legendary/Pulmonoscorpius/PrimalItemArmor_ScorpionSaddle_Legendary.PrimalItemArmor_ScorpionSaddle_Legendary</t>
  </si>
  <si>
    <t>Scorpion Saddle Toxic</t>
  </si>
  <si>
    <t>PrimalItemArmor_ScorpionSaddle_Toxic_C</t>
  </si>
  <si>
    <t>/PrimalChaos/3Items/Saddles/1Toxic/Pulmonoscorpius/PrimalItemArmor_ScorpionSaddle_Toxic.PrimalItemArmor_ScorpionSaddle_Toxic</t>
  </si>
  <si>
    <t>Snake Alpha</t>
  </si>
  <si>
    <t>PrimalItemSaddle_Snake_Alpha_C</t>
  </si>
  <si>
    <t>/PrimalChaos/3Items/Saddles/2Alpha/Snake/PrimalItemSaddle_Snake_Alpha.PrimalItemSaddle_Snake_Alpha</t>
  </si>
  <si>
    <t>Snake Toxic</t>
  </si>
  <si>
    <t>PrimalItemSaddle_Snake_Toxic_C</t>
  </si>
  <si>
    <t>/PrimalChaos/3Items/Saddles/1Toxic/Snake/PrimalItemSaddle_Snake_Toxic.PrimalItemSaddle_Snake_Toxic</t>
  </si>
  <si>
    <t>Spider Saddle Alpha</t>
  </si>
  <si>
    <t>PrimalItemArmor_SpiderSaddle_Alpha_C</t>
  </si>
  <si>
    <t>/PrimalChaos/3Items/Saddles/2Alpha/Araneo/PrimalItemArmor_SpiderSaddle_Alpha.PrimalItemArmor_SpiderSaddle_Alpha</t>
  </si>
  <si>
    <t>Spider Saddle Legendary</t>
  </si>
  <si>
    <t>PrimalItemArmor_SpiderSaddle_Legendary_C</t>
  </si>
  <si>
    <t>/PrimalChaos/3Items/Saddles/5Legendary_Mythic_Omega_Fabled/Legendary/Araneo/PrimalItemArmor_SpiderSaddle_Legendary.PrimalItemArmor_SpiderSaddle_Legendary</t>
  </si>
  <si>
    <t>Spider Saddle Toxic</t>
  </si>
  <si>
    <t>PrimalItemArmor_SpiderSaddle_Toxic_C</t>
  </si>
  <si>
    <t>/PrimalChaos/3Items/Saddles/1Toxic/Araneo/PrimalItemArmor_SpiderSaddle_Toxic.PrimalItemArmor_SpiderSaddle_Toxic</t>
  </si>
  <si>
    <t>Spiney Lizard Saddle Legendary</t>
  </si>
  <si>
    <t>PrimalItemArmor_SpineyLizardSaddle_Legendary_C</t>
  </si>
  <si>
    <t>/PrimalChaos/3Items/Saddles/5Legendary_Mythic_Omega_Fabled/Legendary/Thorny/PrimalItemArmor_SpineyLizardSaddle_Legendary.PrimalItemArmor_SpineyLizardSaddle_Legendary</t>
  </si>
  <si>
    <t>Spino Saddle Alpha</t>
  </si>
  <si>
    <t>PrimalItemArmor_SpinoSaddle_Alpha_C</t>
  </si>
  <si>
    <t>/PrimalChaos/3Items/Saddles/2Alpha/Spinosaurus/PrimalItemArmor_SpinoSaddle_Alpha.PrimalItemArmor_SpinoSaddle_Alpha</t>
  </si>
  <si>
    <t>Spino Saddle Chaos</t>
  </si>
  <si>
    <t>PrimalItemArmor_SpinoSaddle_Chaos_C</t>
  </si>
  <si>
    <t>/PrimalChaos/3Items/Saddles/SpiritAndChaos/Chaos/Spino/PrimalItemArmor_SpinoSaddle_Chaos.PrimalItemArmor_SpinoSaddle_Chaos</t>
  </si>
  <si>
    <t>Spino Saddle Hydro</t>
  </si>
  <si>
    <t>PrimalItemArmor_SpinoSaddle_Hydro_C</t>
  </si>
  <si>
    <t>/PrimalChaos/3Items/Saddles/3Elemental/Hydro/Spinosaurus/PrimalItemArmor_SpinoSaddle_Hydro.PrimalItemArmor_SpinoSaddle_Hydro</t>
  </si>
  <si>
    <t>Spino Saddle Legendary</t>
  </si>
  <si>
    <t>PrimalItemArmor_SpinoSaddle_Legendary_C</t>
  </si>
  <si>
    <t>/PrimalChaos/3Items/Saddles/5Legendary_Mythic_Omega_Fabled/Legendary/Spinosaurus/PrimalItemArmor_SpinoSaddle_Legendary.PrimalItemArmor_SpinoSaddle_Legendary</t>
  </si>
  <si>
    <t>Spino Saddle Toxic</t>
  </si>
  <si>
    <t>PrimalItemArmor_SpinoSaddle_Toxic_C</t>
  </si>
  <si>
    <t>/PrimalChaos/3Items/Saddles/1Toxic/Spinosaurus/PrimalItemArmor_SpinoSaddle_Toxic.PrimalItemArmor_SpinoSaddle_Toxic</t>
  </si>
  <si>
    <t>Spino Saddle Volcanic</t>
  </si>
  <si>
    <t>PrimalItemArmor_SpinoSaddle_Volcanic_C</t>
  </si>
  <si>
    <t>/PrimalChaos/3Items/Saddles/3Elemental/Volcanic/Spinosaurus/PrimalItemArmor_SpinoSaddle_Volcanic.PrimalItemArmor_SpinoSaddle_Volcanic</t>
  </si>
  <si>
    <t>Spino Saddle Origin</t>
  </si>
  <si>
    <t>PrimalItemArmor_SpinoSaddle_Origin_C</t>
  </si>
  <si>
    <t>/PrimalChaos/Content/3Items/Saddles/Origins/Spinosaurus/PrimalItemArmor_SpinoSaddle_Origin</t>
  </si>
  <si>
    <t>Stag Saddle Mythic</t>
  </si>
  <si>
    <t>PrimalItemArmor_StagSaddle_Mythic_C</t>
  </si>
  <si>
    <t>/PrimalChaos/3Items/Saddles/5Legendary_Mythic_Omega_Fabled/Mythic/Stag/PrimalItemArmor_StagSaddle_Mythic.PrimalItemArmor_StagSaddle_Mythic</t>
  </si>
  <si>
    <t>Stego Saddle</t>
  </si>
  <si>
    <t>PrimalItemArmor_StegoSaddle_C</t>
  </si>
  <si>
    <t>/PrimalChaos/3Items/Saddles/SpiritAndChaos/Spirit/Stego/PrimalItemArmor_StegoSaddle.PrimalItemArmor_StegoSaddle</t>
  </si>
  <si>
    <t>Stego Saddle Alpha</t>
  </si>
  <si>
    <t>PrimalItemArmor_StegoSaddle_Alpha_C</t>
  </si>
  <si>
    <t>/PrimalChaos/3Items/Saddles/2Alpha/Stego/PrimalItemArmor_StegoSaddle_Alpha.PrimalItemArmor_StegoSaddle_Alpha</t>
  </si>
  <si>
    <t>Stego Saddle Legendary</t>
  </si>
  <si>
    <t>PrimalItemArmor_StegoSaddle_Legendary_C</t>
  </si>
  <si>
    <t>/PrimalChaos/3Items/Saddles/5Legendary_Mythic_Omega_Fabled/Legendary/Stego/PrimalItemArmor_StegoSaddle_Legendary.PrimalItemArmor_StegoSaddle_Legendary</t>
  </si>
  <si>
    <t>Stego Saddle Mythic</t>
  </si>
  <si>
    <t>PrimalItemArmor_StegoSaddle_Mythic_C</t>
  </si>
  <si>
    <t>/PrimalChaos/3Items/Saddles/5Legendary_Mythic_Omega_Fabled/Mythic/Stego/PrimalItemArmor_StegoSaddle_Mythic.PrimalItemArmor_StegoSaddle_Mythic</t>
  </si>
  <si>
    <t>Stego Saddle Toxic</t>
  </si>
  <si>
    <t>PrimalItemArmor_StegoSaddle_Toxic_C</t>
  </si>
  <si>
    <t>/PrimalChaos/3Items/Saddles/1Toxic/Stego/PrimalItemArmor_StegoSaddle_Toxic.PrimalItemArmor_StegoSaddle_Toxic</t>
  </si>
  <si>
    <t>Tapejara Saddle Alpha</t>
  </si>
  <si>
    <t>PrimalItemArmor_TapejaraSaddle_Alpha_C</t>
  </si>
  <si>
    <t>/PrimalChaos/3Items/Saddles/2Alpha/Tapejara/PrimalItemArmor_TapejaraSaddle_Alpha.PrimalItemArmor_TapejaraSaddle_Alpha</t>
  </si>
  <si>
    <t>Tapejara Saddle Mythic</t>
  </si>
  <si>
    <t>PrimalItemArmor_TapejaraSaddle_Mythic_C</t>
  </si>
  <si>
    <t>/PrimalChaos/3Items/Saddles/5Legendary_Mythic_Omega_Fabled/Mythic/Tapejara/PrimalItemArmor_TapejaraSaddle_Mythic.PrimalItemArmor_TapejaraSaddle_Mythic</t>
  </si>
  <si>
    <t>Tapejara Saddle Toxic</t>
  </si>
  <si>
    <t>PrimalItemArmor_TapejaraSaddle_Toxic_C</t>
  </si>
  <si>
    <t>/PrimalChaos/3Items/Saddles/1Toxic/Tapejara/PrimalItemArmor_TapejaraSaddle_Toxic.PrimalItemArmor_TapejaraSaddle_Toxic</t>
  </si>
  <si>
    <t>Tapejara Saddle Volcanic</t>
  </si>
  <si>
    <t>PrimalItemArmor_TapejaraSaddle_Volcanic_C</t>
  </si>
  <si>
    <t>/PrimalChaos/3Items/Saddles/3Elemental/Volcanic/Tapejara/PrimalItemArmor_TapejaraSaddle_Volcanic.PrimalItemArmor_TapejaraSaddle_Volcanic</t>
  </si>
  <si>
    <t>Terror Bird Saddle Alpha</t>
  </si>
  <si>
    <t>PrimalItemArmor_TerrorBirdSaddle_Alpha_C</t>
  </si>
  <si>
    <t>/PrimalChaos/3Items/Saddles/2Alpha/TerrorBird/PrimalItemArmor_TerrorBirdSaddle_Alpha.PrimalItemArmor_TerrorBirdSaddle_Alpha</t>
  </si>
  <si>
    <t>Terror Bird Saddle Toxic</t>
  </si>
  <si>
    <t>PrimalItemArmor_TerrorBirdSaddle_Toxic_C</t>
  </si>
  <si>
    <t>/PrimalChaos/3Items/Saddles/1Toxic/TerrorBird/PrimalItemArmor_TerrorBirdSaddle_Toxic.PrimalItemArmor_TerrorBirdSaddle_Toxic</t>
  </si>
  <si>
    <t>Therizinosaurus Saddle Alpha</t>
  </si>
  <si>
    <t>PrimalItemArmor_TherizinosaurusSaddle_Alpha_C</t>
  </si>
  <si>
    <t>/PrimalChaos/3Items/Saddles/2Alpha/Therizinosaurus/PrimalItemArmor_TherizinosaurusSaddle_Alpha.PrimalItemArmor_TherizinosaurusSaddle_Alpha</t>
  </si>
  <si>
    <t>Therizinosaurus Saddle Chaos</t>
  </si>
  <si>
    <t>PrimalItemArmor_TherizinosaurusSaddle_Chaos_C</t>
  </si>
  <si>
    <t>/PrimalChaos/3Items/Saddles/SpiritAndChaos/Chaos/Theri/PrimalItemArmor_TherizinosaurusSaddle_Chaos.PrimalItemArmor_TherizinosaurusSaddle_Chaos</t>
  </si>
  <si>
    <t>Therizinosaurus Saddle Mythic</t>
  </si>
  <si>
    <t>PrimalItemArmor_TherizinosaurusSaddle_Mythic_C</t>
  </si>
  <si>
    <t>/PrimalChaos/3Items/Saddles/5Legendary_Mythic_Omega_Fabled/Mythic/Therizinosaurus/PrimalItemArmor_TherizinosaurusSaddle_Mythic.PrimalItemArmor_TherizinosaurusSaddle_Mythic</t>
  </si>
  <si>
    <t>Therizinosaurus Saddle Toxic</t>
  </si>
  <si>
    <t>PrimalItemArmor_TherizinosaurusSaddle_Toxic_C</t>
  </si>
  <si>
    <t>/PrimalChaos/3Items/Saddles/1Toxic/Therizinosaurus/PrimalItemArmor_TherizinosaurusSaddle_Toxic.PrimalItemArmor_TherizinosaurusSaddle_Toxic</t>
  </si>
  <si>
    <t>Thylaco Saddle Alpha</t>
  </si>
  <si>
    <t>PrimalItemArmor_ThylacoSaddle_Alpha_C</t>
  </si>
  <si>
    <t>/PrimalChaos/3Items/Saddles/2Alpha/Thyla/PrimalItemArmor_ThylacoSaddle_Alpha.PrimalItemArmor_ThylacoSaddle_Alpha</t>
  </si>
  <si>
    <t>Thylaco Saddle Chaos</t>
  </si>
  <si>
    <t>PrimalItemArmor_ThylacoSaddle_Chaos_C</t>
  </si>
  <si>
    <t>/PrimalChaos/3Items/Saddles/SpiritAndChaos/Chaos/Thyla/PrimalItemArmor_ThylacoSaddle_Chaos.PrimalItemArmor_ThylacoSaddle_Chaos</t>
  </si>
  <si>
    <t>Thylaco Saddle Electric</t>
  </si>
  <si>
    <t>PrimalItemArmor_ThylacoSaddle_Electric_C</t>
  </si>
  <si>
    <t>/PrimalChaos/3Items/Saddles/3Elemental/Electric/Thyla/PrimalItemArmor_ThylacoSaddle_Electric.PrimalItemArmor_ThylacoSaddle_Electric</t>
  </si>
  <si>
    <t>Thylaco Saddle Toxic</t>
  </si>
  <si>
    <t>PrimalItemArmor_ThylacoSaddle_Toxic_C</t>
  </si>
  <si>
    <t>/PrimalChaos/3Items/Saddles/1Toxic/Thyla/PrimalItemArmor_ThylacoSaddle_Toxic.PrimalItemArmor_ThylacoSaddle_Toxic</t>
  </si>
  <si>
    <t>Titan Saddle Platform Alpha</t>
  </si>
  <si>
    <t>PrimalItemArmor_TitanSaddle_Platform_Alpha_C</t>
  </si>
  <si>
    <t>/PrimalChaos/3Items/Saddles/2Alpha/Titanosaur/PrimalItemArmor_TitanSaddle_Platform_Alpha.PrimalItemArmor_TitanSaddle_Platform_Alpha</t>
  </si>
  <si>
    <t>Titan Saddle Platform Toxic</t>
  </si>
  <si>
    <t>PrimalItemArmor_TitanSaddle_Platform_Toxic_C</t>
  </si>
  <si>
    <t>/PrimalChaos/3Items/Saddles/1Toxic/Titanosaur/PrimalItemArmor_TitanSaddle_Platform_Toxic.PrimalItemArmor_TitanSaddle_Platform_Toxic</t>
  </si>
  <si>
    <t>Toad Saddle Alpha</t>
  </si>
  <si>
    <t>PrimalItemArmor_ToadSaddle_Alpha_C</t>
  </si>
  <si>
    <t>/PrimalChaos/3Items/Saddles/2Alpha/Frog/PrimalItemArmor_ToadSaddle_Alpha.PrimalItemArmor_ToadSaddle_Alpha</t>
  </si>
  <si>
    <t>Toad Saddle Hydro</t>
  </si>
  <si>
    <t>PrimalItemArmor_ToadSaddle_Hydro_C</t>
  </si>
  <si>
    <t>/PrimalChaos/3Items/Saddles/3Elemental/Hydro/Frog/PrimalItemArmor_ToadSaddle_Hydro.PrimalItemArmor_ToadSaddle_Hydro</t>
  </si>
  <si>
    <t>Toad Saddle Mythic</t>
  </si>
  <si>
    <t>PrimalItemArmor_ToadSaddle_Mythic_C</t>
  </si>
  <si>
    <t>/PrimalChaos/3Items/Saddles/5Legendary_Mythic_Omega_Fabled/Mythic/Frog/PrimalItemArmor_ToadSaddle_Mythic.PrimalItemArmor_ToadSaddle_Mythic</t>
  </si>
  <si>
    <t>Toad Saddle Toxic</t>
  </si>
  <si>
    <t>PrimalItemArmor_ToadSaddle_Toxic_C</t>
  </si>
  <si>
    <t>/PrimalChaos/3Items/Saddles/1Toxic/Frog/PrimalItemArmor_ToadSaddle_Toxic.PrimalItemArmor_ToadSaddle_Toxic</t>
  </si>
  <si>
    <t>Trike Saddle</t>
  </si>
  <si>
    <t>PrimalItemArmor_TrikeSaddle_C</t>
  </si>
  <si>
    <t>/PrimalChaos/3Items/Saddles/SpiritAndChaos/Spirit/Trike/PrimalItemArmor_TrikeSaddle.PrimalItemArmor_TrikeSaddle</t>
  </si>
  <si>
    <t>Trike Saddle Alpha</t>
  </si>
  <si>
    <t>PrimalItemArmor_TrikeSaddle_Alpha_C</t>
  </si>
  <si>
    <t>/PrimalChaos/3Items/Saddles/2Alpha/Trike/PrimalItemArmor_TrikeSaddle_Alpha.PrimalItemArmor_TrikeSaddle_Alpha</t>
  </si>
  <si>
    <t>Trike Saddle Legendary</t>
  </si>
  <si>
    <t>PrimalItemArmor_TrikeSaddle_Legendary_C</t>
  </si>
  <si>
    <t>/PrimalChaos/3Items/Saddles/5Legendary_Mythic_Omega_Fabled/Legendary/Trike/PrimalItemArmor_TrikeSaddle_Legendary.PrimalItemArmor_TrikeSaddle_Legendary</t>
  </si>
  <si>
    <t>Trike Saddle Mythic</t>
  </si>
  <si>
    <t>PrimalItemArmor_TrikeSaddle_Mythic_C</t>
  </si>
  <si>
    <t>/PrimalChaos/3Items/Saddles/5Legendary_Mythic_Omega_Fabled/Mythic/Trike/PrimalItemArmor_TrikeSaddle_Mythic.PrimalItemArmor_TrikeSaddle_Mythic</t>
  </si>
  <si>
    <t>Trike Saddle Toxic</t>
  </si>
  <si>
    <t>PrimalItemArmor_TrikeSaddle_Toxic_C</t>
  </si>
  <si>
    <t>/PrimalChaos/3Items/Saddles/1Toxic/Trike/PrimalItemArmor_TrikeSaddle_Toxic.PrimalItemArmor_TrikeSaddle_Toxic</t>
  </si>
  <si>
    <t>Trike Saddle Origin</t>
  </si>
  <si>
    <t>PrimalItemArmor_TrikeSaddle_Origin_C</t>
  </si>
  <si>
    <t>/PrimalChaos/Content/3Items/Saddles/Origins/Trike/PrimalItemArmor_TrikeSaddle_Origin</t>
  </si>
  <si>
    <t>Troodon Alpha</t>
  </si>
  <si>
    <t>PrimalItemSaddle_Troodon_Alpha_C</t>
  </si>
  <si>
    <t>/PrimalChaos/3Items/Saddles/2Alpha/Troodon/PrimalItemSaddle_Troodon_Alpha.PrimalItemSaddle_Troodon_Alpha</t>
  </si>
  <si>
    <t>Troodon Toxic</t>
  </si>
  <si>
    <t>PrimalItemSaddle_Troodon_Toxic_C</t>
  </si>
  <si>
    <t>/PrimalChaos/3Items/Saddles/1Toxic/Troodon/PrimalItemSaddle_Troodon_Toxic.PrimalItemSaddle_Troodon_Toxic</t>
  </si>
  <si>
    <t>Turkey Alpha</t>
  </si>
  <si>
    <t>PrimalItemSaddle_Turkey_Alpha_C</t>
  </si>
  <si>
    <t>/PrimalChaos/3Items/Saddles/2Alpha/Turkey/PrimalItemSaddle_Turkey_Alpha.PrimalItemSaddle_Turkey_Alpha</t>
  </si>
  <si>
    <t>Turkey Shadow</t>
  </si>
  <si>
    <t>PrimalItemSaddle_Turkey_Shadow_C</t>
  </si>
  <si>
    <t>/PrimalChaos/3Items/Saddles/4ADVElement/Shadow/Turkey/PrimalItemSaddle_Turkey_Shadow.PrimalItemSaddle_Turkey_Shadow</t>
  </si>
  <si>
    <t>Turkey Toxic</t>
  </si>
  <si>
    <t>PrimalItemSaddle_Turkey_Toxic_C</t>
  </si>
  <si>
    <t>/PrimalChaos/3Items/Saddles/1Toxic/Turkey/PrimalItemSaddle_Turkey_Toxic.PrimalItemSaddle_Turkey_Toxic</t>
  </si>
  <si>
    <t>Turtle Saddle Alpha</t>
  </si>
  <si>
    <t>PrimalItemArmor_TurtleSaddle_Alpha_C</t>
  </si>
  <si>
    <t>/PrimalChaos/3Items/Saddles/2Alpha/Turtle/PrimalItemArmor_TurtleSaddle_Alpha.PrimalItemArmor_TurtleSaddle_Alpha</t>
  </si>
  <si>
    <t>Turtle Saddle Hydro</t>
  </si>
  <si>
    <t>PrimalItemArmor_TurtleSaddle_Hydro_C</t>
  </si>
  <si>
    <t>/PrimalChaos/3Items/Saddles/3Elemental/Hydro/Turtle/PrimalItemArmor_TurtleSaddle_Hydro.PrimalItemArmor_TurtleSaddle_Hydro</t>
  </si>
  <si>
    <t>Turtle Saddle Toxic</t>
  </si>
  <si>
    <t>PrimalItemArmor_TurtleSaddle_Toxic_C</t>
  </si>
  <si>
    <t>/PrimalChaos/3Items/Saddles/1Toxic/Turtle/PrimalItemArmor_TurtleSaddle_Toxic.PrimalItemArmor_TurtleSaddle_Toxic</t>
  </si>
  <si>
    <t>Wyvern Chaos</t>
  </si>
  <si>
    <t>PrimalItemSaddle_Wyvern_Chaos_C</t>
  </si>
  <si>
    <t>/PrimalChaos/3Items/Saddles/SpiritAndChaos/Chaos/Wyvern/PrimalItemSaddle_Wyvern_Chaos.PrimalItemSaddle_Wyvern_Chaos</t>
  </si>
  <si>
    <t>Wyvern Fairy</t>
  </si>
  <si>
    <t>PrimalItemSaddle_Wyvern_Fairy_C</t>
  </si>
  <si>
    <t>/PrimalChaos/3Items/Saddles/4ADVElement/Fairy/Wyvern/PrimalItemSaddle_Wyvern_Fairy.PrimalItemSaddle_Wyvern_Fairy</t>
  </si>
  <si>
    <t>Wyvern Legendary</t>
  </si>
  <si>
    <t>PrimalItemSaddle_Wyvern_Legendary_C</t>
  </si>
  <si>
    <t>/PrimalChaos/3Items/Saddles/5Legendary_Mythic_Omega_Fabled/Legendary/Wyvern/PrimalItemSaddle_Wyvern_Legendary.PrimalItemSaddle_Wyvern_Legendary</t>
  </si>
  <si>
    <t>Wyvern Spirit</t>
  </si>
  <si>
    <t>PrimalItemSaddle_Wyvern_Spirit_C</t>
  </si>
  <si>
    <t>/PrimalChaos/3Items/Saddles/SpiritAndChaos/Spirit/Wyvern/PrimalItemSaddle_Wyvern_Spirit.PrimalItemSaddle_Wyvern_Spirit</t>
  </si>
  <si>
    <t>Yuty Saddle Alpha</t>
  </si>
  <si>
    <t>PrimalItemArmor_YutySaddle_Alpha_C</t>
  </si>
  <si>
    <t>/PrimalChaos/3Items/Saddles/2Alpha/Yuty/PrimalItemArmor_YutySaddle_Alpha.PrimalItemArmor_YutySaddle_Alpha</t>
  </si>
  <si>
    <t>Yuty Saddle Toxic</t>
  </si>
  <si>
    <t>PrimalItemArmor_YutySaddle_Toxic_C</t>
  </si>
  <si>
    <t>/PrimalChaos/3Items/Saddles/1Toxic/Yuty/PrimalItemArmor_YutySaddle_Toxic.PrimalItemArmor_YutySaddle_Toxic</t>
  </si>
  <si>
    <t>Eggs (Underwater)</t>
  </si>
  <si>
    <t>Underwater Egg Diplocaulus Alpha</t>
  </si>
  <si>
    <t>PrimalItemConsumable_UnderwaterEgg_Diplocaulus_Alpha_C</t>
  </si>
  <si>
    <t>/PrimalChaos/1WaterDinos/2Alpha/Diplocaulus/PrimalItemConsumable_UnderwaterEgg_Diplocaulus_Alpha.PrimalItemConsumable_UnderwaterEgg_Diplocaulus_Alpha</t>
  </si>
  <si>
    <t>Underwater Egg Diplocaulus Beta</t>
  </si>
  <si>
    <t>PrimalItemConsumable_UnderwaterEgg_Diplocaulus_Beta_C</t>
  </si>
  <si>
    <t>/PrimalChaos/1WaterDinos/1Beta/Diplocaulus/PrimalItemConsumable_UnderwaterEgg_Diplocaulus_Beta.PrimalItemConsumable_UnderwaterEgg_Diplocaulus_Beta</t>
  </si>
  <si>
    <t>Underwater Egg Diplocaulus Hydro</t>
  </si>
  <si>
    <t>PrimalItemConsumable_UnderwaterEgg_Diplocaulus_Hydro_C</t>
  </si>
  <si>
    <t>/PrimalChaos/1Dinos/3Elemental/Hydro/Diplocaulus/PrimalItemConsumable_UnderwaterEgg_Diplocaulus_Hydro.PrimalItemConsumable_UnderwaterEgg_Diplocaulus_Hydro</t>
  </si>
  <si>
    <t>Underwater Egg Eel Alpha</t>
  </si>
  <si>
    <t>PrimalItemConsumable_UnderwaterEgg_Eel_Alpha_C</t>
  </si>
  <si>
    <t>/PrimalChaos/1WaterDinos/2Alpha/Electrophorus/PrimalItemConsumable_UnderwaterEgg_Eel_Alpha.PrimalItemConsumable_UnderwaterEgg_Eel_Alpha</t>
  </si>
  <si>
    <t>Underwater Egg Eel Beta</t>
  </si>
  <si>
    <t>PrimalItemConsumable_UnderwaterEgg_Eel_Beta_C</t>
  </si>
  <si>
    <t>/PrimalChaos/1WaterDinos/1Beta/Electrophorus/PrimalItemConsumable_UnderwaterEgg_Eel_Beta.PrimalItemConsumable_UnderwaterEgg_Eel_Beta</t>
  </si>
  <si>
    <t>Underwater Egg Toad Alpha</t>
  </si>
  <si>
    <t>PrimalItemConsumable_UnderwaterEgg_Toad_Alpha_C</t>
  </si>
  <si>
    <t>/PrimalChaos/1Dinos/2Alpha/Frog/PrimalItemConsumable_UnderwaterEgg_Toad_Alpha.PrimalItemConsumable_UnderwaterEgg_Toad_Alpha</t>
  </si>
  <si>
    <t>Underwater Egg Toad Beta</t>
  </si>
  <si>
    <t>PrimalItemConsumable_UnderwaterEgg_Toad_Beta_C</t>
  </si>
  <si>
    <t>/PrimalChaos/1Dinos/1Beta/Frog/PrimalItemConsumable_UnderwaterEgg_Toad_Beta.PrimalItemConsumable_UnderwaterEgg_Toad_Beta</t>
  </si>
  <si>
    <t>Underwater Egg Toad Fabled</t>
  </si>
  <si>
    <t>PrimalItemConsumable_UnderwaterEgg_Toad_Fabled_C</t>
  </si>
  <si>
    <t>/PrimalChaos/1Dinos/5Mythic_Legendary_Omega_Fabled/Fabled/Frog/PrimalItemConsumable_UnderwaterEgg_Toad_Fabled.PrimalItemConsumable_UnderwaterEgg_Toad_Fabled</t>
  </si>
  <si>
    <t>Underwater Egg Toad Hydro</t>
  </si>
  <si>
    <t>PrimalItemConsumable_UnderwaterEgg_Toad_Hydro_C</t>
  </si>
  <si>
    <t>/PrimalChaos/1Dinos/3Elemental/Hydro/Frog/PrimalItemConsumable_UnderwaterEgg_Toad_Hydro.PrimalItemConsumable_UnderwaterEgg_Toad_Hydro</t>
  </si>
  <si>
    <t>Underwater Egg Toad Mythic</t>
  </si>
  <si>
    <t>PrimalItemConsumable_UnderwaterEgg_Toad_Mythic_C</t>
  </si>
  <si>
    <t>/PrimalChaos/1Dinos/5MythicAndLegendary/Mythic/Frog/PrimalItemConsumable_UnderwaterEgg_Toad_Mythic.PrimalItemConsumable_UnderwaterEgg_Toad_Mythic</t>
  </si>
  <si>
    <t>Underwater Egg Toad Omega</t>
  </si>
  <si>
    <t>PrimalItemConsumable_UnderwaterEgg_Toad_Omega_C</t>
  </si>
  <si>
    <t>/PrimalChaos/1Dinos/5Mythic_Legendary_Omega_Fabled/Omega/Frog/PrimalItemConsumable_UnderwaterEgg_Toad_Omega.PrimalItemConsumable_UnderwaterEgg_Toad_Omega</t>
  </si>
  <si>
    <t>Underwater Egg Tuso Alpha</t>
  </si>
  <si>
    <t>PrimalItemConsumable_UnderwaterEgg_Tuso_Alpha_C</t>
  </si>
  <si>
    <t>/PrimalChaos/1WaterDinos/2Alpha/tusoteuthis/PrimalItemConsumable_UnderwaterEgg_Tuso_Alpha.PrimalItemConsumable_UnderwaterEgg_Tuso_Alpha</t>
  </si>
  <si>
    <t>Underwater Egg Tuso Beta</t>
  </si>
  <si>
    <t>PrimalItemConsumable_UnderwaterEgg_Tuso_Beta_C</t>
  </si>
  <si>
    <t>/PrimalChaos/1WaterDinos/1Beta/tusoteuthis/PrimalItemConsumable_UnderwaterEgg_Tuso_Beta.PrimalItemConsumable_UnderwaterEgg_Tuso_Beta</t>
  </si>
  <si>
    <t>Eggs (Fertilized)</t>
  </si>
  <si>
    <t>Egg Allo Fertilized Alpha</t>
  </si>
  <si>
    <t>PrimalItemConsumable_Egg_Allo_Fertilized_Alpha_C</t>
  </si>
  <si>
    <t>/PrimalChaos/1Dinos/2Alpha/Allo/PrimalItemConsumable_Egg_Allo_Fertilized_Alpha.PrimalItemConsumable_Egg_Allo_Fertilized_Alpha</t>
  </si>
  <si>
    <t>Egg Allo Fertilized Beta</t>
  </si>
  <si>
    <t>PrimalItemConsumable_Egg_Allo_Fertilized_Beta_C</t>
  </si>
  <si>
    <t>/PrimalChaos/1Dinos/1Toxic/Allo/PrimalItemConsumable_Egg_Allo_Fertilized_Beta.PrimalItemConsumable_Egg_Allo_Fertilized_Beta</t>
  </si>
  <si>
    <t>Egg Allo Fertilized Electric</t>
  </si>
  <si>
    <t>PrimalItemConsumable_Egg_Allo_Fertilized_Electric_C</t>
  </si>
  <si>
    <t>/PrimalChaos/1Dinos/3Elemental/Electric/Allo/PrimalItemConsumable_Egg_Allo_Fertilized_Electric.PrimalItemConsumable_Egg_Allo_Fertilized_Electric</t>
  </si>
  <si>
    <t>Egg Allo Fertilized Hydro</t>
  </si>
  <si>
    <t>PrimalItemConsumable_Egg_Allo_Fertilized_Hydro_C</t>
  </si>
  <si>
    <t>/PrimalChaos/1Dinos/3Elemental/Hydro/Allo/PrimalItemConsumable_Egg_Allo_Fertilized_Hydro.PrimalItemConsumable_Egg_Allo_Fertilized_Hydro</t>
  </si>
  <si>
    <t>Egg Allo Fertilized Legendary</t>
  </si>
  <si>
    <t>PrimalItemConsumable_Egg_Allo_Fertilized_Legendary_C</t>
  </si>
  <si>
    <t>/PrimalChaos/1Dinos/5Mythic_Legendary_Omega_Fabled/Legendary/Allo/PrimalItemConsumable_Egg_Allo_Fertilized_Legendary.PrimalItemConsumable_Egg_Allo_Fertilized_Legendary</t>
  </si>
  <si>
    <t>Egg Allo Fertilized Omega</t>
  </si>
  <si>
    <t>PrimalItemConsumable_Egg_Allo_Fertilized_Omega_C</t>
  </si>
  <si>
    <t>/PrimalChaos/1Dinos/5Mythic_Legendary_Omega_Fabled/Omega/Allo/PrimalItemConsumable_Egg_Allo_Fertilized_Omega.PrimalItemConsumable_Egg_Allo_Fertilized_Omega</t>
  </si>
  <si>
    <t>Egg Allo Fertilized Volcanic</t>
  </si>
  <si>
    <t>PrimalItemConsumable_Egg_Allo_Fertilized_Volcanic_C</t>
  </si>
  <si>
    <t>/PrimalChaos/1Dinos/3Elemental/Volcanic/Allo/PrimalItemConsumable_Egg_Allo_Fertilized_Volcanic.PrimalItemConsumable_Egg_Allo_Fertilized_Volcanic</t>
  </si>
  <si>
    <t>Egg Ankylo Fertilized Alpha</t>
  </si>
  <si>
    <t>PrimalItemConsumable_Egg_Ankylo_Fertilized_Alpha_C</t>
  </si>
  <si>
    <t>/PrimalChaos/1Dinos/2Alpha/Ankylosaurus/PrimalItemConsumable_Egg_Ankylo_Fertilized_Alpha.PrimalItemConsumable_Egg_Ankylo_Fertilized_Alpha</t>
  </si>
  <si>
    <t>Egg Ankylo Fertilized Beta</t>
  </si>
  <si>
    <t>PrimalItemConsumable_Egg_Ankylo_Fertilized_Beta_C</t>
  </si>
  <si>
    <t>/PrimalChaos/1Dinos/1Toxic/Ankylosaurus/PrimalItemConsumable_Egg_Ankylo_Fertilized_Beta.PrimalItemConsumable_Egg_Ankylo_Fertilized_Beta</t>
  </si>
  <si>
    <t>Egg Ankylo Fertilized Fabled</t>
  </si>
  <si>
    <t>PrimalItemConsumable_Egg_Ankylo_Fertilized_Fabled_C</t>
  </si>
  <si>
    <t>/PrimalChaos/1Dinos/5Mythic_Legendary_Omega_Fabled/Fabled/Anky/PrimalItemConsumable_Egg_Ankylo_Fertilized_Fabled.PrimalItemConsumable_Egg_Ankylo_Fertilized_Fabled</t>
  </si>
  <si>
    <t>Egg Ankylo Fertilized Mythic</t>
  </si>
  <si>
    <t>PrimalItemConsumable_Egg_Ankylo_Fertilized_Mythic_C</t>
  </si>
  <si>
    <t>/PrimalChaos/1Dinos/5Mythic_Legendary_Omega_Fabled/Mythic/Anky/PrimalItemConsumable_Egg_Ankylo_Fertilized_Mythic.PrimalItemConsumable_Egg_Ankylo_Fertilized_Mythic</t>
  </si>
  <si>
    <t>Egg Archa Fertilized Alpha</t>
  </si>
  <si>
    <t>PrimalItemConsumable_Egg_Archa_Fertilized_Alpha_C</t>
  </si>
  <si>
    <t>/PrimalChaos/1Dinos/2Alpha/Archaeopteryx/PrimalItemConsumable_Egg_Archa_Fertilized_Alpha.PrimalItemConsumable_Egg_Archa_Fertilized_Alpha</t>
  </si>
  <si>
    <t>Egg Archa Fertilized Beta</t>
  </si>
  <si>
    <t>PrimalItemConsumable_Egg_Archa_Fertilized_Beta_C</t>
  </si>
  <si>
    <t>/PrimalChaos/1Dinos/1Toxic/Archaeopteryx/PrimalItemConsumable_Egg_Archa_Fertilized_Beta.PrimalItemConsumable_Egg_Archa_Fertilized_Beta</t>
  </si>
  <si>
    <t>Egg Argent Fertilized Alpha</t>
  </si>
  <si>
    <t>PrimalItemConsumable_Egg_Argent_Fertilized_Alpha_C</t>
  </si>
  <si>
    <t>/PrimalChaos/1Dinos/2Alpha/Argentavis/PrimalItemConsumable_Egg_Argent_Fertilized_Alpha.PrimalItemConsumable_Egg_Argent_Fertilized_Alpha</t>
  </si>
  <si>
    <t>Egg Argent Fertilized Beta</t>
  </si>
  <si>
    <t>PrimalItemConsumable_Egg_Argent_Fertilized_Beta_C</t>
  </si>
  <si>
    <t>/PrimalChaos/1Dinos/1Toxic/Argentavis/PrimalItemConsumable_Egg_Argent_Fertilized_Beta.PrimalItemConsumable_Egg_Argent_Fertilized_Beta</t>
  </si>
  <si>
    <t>Egg Argent Fertilized Electric</t>
  </si>
  <si>
    <t>PrimalItemConsumable_Egg_Argent_Fertilized_Electric_C</t>
  </si>
  <si>
    <t>/PrimalChaos/1Dinos/3Elemental/Electric/Argent/PrimalItemConsumable_Egg_Argent_Fertilized_Electric.PrimalItemConsumable_Egg_Argent_Fertilized_Electric</t>
  </si>
  <si>
    <t>Egg Argent Fertilized Fabled</t>
  </si>
  <si>
    <t>PrimalItemConsumable_Egg_Argent_Fertilized_Fabled_C</t>
  </si>
  <si>
    <t>/PrimalChaos/1Dinos/5Mythic_Legendary_Omega_Fabled/Fabled/Argentavis/PrimalItemConsumable_Egg_Argent_Fertilized_Fabled.PrimalItemConsumable_Egg_Argent_Fertilized_Fabled</t>
  </si>
  <si>
    <t>Egg Argent Fertilized Fairy</t>
  </si>
  <si>
    <t>PrimalItemConsumable_Egg_Argent_Fertilized_Fairy_C</t>
  </si>
  <si>
    <t>/PrimalChaos/1Dinos/4ADVElement/Fairy/Argentavis/PrimalItemConsumable_Egg_Argent_Fertilized_Fairy.PrimalItemConsumable_Egg_Argent_Fertilized_Fairy</t>
  </si>
  <si>
    <t>Egg Argent Fertilized Mythic</t>
  </si>
  <si>
    <t>PrimalItemConsumable_Egg_Argent_Fertilized_Mythic_C</t>
  </si>
  <si>
    <t>/PrimalChaos/1Dinos/5Mythic_Legendary_Omega_Fabled/Mythic/Argentavis/PrimalItemConsumable_Egg_Argent_Fertilized_Mythic.PrimalItemConsumable_Egg_Argent_Fertilized_Mythic</t>
  </si>
  <si>
    <t>Egg Arthro Fertilized Alpha</t>
  </si>
  <si>
    <t>PrimalItemConsumable_Egg_Arthro_Fertilized_Alpha_C</t>
  </si>
  <si>
    <t>/PrimalChaos/1Dinos/2Alpha/Arthropluera/PrimalItemConsumable_Egg_Arthro_Fertilized_Alpha.PrimalItemConsumable_Egg_Arthro_Fertilized_Alpha</t>
  </si>
  <si>
    <t>Egg Arthro Fertilized Beta</t>
  </si>
  <si>
    <t>PrimalItemConsumable_Egg_Arthro_Fertilized_Beta_C</t>
  </si>
  <si>
    <t>/PrimalChaos/1Dinos/1Toxic/Arthropluera/PrimalItemConsumable_Egg_Arthro_Fertilized_Beta.PrimalItemConsumable_Egg_Arthro_Fertilized_Beta</t>
  </si>
  <si>
    <t>Egg Arthro Fertilized Shadow</t>
  </si>
  <si>
    <t>PrimalItemConsumable_Egg_Arthro_Fertilized_Shadow_C</t>
  </si>
  <si>
    <t>/PrimalChaos/1Dinos/4ADVElement/Shadow/Centipede/PrimalItemConsumable_Egg_Arthro_Fertilized_Shadow.PrimalItemConsumable_Egg_Arthro_Fertilized_Shadow</t>
  </si>
  <si>
    <t>Egg Baryonyx Fertilized Alpha</t>
  </si>
  <si>
    <t>PrimalItemConsumable_Egg_Baryonyx_Fertilized_Alpha_C</t>
  </si>
  <si>
    <t>/PrimalChaos/1Dinos/2Alpha/Baryonyx/PrimalItemConsumable_Egg_Baryonyx_Fertilized_Alpha.PrimalItemConsumable_Egg_Baryonyx_Fertilized_Alpha</t>
  </si>
  <si>
    <t>Egg Baryonyx Fertilized Beta</t>
  </si>
  <si>
    <t>PrimalItemConsumable_Egg_Baryonyx_Fertilized_Beta_C</t>
  </si>
  <si>
    <t>/PrimalChaos/1Dinos/1Toxic/Baryonyx/PrimalItemConsumable_Egg_Baryonyx_Fertilized_Beta.PrimalItemConsumable_Egg_Baryonyx_Fertilized_Beta</t>
  </si>
  <si>
    <t>Egg Baryonyx Fertilized Hydro</t>
  </si>
  <si>
    <t>PrimalItemConsumable_Egg_Baryonyx_Fertilized_Hydro_C</t>
  </si>
  <si>
    <t>/PrimalChaos/1Dinos/3Elemental/Hydro/Bary/PrimalItemConsumable_Egg_Baryonyx_Fertilized_Hydro.PrimalItemConsumable_Egg_Baryonyx_Fertilized_Hydro</t>
  </si>
  <si>
    <t>Egg Baryonyx Fertilized Legendary</t>
  </si>
  <si>
    <t>PrimalItemConsumable_Egg_Baryonyx_Fertilized_Legendary_C</t>
  </si>
  <si>
    <t>/PrimalChaos/1Dinos/5Mythic_Legendary_Omega_Fabled/Legendary/Baryonyx/PrimalItemConsumable_Egg_Baryonyx_Fertilized_Legendary.PrimalItemConsumable_Egg_Baryonyx_Fertilized_Legendary</t>
  </si>
  <si>
    <t>Egg Bronto Fertilized Alpha</t>
  </si>
  <si>
    <t>PrimalItemConsumable_Egg_Bronto_Fertilized_Alpha_C</t>
  </si>
  <si>
    <t>/PrimalChaos/1Dinos/2Alpha/Brontosaurus/PrimalItemConsumable_Egg_Bronto_Fertilized_Alpha.PrimalItemConsumable_Egg_Bronto_Fertilized_Alpha</t>
  </si>
  <si>
    <t>Egg Bronto Fertilized Beta</t>
  </si>
  <si>
    <t>PrimalItemConsumable_Egg_Bronto_Fertilized_Beta_C</t>
  </si>
  <si>
    <t>/PrimalChaos/1Dinos/1Toxic/Brontosaurus/PrimalItemConsumable_Egg_Bronto_Fertilized_Beta.PrimalItemConsumable_Egg_Bronto_Fertilized_Beta</t>
  </si>
  <si>
    <t>Egg Bronto Fertilized Fabled</t>
  </si>
  <si>
    <t>PrimalItemConsumable_Egg_Bronto_Fertilized_Fabled_C</t>
  </si>
  <si>
    <t>/PrimalChaos/1Dinos/5Mythic_Legendary_Omega_Fabled/Fabled/Sauropod/PrimalItemConsumable_Egg_Bronto_Fertilized_Fabled.PrimalItemConsumable_Egg_Bronto_Fertilized_Fabled</t>
  </si>
  <si>
    <t>Egg Bronto Fertilized Mythic</t>
  </si>
  <si>
    <t>PrimalItemConsumable_Egg_Bronto_Fertilized_Mythic_C</t>
  </si>
  <si>
    <t>/PrimalChaos/1Dinos/5Mythic_Legendary_Omega_Fabled/Mythic/Sauropod/PrimalItemConsumable_Egg_Bronto_Fertilized_Mythic.PrimalItemConsumable_Egg_Bronto_Fertilized_Mythic</t>
  </si>
  <si>
    <t>Egg Broodmother Fertilized Shadow</t>
  </si>
  <si>
    <t>PrimalItemConsumable_Egg_Broodmother_Fertilized_Shadow_C</t>
  </si>
  <si>
    <t>/PrimalChaos/1Dinos/4ADVElement/Shadow/Broodmother/PrimalItemConsumable_Egg_Broodmother_Fertilized_Shadow.PrimalItemConsumable_Egg_Broodmother_Fertilized_Shadow</t>
  </si>
  <si>
    <t>Egg Carcha Fertilized Alpha</t>
  </si>
  <si>
    <t>PrimalItemConsumable_Egg_Carcha_Fertilized_Alpha_C</t>
  </si>
  <si>
    <t>/PrimalChaos/1Dinos/2Alpha/Carcha/PrimalItemConsumable_Egg_Carcha_Fertilized_Alpha.PrimalItemConsumable_Egg_Carcha_Fertilized_Alpha</t>
  </si>
  <si>
    <t>Egg Carcha Fertilized Beta</t>
  </si>
  <si>
    <t>PrimalItemConsumable_Egg_Carcha_Fertilized_Beta_C</t>
  </si>
  <si>
    <t>/PrimalChaos/1Dinos/1Toxic/Carcha/PrimalItemConsumable_Egg_Carcha_Fertilized_Beta.PrimalItemConsumable_Egg_Carcha_Fertilized_Beta</t>
  </si>
  <si>
    <t>Egg Carcha Fertilized Legendary</t>
  </si>
  <si>
    <t>PrimalItemConsumable_Egg_Carcha_Fertilized_Legendary_C</t>
  </si>
  <si>
    <t>/PrimalChaos/1Dinos/5Mythic_Legendary_Omega_Fabled/Legendary/Carcha/PrimalItemConsumable_Egg_Carcha_Fertilized_Legendary.PrimalItemConsumable_Egg_Carcha_Fertilized_Legendary</t>
  </si>
  <si>
    <t>Egg Carno Fertilized Alpha</t>
  </si>
  <si>
    <t>PrimalItemConsumable_Egg_Carno_Fertilized_Alpha_C</t>
  </si>
  <si>
    <t>/PrimalChaos/1Dinos/2Alpha/Carno/PrimalItemConsumable_Egg_Carno_Fertilized_Alpha.PrimalItemConsumable_Egg_Carno_Fertilized_Alpha</t>
  </si>
  <si>
    <t>Egg Carno Fertilized Beta</t>
  </si>
  <si>
    <t>PrimalItemConsumable_Egg_Carno_Fertilized_Beta_C</t>
  </si>
  <si>
    <t>/PrimalChaos/1Dinos/1Toxic/Carno/PrimalItemConsumable_Egg_Carno_Fertilized_Beta.PrimalItemConsumable_Egg_Carno_Fertilized_Beta</t>
  </si>
  <si>
    <t>Egg Carno Fertilized Legendary</t>
  </si>
  <si>
    <t>PrimalItemConsumable_Egg_Carno_Fertilized_Legendary_C</t>
  </si>
  <si>
    <t>/PrimalChaos/1Dinos/5Mythic_Legendary_Omega_Fabled/Legendary/Carno/PrimalItemConsumable_Egg_Carno_Fertilized_Legendary.PrimalItemConsumable_Egg_Carno_Fertilized_Legendary</t>
  </si>
  <si>
    <t>Egg Carno Fertilized Omega</t>
  </si>
  <si>
    <t>PrimalItemConsumable_Egg_Carno_Fertilized_Omega_C</t>
  </si>
  <si>
    <t>/PrimalChaos/1Dinos/5Mythic_Legendary_Omega_Fabled/Omega/Carno/PrimalItemConsumable_Egg_Carno_Fertilized_Omega.PrimalItemConsumable_Egg_Carno_Fertilized_Omega</t>
  </si>
  <si>
    <t>Egg Compy Fertilized Alpha</t>
  </si>
  <si>
    <t>PrimalItemConsumable_Egg_Compy_Fertilized_Alpha_C</t>
  </si>
  <si>
    <t>/PrimalChaos/1Dinos/2Alpha/Compy/PrimalItemConsumable_Egg_Compy_Fertilized_Alpha.PrimalItemConsumable_Egg_Compy_Fertilized_Alpha</t>
  </si>
  <si>
    <t>Egg Compy Fertilized Beta</t>
  </si>
  <si>
    <t>PrimalItemConsumable_Egg_Compy_Fertilized_Beta_C</t>
  </si>
  <si>
    <t>/PrimalChaos/1Dinos/1Toxic/Compy/PrimalItemConsumable_Egg_Compy_Fertilized_Beta.PrimalItemConsumable_Egg_Compy_Fertilized_Beta</t>
  </si>
  <si>
    <t>Egg Dilo Fertilized Alpha</t>
  </si>
  <si>
    <t>PrimalItemConsumable_Egg_Dilo_Fertilized_Alpha_C</t>
  </si>
  <si>
    <t>/PrimalChaos/1Dinos/2Alpha/Dilo/PrimalItemConsumable_Egg_Dilo_Fertilized_Alpha.PrimalItemConsumable_Egg_Dilo_Fertilized_Alpha</t>
  </si>
  <si>
    <t>Egg Dilo Fertilized Beta</t>
  </si>
  <si>
    <t>PrimalItemConsumable_Egg_Dilo_Fertilized_Beta_C</t>
  </si>
  <si>
    <t>/PrimalChaos/1Dinos/1Toxic/Dilo/PrimalItemConsumable_Egg_Dilo_Fertilized_Beta.PrimalItemConsumable_Egg_Dilo_Fertilized_Beta</t>
  </si>
  <si>
    <t>Egg Dilo Fertilized Demonic</t>
  </si>
  <si>
    <t>PrimalItemConsumable_Egg_Dilo_Fertilized_Demonic_C</t>
  </si>
  <si>
    <t>/PrimalChaos/1Dinos/6DemonicAndAngelic/Demonic/Dilo/PrimalItemConsumable_Egg_Dilo_Fertilized_Demonic.PrimalItemConsumable_Egg_Dilo_Fertilized_Demonic</t>
  </si>
  <si>
    <t>Egg Dilo Fertilized Legendary</t>
  </si>
  <si>
    <t>PrimalItemConsumable_Egg_Dilo_Fertilized_Legendary_C</t>
  </si>
  <si>
    <t>/PrimalChaos/1Dinos/5Mythic_Legendary_Omega_Fabled/Legendary/Dilo/PrimalItemConsumable_Egg_Dilo_Fertilized_Legendary.PrimalItemConsumable_Egg_Dilo_Fertilized_Legendary</t>
  </si>
  <si>
    <t>Egg Dimetrodon Fertilized Alpha</t>
  </si>
  <si>
    <t>PrimalItemConsumable_Egg_Dimetrodon_Fertilized_Alpha_C</t>
  </si>
  <si>
    <t>/PrimalChaos/1Dinos/2Alpha/Dimetrodon/PrimalItemConsumable_Egg_Dimetrodon_Fertilized_Alpha.PrimalItemConsumable_Egg_Dimetrodon_Fertilized_Alpha</t>
  </si>
  <si>
    <t>Egg Dimetrodon Fertilized Beta</t>
  </si>
  <si>
    <t>PrimalItemConsumable_Egg_Dimetrodon_Fertilized_Beta_C</t>
  </si>
  <si>
    <t>/PrimalChaos/1Dinos/1Toxic/Dimetrodon/PrimalItemConsumable_Egg_Dimetrodon_Fertilized_Beta.PrimalItemConsumable_Egg_Dimetrodon_Fertilized_Beta</t>
  </si>
  <si>
    <t>Egg Dimorph Fertilized Alpha</t>
  </si>
  <si>
    <t>PrimalItemConsumable_Egg_Dimorph_Fertilized_Alpha_C</t>
  </si>
  <si>
    <t>/PrimalChaos/1Dinos/2Alpha/Dimorphodon/PrimalItemConsumable_Egg_Dimorph_Fertilized_Alpha.PrimalItemConsumable_Egg_Dimorph_Fertilized_Alpha</t>
  </si>
  <si>
    <t>Egg Dimorph Fertilized Beta</t>
  </si>
  <si>
    <t>PrimalItemConsumable_Egg_Dimorph_Fertilized_Beta_C</t>
  </si>
  <si>
    <t>/PrimalChaos/1Dinos/1Toxic/Dimorphodon/PrimalItemConsumable_Egg_Dimorph_Fertilized_Beta.PrimalItemConsumable_Egg_Dimorph_Fertilized_Beta</t>
  </si>
  <si>
    <t>Egg Diplo Fertilized Alpha</t>
  </si>
  <si>
    <t>PrimalItemConsumable_Egg_Diplo_Fertilized_Alpha_C</t>
  </si>
  <si>
    <t>/PrimalChaos/1Dinos/2Alpha/Diplodocus/PrimalItemConsumable_Egg_Diplo_Fertilized_Alpha.PrimalItemConsumable_Egg_Diplo_Fertilized_Alpha</t>
  </si>
  <si>
    <t>Egg Diplo Fertilized Beta</t>
  </si>
  <si>
    <t>PrimalItemConsumable_Egg_Diplo_Fertilized_Beta_C</t>
  </si>
  <si>
    <t>/PrimalChaos/1Dinos/1Toxic/Diplodocus/PrimalItemConsumable_Egg_Diplo_Fertilized_Beta.PrimalItemConsumable_Egg_Diplo_Fertilized_Beta</t>
  </si>
  <si>
    <t>Egg Dodo Fertilized Alpha</t>
  </si>
  <si>
    <t>PrimalItemConsumable_Egg_Dodo_Fertilized_Alpha_C</t>
  </si>
  <si>
    <t>/PrimalChaos/1Dinos/2Alpha/Dodo/PrimalItemConsumable_Egg_Dodo_Fertilized_Alpha.PrimalItemConsumable_Egg_Dodo_Fertilized_Alpha</t>
  </si>
  <si>
    <t>Egg Dodo Fertilized Beta</t>
  </si>
  <si>
    <t>PrimalItemConsumable_Egg_Dodo_Fertilized_Beta_C</t>
  </si>
  <si>
    <t>/PrimalChaos/1Dinos/1Toxic/Dodo/PrimalItemConsumable_Egg_Dodo_Fertilized_Beta.PrimalItemConsumable_Egg_Dodo_Fertilized_Beta</t>
  </si>
  <si>
    <t>Egg Dodorex Fertilized Electric</t>
  </si>
  <si>
    <t>PrimalItemConsumable_Egg_Dodorex_Fertilized_Electric_C</t>
  </si>
  <si>
    <t>/PrimalChaos/1Dinos/3Elemental/Electric/Dodorex/PrimalItemConsumable_Egg_Dodorex_Fertilized_Electric.PrimalItemConsumable_Egg_Dodorex_Fertilized_Electric</t>
  </si>
  <si>
    <t>Egg Dodorex Fertilized Volcanic</t>
  </si>
  <si>
    <t>PrimalItemConsumable_Egg_Dodorex_Fertilized_Volcanic_C</t>
  </si>
  <si>
    <t>/PrimalChaos/1Dinos/3Elemental/Volcanic/Dodorex/PrimalItemConsumable_Egg_Dodorex_Fertilized_Volcanic.PrimalItemConsumable_Egg_Dodorex_Fertilized_Volcanic</t>
  </si>
  <si>
    <t>Egg Fertilized Electric Dragon</t>
  </si>
  <si>
    <t>PrimalItemConsumable_Egg_Fertilized_ElectricDragon_C</t>
  </si>
  <si>
    <t>/PrimalChaos/1Dinos/3Elemental/Electric/Dragon/PrimalItemConsumable_Egg_Fertilized_ElectricDragon.PrimalItemConsumable_Egg_Fertilized_ElectricDragon</t>
  </si>
  <si>
    <t>Egg Fertilized Volcanic Dragon</t>
  </si>
  <si>
    <t>PrimalItemConsumable_Egg_Fertilized_VolcanicDragon_C</t>
  </si>
  <si>
    <t>/PrimalChaos/1Dinos/3Elemental/Volcanic/Dragon/PrimalItemConsumable_Egg_Fertilized_VolcanicDragon.PrimalItemConsumable_Egg_Fertilized_VolcanicDragon</t>
  </si>
  <si>
    <t>Egg Galli Fertilized Alpha</t>
  </si>
  <si>
    <t>PrimalItemConsumable_Egg_Galli_Fertilized_Alpha_C</t>
  </si>
  <si>
    <t>/PrimalChaos/1Dinos/2Alpha/Gallimimus/PrimalItemConsumable_Egg_Galli_Fertilized_Alpha.PrimalItemConsumable_Egg_Galli_Fertilized_Alpha</t>
  </si>
  <si>
    <t>Egg Galli Fertilized Beta</t>
  </si>
  <si>
    <t>PrimalItemConsumable_Egg_Galli_Fertilized_Beta_C</t>
  </si>
  <si>
    <t>/PrimalChaos/1Dinos/1Toxic/Gallimimus/PrimalItemConsumable_Egg_Galli_Fertilized_Beta.PrimalItemConsumable_Egg_Galli_Fertilized_Beta</t>
  </si>
  <si>
    <t>Egg Gigant Fertilized Alpha</t>
  </si>
  <si>
    <t>PrimalItemConsumable_Egg_Gigant_Fertilized_Alpha_C</t>
  </si>
  <si>
    <t>/PrimalChaos/1Dinos/2Alpha/Giga/PrimalItemConsumable_Egg_Gigant_Fertilized_Alpha.PrimalItemConsumable_Egg_Gigant_Fertilized_Alpha</t>
  </si>
  <si>
    <t>Egg Gigant Fertilized Beta</t>
  </si>
  <si>
    <t>PrimalItemConsumable_Egg_Gigant_Fertilized_Beta_C</t>
  </si>
  <si>
    <t>/PrimalChaos/1Dinos/1Toxic/Giga/PrimalItemConsumable_Egg_Gigant_Fertilized_Beta.PrimalItemConsumable_Egg_Gigant_Fertilized_Beta</t>
  </si>
  <si>
    <t>Egg Griffin Fertilized Electric</t>
  </si>
  <si>
    <t>PrimalItemConsumable_Egg_Griffin_Fertilized_Electric_C</t>
  </si>
  <si>
    <t>/PrimalChaos/1Dinos/3Elemental/Electric/Griffin/PrimalItemConsumable_Egg_Griffin_Fertilized_Electric.PrimalItemConsumable_Egg_Griffin_Fertilized_Electric</t>
  </si>
  <si>
    <t>Egg Hesperonis Fertilized Alpha</t>
  </si>
  <si>
    <t>PrimalItemConsumable_Egg_Hesperonis_Fertilized_Alpha_C</t>
  </si>
  <si>
    <t>/PrimalChaos/1Dinos/2Alpha/Hesperornis/PrimalItemConsumable_Egg_Hesperonis_Fertilized_Alpha.PrimalItemConsumable_Egg_Hesperonis_Fertilized_Alpha</t>
  </si>
  <si>
    <t>Egg Hesperonis Fertilized Beta</t>
  </si>
  <si>
    <t>PrimalItemConsumable_Egg_Hesperonis_Fertilized_Beta_C</t>
  </si>
  <si>
    <t>/PrimalChaos/1Dinos/1Toxic/Hesperornis/PrimalItemConsumable_Egg_Hesperonis_Fertilized_Beta.PrimalItemConsumable_Egg_Hesperonis_Fertilized_Beta</t>
  </si>
  <si>
    <t>Egg Iguanodon Fertilized Alpha</t>
  </si>
  <si>
    <t>PrimalItemConsumable_Egg_Iguanodon_Fertilized_Alpha_C</t>
  </si>
  <si>
    <t>/PrimalChaos/1Dinos/2Alpha/Iguanodon/PrimalItemConsumable_Egg_Iguanodon_Fertilized_Alpha.PrimalItemConsumable_Egg_Iguanodon_Fertilized_Alpha</t>
  </si>
  <si>
    <t>Egg Iguanodon Fertilized Beta</t>
  </si>
  <si>
    <t>PrimalItemConsumable_Egg_Iguanodon_Fertilized_Beta_C</t>
  </si>
  <si>
    <t>/PrimalChaos/1Dinos/1Toxic/Iguanodon/PrimalItemConsumable_Egg_Iguanodon_Fertilized_Beta.PrimalItemConsumable_Egg_Iguanodon_Fertilized_Beta</t>
  </si>
  <si>
    <t>Egg Indom Fertilized Legendary</t>
  </si>
  <si>
    <t>PrimalItemConsumable_Egg_Indom_Fertilized_Legendary_C</t>
  </si>
  <si>
    <t>/PrimalChaos/1Dinos/5Mythic_Legendary_Omega_Fabled/Legendary/indom/PrimalItemConsumable_Egg_Indom_Fertilized_Legendary.PrimalItemConsumable_Egg_Indom_Fertilized_Legendary</t>
  </si>
  <si>
    <t>Egg Kairuku Fertilized Alpha</t>
  </si>
  <si>
    <t>PrimalItemConsumable_Egg_Kairuku_Fertilized_Alpha_C</t>
  </si>
  <si>
    <t>/PrimalChaos/1Dinos/2Alpha/Kairuku/PrimalItemConsumable_Egg_Kairuku_Fertilized_Alpha.PrimalItemConsumable_Egg_Kairuku_Fertilized_Alpha</t>
  </si>
  <si>
    <t>Egg Kairuku Fertilized Beta</t>
  </si>
  <si>
    <t>PrimalItemConsumable_Egg_Kairuku_Fertilized_Beta_C</t>
  </si>
  <si>
    <t>/PrimalChaos/1Dinos/1Toxic/Kairuku/PrimalItemConsumable_Egg_Kairuku_Fertilized_Beta.PrimalItemConsumable_Egg_Kairuku_Fertilized_Beta</t>
  </si>
  <si>
    <t>Egg Kairuku Fertilized Hydro</t>
  </si>
  <si>
    <t>PrimalItemConsumable_Egg_Kairuku_Fertilized_Hydro_C</t>
  </si>
  <si>
    <t>/PrimalChaos/1Dinos/3Elemental/Hydro/Kairuku/PrimalItemConsumable_Egg_Kairuku_Fertilized_Hydro.PrimalItemConsumable_Egg_Kairuku_Fertilized_Hydro</t>
  </si>
  <si>
    <t>Egg Kairuku Fertilized Legendary</t>
  </si>
  <si>
    <t>PrimalItemConsumable_Egg_Kairuku_Fertilized_Legendary_C</t>
  </si>
  <si>
    <t>/PrimalChaos/1Dinos/5Mythic_Legendary_Omega_Fabled/Legendary/Kairuku/PrimalItemConsumable_Egg_Kairuku_Fertilized_Legendary.PrimalItemConsumable_Egg_Kairuku_Fertilized_Legendary</t>
  </si>
  <si>
    <t>Egg Kaprosuchus Fertilized Alpha</t>
  </si>
  <si>
    <t>PrimalItemConsumable_Egg_Kaprosuchus_Fertilized_Alpha_C</t>
  </si>
  <si>
    <t>/PrimalChaos/1Dinos/2Alpha/Kaprosuchus/PrimalItemConsumable_Egg_Kaprosuchus_Fertilized_Alpha.PrimalItemConsumable_Egg_Kaprosuchus_Fertilized_Alpha</t>
  </si>
  <si>
    <t>Egg Kaprosuchus Fertilized Beta</t>
  </si>
  <si>
    <t>PrimalItemConsumable_Egg_Kaprosuchus_Fertilized_Beta_C</t>
  </si>
  <si>
    <t>/PrimalChaos/1Dinos/1Toxic/Kaprosuchus/PrimalItemConsumable_Egg_Kaprosuchus_Fertilized_Beta.PrimalItemConsumable_Egg_Kaprosuchus_Fertilized_Beta</t>
  </si>
  <si>
    <t>Egg Kaprosuchus Fertilized Hydro</t>
  </si>
  <si>
    <t>PrimalItemConsumable_Egg_Kaprosuchus_Fertilized_Hydro_C</t>
  </si>
  <si>
    <t>/PrimalChaos/1Dinos/3Elemental/Hydro/Kapro/PrimalItemConsumable_Egg_Kaprosuchus_Fertilized_Hydro.PrimalItemConsumable_Egg_Kaprosuchus_Fertilized_Hydro</t>
  </si>
  <si>
    <t>Egg Kaprosuchus Fertilized Legendary</t>
  </si>
  <si>
    <t>PrimalItemConsumable_Egg_Kaprosuchus_Fertilized_Legendary_C</t>
  </si>
  <si>
    <t>/PrimalChaos/1Dinos/5Mythic_Legendary_Omega_Fabled/Legendary/Kapro/PrimalItemConsumable_Egg_Kaprosuchus_Fertilized_Legendary.PrimalItemConsumable_Egg_Kaprosuchus_Fertilized_Legendary</t>
  </si>
  <si>
    <t>Egg Kentro Fertilized Alpha</t>
  </si>
  <si>
    <t>PrimalItemConsumable_Egg_Kentro_Fertilized_Alpha_C</t>
  </si>
  <si>
    <t>/PrimalChaos/1Dinos/2Alpha/Kentro/PrimalItemConsumable_Egg_Kentro_Fertilized_Alpha.PrimalItemConsumable_Egg_Kentro_Fertilized_Alpha</t>
  </si>
  <si>
    <t>Egg Kentro Fertilized Beta</t>
  </si>
  <si>
    <t>PrimalItemConsumable_Egg_Kentro_Fertilized_Beta_C</t>
  </si>
  <si>
    <t>/PrimalChaos/1Dinos/1Toxic/Kentro/PrimalItemConsumable_Egg_Kentro_Fertilized_Beta.PrimalItemConsumable_Egg_Kentro_Fertilized_Beta</t>
  </si>
  <si>
    <t>Egg Lystro Fertilized Alpha</t>
  </si>
  <si>
    <t>PrimalItemConsumable_Egg_Lystro_Fertilized_Alpha_C</t>
  </si>
  <si>
    <t>/PrimalChaos/1Dinos/2Alpha/Lystro/PrimalItemConsumable_Egg_Lystro_Fertilized_Alpha.PrimalItemConsumable_Egg_Lystro_Fertilized_Alpha</t>
  </si>
  <si>
    <t>Egg Lystro Fertilized Beta</t>
  </si>
  <si>
    <t>PrimalItemConsumable_Egg_Lystro_Fertilized_Beta_C</t>
  </si>
  <si>
    <t>/PrimalChaos/1Dinos/1Toxic/Lystro/PrimalItemConsumable_Egg_Lystro_Fertilized_Beta.PrimalItemConsumable_Egg_Lystro_Fertilized_Beta</t>
  </si>
  <si>
    <t>Egg Mantis Fertilized Fabled</t>
  </si>
  <si>
    <t>PrimalItemConsumable_Egg_Mantis_Fertilized_Fabled_C</t>
  </si>
  <si>
    <t>/PrimalChaos/1Dinos/5Mythic_Legendary_Omega_Fabled/Fabled/Mantis/PrimalItemConsumable_Egg_Mantis_Fertilized_Fabled.PrimalItemConsumable_Egg_Mantis_Fertilized_Fabled</t>
  </si>
  <si>
    <t>Egg Mantis Fertilized Mythic</t>
  </si>
  <si>
    <t>PrimalItemConsumable_Egg_Mantis_Fertilized_Mythic_C</t>
  </si>
  <si>
    <t>/PrimalChaos/1Dinos/5Mythic_Legendary_Omega_Fabled/Mythic/Mantis/PrimalItemConsumable_Egg_Mantis_Fertilized_Mythic.PrimalItemConsumable_Egg_Mantis_Fertilized_Mythic</t>
  </si>
  <si>
    <t>Egg Megalania Fertilized Alpha</t>
  </si>
  <si>
    <t>PrimalItemConsumable_Egg_Megalania_Fertilized_Alpha_C</t>
  </si>
  <si>
    <t>/PrimalChaos/1Dinos/2Alpha/Megalania/PrimalItemConsumable_Egg_Megalania_Fertilized_Alpha.PrimalItemConsumable_Egg_Megalania_Fertilized_Alpha</t>
  </si>
  <si>
    <t>Egg Megalania Fertilized Beta</t>
  </si>
  <si>
    <t>PrimalItemConsumable_Egg_Megalania_Fertilized_Beta_C</t>
  </si>
  <si>
    <t>/PrimalChaos/1Dinos/1Toxic/Megalania/PrimalItemConsumable_Egg_Megalania_Fertilized_Beta.PrimalItemConsumable_Egg_Megalania_Fertilized_Beta</t>
  </si>
  <si>
    <t>Egg Megalosaurus Fertilized Alpha</t>
  </si>
  <si>
    <t>PrimalItemConsumable_Egg_Megalosaurus_Fertilized_Alpha_C</t>
  </si>
  <si>
    <t>/PrimalChaos/1Dinos/2Alpha/Megalo/PrimalItemConsumable_Egg_Megalosaurus_Fertilized_Alpha.PrimalItemConsumable_Egg_Megalosaurus_Fertilized_Alpha</t>
  </si>
  <si>
    <t>Egg Megalosaurus Fertilized Beta</t>
  </si>
  <si>
    <t>PrimalItemConsumable_Egg_Megalosaurus_Fertilized_Beta_C</t>
  </si>
  <si>
    <t>/PrimalChaos/1Dinos/1Toxic/Megalo/PrimalItemConsumable_Egg_Megalosaurus_Fertilized_Beta.PrimalItemConsumable_Egg_Megalosaurus_Fertilized_Beta</t>
  </si>
  <si>
    <t>Egg Moschops Fertilized Alpha</t>
  </si>
  <si>
    <t>PrimalItemConsumable_Egg_Moschops_Fertilized_Alpha_C</t>
  </si>
  <si>
    <t>/PrimalChaos/1Dinos/2Alpha/Moschops/PrimalItemConsumable_Egg_Moschops_Fertilized_Alpha.PrimalItemConsumable_Egg_Moschops_Fertilized_Alpha</t>
  </si>
  <si>
    <t>Egg Moschops Fertilized Beta</t>
  </si>
  <si>
    <t>PrimalItemConsumable_Egg_Moschops_Fertilized_Beta_C</t>
  </si>
  <si>
    <t>/PrimalChaos/1Dinos/1Toxic/Moschops/PrimalItemConsumable_Egg_Moschops_Fertilized_Beta.PrimalItemConsumable_Egg_Moschops_Fertilized_Beta</t>
  </si>
  <si>
    <t>Egg Oviraptor Fertilized Alpha</t>
  </si>
  <si>
    <t>PrimalItemConsumable_Egg_Oviraptor_Fertilized_Alpha_C</t>
  </si>
  <si>
    <t>/PrimalChaos/1Dinos/2Alpha/Oviraptor/PrimalItemConsumable_Egg_Oviraptor_Fertilized_Alpha.PrimalItemConsumable_Egg_Oviraptor_Fertilized_Alpha</t>
  </si>
  <si>
    <t>Egg Oviraptor Fertilized Beta</t>
  </si>
  <si>
    <t>PrimalItemConsumable_Egg_Oviraptor_Fertilized_Beta_C</t>
  </si>
  <si>
    <t>/PrimalChaos/1Dinos/1Toxic/Oviraptor/PrimalItemConsumable_Egg_Oviraptor_Fertilized_Beta.PrimalItemConsumable_Egg_Oviraptor_Fertilized_Beta</t>
  </si>
  <si>
    <t>Egg Pachy Fertilized Alpha</t>
  </si>
  <si>
    <t>PrimalItemConsumable_Egg_Pachy_Fertilized_Alpha_C</t>
  </si>
  <si>
    <t>/PrimalChaos/1Dinos/2Alpha/Pachy/PrimalItemConsumable_Egg_Pachy_Fertilized_Alpha.PrimalItemConsumable_Egg_Pachy_Fertilized_Alpha</t>
  </si>
  <si>
    <t>Egg Pachy Fertilized Beta</t>
  </si>
  <si>
    <t>PrimalItemConsumable_Egg_Pachy_Fertilized_Beta_C</t>
  </si>
  <si>
    <t>/PrimalChaos/1Dinos/1Toxic/Pachy/PrimalItemConsumable_Egg_Pachy_Fertilized_Beta.PrimalItemConsumable_Egg_Pachy_Fertilized_Beta</t>
  </si>
  <si>
    <t>Egg Pachy Fertilized Legendary</t>
  </si>
  <si>
    <t>PrimalItemConsumable_Egg_Pachy_Fertilized_Legendary_C</t>
  </si>
  <si>
    <t>/PrimalChaos/1Dinos/5Mythic_Legendary_Omega_Fabled/Legendary/Pachy/PrimalItemConsumable_Egg_Pachy_Fertilized_Legendary.PrimalItemConsumable_Egg_Pachy_Fertilized_Legendary</t>
  </si>
  <si>
    <t>Egg Pachy Rhino Fertilized Alpha</t>
  </si>
  <si>
    <t>PrimalItemConsumable_Egg_PachyRhino_Fertilized_Alpha_C</t>
  </si>
  <si>
    <t>/PrimalChaos/1Dinos/2Alpha/Pachyrhino/PrimalItemConsumable_Egg_PachyRhino_Fertilized_Alpha.PrimalItemConsumable_Egg_PachyRhino_Fertilized_Alpha</t>
  </si>
  <si>
    <t>Egg Pachy Rhino Fertilized Beta</t>
  </si>
  <si>
    <t>PrimalItemConsumable_Egg_PachyRhino_Fertilized_Beta_C</t>
  </si>
  <si>
    <t>/PrimalChaos/1Dinos/1Toxic/Pachyrhino/PrimalItemConsumable_Egg_PachyRhino_Fertilized_Beta.PrimalItemConsumable_Egg_PachyRhino_Fertilized_Beta</t>
  </si>
  <si>
    <t>Egg Para Fertilized Alpha</t>
  </si>
  <si>
    <t>PrimalItemConsumable_Egg_Para_Fertilized_Alpha_C</t>
  </si>
  <si>
    <t>/PrimalChaos/1Dinos/2Alpha/Parasaur/PrimalItemConsumable_Egg_Para_Fertilized_Alpha.PrimalItemConsumable_Egg_Para_Fertilized_Alpha</t>
  </si>
  <si>
    <t>Egg Para Fertilized Beta</t>
  </si>
  <si>
    <t>PrimalItemConsumable_Egg_Para_Fertilized_Beta_C</t>
  </si>
  <si>
    <t>/PrimalChaos/1Dinos/1Toxic/Parasaur/PrimalItemConsumable_Egg_Para_Fertilized_Beta.PrimalItemConsumable_Egg_Para_Fertilized_Beta</t>
  </si>
  <si>
    <t>Egg Pegomastax Fertilized Alpha</t>
  </si>
  <si>
    <t>PrimalItemConsumable_Egg_Pegomastax_Fertilized_Alpha_C</t>
  </si>
  <si>
    <t>/PrimalChaos/1Dinos/2Alpha/Pegomastax/PrimalItemConsumable_Egg_Pegomastax_Fertilized_Alpha.PrimalItemConsumable_Egg_Pegomastax_Fertilized_Alpha</t>
  </si>
  <si>
    <t>Egg Pegomastax Fertilized Beta</t>
  </si>
  <si>
    <t>PrimalItemConsumable_Egg_Pegomastax_Fertilized_Beta_C</t>
  </si>
  <si>
    <t>/PrimalChaos/1Dinos/1Toxic/Pegomastax/PrimalItemConsumable_Egg_Pegomastax_Fertilized_Beta.PrimalItemConsumable_Egg_Pegomastax_Fertilized_Beta</t>
  </si>
  <si>
    <t>Egg Pela Fertilized Alpha</t>
  </si>
  <si>
    <t>PrimalItemConsumable_Egg_Pela_Fertilized_Alpha_C</t>
  </si>
  <si>
    <t>/PrimalChaos/1Dinos/2Alpha/Pelagornis/PrimalItemConsumable_Egg_Pela_Fertilized_Alpha.PrimalItemConsumable_Egg_Pela_Fertilized_Alpha</t>
  </si>
  <si>
    <t>Egg Pela Fertilized Beta</t>
  </si>
  <si>
    <t>PrimalItemConsumable_Egg_Pela_Fertilized_Beta_C</t>
  </si>
  <si>
    <t>/PrimalChaos/1Dinos/1Toxic/Pelagornis/PrimalItemConsumable_Egg_Pela_Fertilized_Beta.PrimalItemConsumable_Egg_Pela_Fertilized_Beta</t>
  </si>
  <si>
    <t>Egg Ptero Fertilized Alpha</t>
  </si>
  <si>
    <t>PrimalItemConsumable_Egg_Ptero_Fertilized_Alpha_C</t>
  </si>
  <si>
    <t>/PrimalChaos/1Dinos/2Alpha/Ptera/PrimalItemConsumable_Egg_Ptero_Fertilized_Alpha.PrimalItemConsumable_Egg_Ptero_Fertilized_Alpha</t>
  </si>
  <si>
    <t>Egg Ptero Fertilized Beta</t>
  </si>
  <si>
    <t>PrimalItemConsumable_Egg_Ptero_Fertilized_Beta_C</t>
  </si>
  <si>
    <t>/PrimalChaos/1Dinos/1Toxic/Ptera/PrimalItemConsumable_Egg_Ptero_Fertilized_Beta.PrimalItemConsumable_Egg_Ptero_Fertilized_Beta</t>
  </si>
  <si>
    <t>Egg Ptero Fertilized Fabled</t>
  </si>
  <si>
    <t>PrimalItemConsumable_Egg_Ptero_Fertilized_Fabled_C</t>
  </si>
  <si>
    <t>/PrimalChaos/1Dinos/5Mythic_Legendary_Omega_Fabled/Fabled/Ptero/PrimalItemConsumable_Egg_Ptero_Fertilized_Fabled.PrimalItemConsumable_Egg_Ptero_Fertilized_Fabled</t>
  </si>
  <si>
    <t>Egg Ptero Fertilized Legendary</t>
  </si>
  <si>
    <t>PrimalItemConsumable_Egg_Ptero_Fertilized_Legendary_C</t>
  </si>
  <si>
    <t>/PrimalChaos/1Dinos/5Mythic_Legendary_Omega_Fabled/Legendary/Ptero/PrimalItemConsumable_Egg_Ptero_Fertilized_Legendary.PrimalItemConsumable_Egg_Ptero_Fertilized_Legendary</t>
  </si>
  <si>
    <t>Egg Ptero Fertilized Mythic</t>
  </si>
  <si>
    <t>PrimalItemConsumable_Egg_Ptero_Fertilized_Mythic_C</t>
  </si>
  <si>
    <t>/PrimalChaos/1Dinos/5Mythic_Legendary_Omega_Fabled/Mythic/Ptero/PrimalItemConsumable_Egg_Ptero_Fertilized_Mythic.PrimalItemConsumable_Egg_Ptero_Fertilized_Mythic</t>
  </si>
  <si>
    <t>Egg Quetz Fertilized Alpha</t>
  </si>
  <si>
    <t>PrimalItemConsumable_Egg_Quetz_Fertilized_Alpha_C</t>
  </si>
  <si>
    <t>/PrimalChaos/1Dinos/2Alpha/Quetzal/PrimalItemConsumable_Egg_Quetz_Fertilized_Alpha.PrimalItemConsumable_Egg_Quetz_Fertilized_Alpha</t>
  </si>
  <si>
    <t>Egg Quetz Fertilized Beta</t>
  </si>
  <si>
    <t>PrimalItemConsumable_Egg_Quetz_Fertilized_Beta_C</t>
  </si>
  <si>
    <t>/PrimalChaos/1Dinos/1Toxic/Quetzal/PrimalItemConsumable_Egg_Quetz_Fertilized_Beta.PrimalItemConsumable_Egg_Quetz_Fertilized_Beta</t>
  </si>
  <si>
    <t>Egg Quetz Fertilized Fabled</t>
  </si>
  <si>
    <t>PrimalItemConsumable_Egg_Quetz_Fertilized_Fabled_C</t>
  </si>
  <si>
    <t>/PrimalChaos/1Dinos/5Mythic_Legendary_Omega_Fabled/Fabled/Queltzal/PrimalItemConsumable_Egg_Quetz_Fertilized_Fabled.PrimalItemConsumable_Egg_Quetz_Fertilized_Fabled</t>
  </si>
  <si>
    <t>Egg Quetz Fertilized Mythic</t>
  </si>
  <si>
    <t>PrimalItemConsumable_Egg_Quetz_Fertilized_Mythic_C</t>
  </si>
  <si>
    <t>/PrimalChaos/1Dinos/5Mythic_Legendary_Omega_Fabled/Mythic/Queltzal/PrimalItemConsumable_Egg_Quetz_Fertilized_Mythic.PrimalItemConsumable_Egg_Quetz_Fertilized_Mythic</t>
  </si>
  <si>
    <t>Egg Raptor Fertilized Alpha</t>
  </si>
  <si>
    <t>PrimalItemConsumable_Egg_Raptor_Fertilized_Alpha_C</t>
  </si>
  <si>
    <t>/PrimalChaos/1Dinos/2Alpha/Raptor/PrimalItemConsumable_Egg_Raptor_Fertilized_Alpha.PrimalItemConsumable_Egg_Raptor_Fertilized_Alpha</t>
  </si>
  <si>
    <t>Egg Raptor Fertilized Beta</t>
  </si>
  <si>
    <t>PrimalItemConsumable_Egg_Raptor_Fertilized_Beta_C</t>
  </si>
  <si>
    <t>/PrimalChaos/1Dinos/1Toxic/Raptor/PrimalItemConsumable_Egg_Raptor_Fertilized_Beta.PrimalItemConsumable_Egg_Raptor_Fertilized_Beta</t>
  </si>
  <si>
    <t>Egg Raptor Fertilized Legendary</t>
  </si>
  <si>
    <t>PrimalItemConsumable_Egg_Raptor_Fertilized_Legendary_C</t>
  </si>
  <si>
    <t>/PrimalChaos/1Dinos/5Mythic_Legendary_Omega_Fabled/Legendary/Raptor/PrimalItemConsumable_Egg_Raptor_Fertilized_Legendary.PrimalItemConsumable_Egg_Raptor_Fertilized_Legendary</t>
  </si>
  <si>
    <t>Egg Raptor Fertilized Omega</t>
  </si>
  <si>
    <t>PrimalItemConsumable_Egg_Raptor_Fertilized_Omega_C</t>
  </si>
  <si>
    <t>/PrimalChaos/1Dinos/5Mythic_Legendary_Omega_Fabled/Omega/Raptor/PrimalItemConsumable_Egg_Raptor_Fertilized_Omega.PrimalItemConsumable_Egg_Raptor_Fertilized_Omega</t>
  </si>
  <si>
    <t>Egg Raptor Fertilized Volcanic</t>
  </si>
  <si>
    <t>PrimalItemConsumable_Egg_Raptor_Fertilized_Volcanic_C</t>
  </si>
  <si>
    <t>/PrimalChaos/1Dinos/3Elemental/Volcanic/Raptor/PrimalItemConsumable_Egg_Raptor_Fertilized_Volcanic.PrimalItemConsumable_Egg_Raptor_Fertilized_Volcanic</t>
  </si>
  <si>
    <t>Egg Reaper Fertilized Demonic</t>
  </si>
  <si>
    <t>PrimalItemConsumable_Egg_Reaper_Fertilized_Demonic_C</t>
  </si>
  <si>
    <t>/PrimalChaos/1Dinos/6DemonicAndAngelic/Demonic/Reaper/PrimalItemConsumable_Egg_Reaper_Fertilized_Demonic.PrimalItemConsumable_Egg_Reaper_Fertilized_Demonic</t>
  </si>
  <si>
    <t>Egg Rex Fertilized Alpha</t>
  </si>
  <si>
    <t>PrimalItemConsumable_Egg_Rex_Fertilized_Alpha_C</t>
  </si>
  <si>
    <t>/PrimalChaos/1Dinos/2Alpha/Rex/PrimalItemConsumable_Egg_Rex_Fertilized_Alpha.PrimalItemConsumable_Egg_Rex_Fertilized_Alpha</t>
  </si>
  <si>
    <t>Egg Rex Fertilized Beta</t>
  </si>
  <si>
    <t>PrimalItemConsumable_Egg_Rex_Fertilized_Beta_C</t>
  </si>
  <si>
    <t>/PrimalChaos/1Dinos/1Toxic/Rex/PrimalItemConsumable_Egg_Rex_Fertilized_Beta.PrimalItemConsumable_Egg_Rex_Fertilized_Beta</t>
  </si>
  <si>
    <t>Egg Rex Fertilized Electric</t>
  </si>
  <si>
    <t>PrimalItemConsumable_Egg_Rex_Fertilized_Electric_C</t>
  </si>
  <si>
    <t>/PrimalChaos/1Dinos/3Elemental/Electric/Rex/PrimalItemConsumable_Egg_Rex_Fertilized_Electric.PrimalItemConsumable_Egg_Rex_Fertilized_Electric</t>
  </si>
  <si>
    <t>Egg Rex Fertilized Hydro</t>
  </si>
  <si>
    <t>PrimalItemConsumable_Egg_Rex_Fertilized_Hydro_C</t>
  </si>
  <si>
    <t>/PrimalChaos/1Dinos/3Elemental/Hydro/Rex/PrimalItemConsumable_Egg_Rex_Fertilized_Hydro.PrimalItemConsumable_Egg_Rex_Fertilized_Hydro</t>
  </si>
  <si>
    <t>Egg Rex Fertilized Omega</t>
  </si>
  <si>
    <t>PrimalItemConsumable_Egg_Rex_Fertilized_Omega_C</t>
  </si>
  <si>
    <t>/PrimalChaos/1Dinos/5Mythic_Legendary_Omega_Fabled/Omega/Rex/PrimalItemConsumable_Egg_Rex_Fertilized_Omega.PrimalItemConsumable_Egg_Rex_Fertilized_Omega</t>
  </si>
  <si>
    <t>Egg Rex Fertilized Volcanic</t>
  </si>
  <si>
    <t>PrimalItemConsumable_Egg_Rex_Fertilized_Volcanic_C</t>
  </si>
  <si>
    <t>/PrimalChaos/1Dinos/3Elemental/Volcanic/Rex/PrimalItemConsumable_Egg_Rex_Fertilized_Volcanic.PrimalItemConsumable_Egg_Rex_Fertilized_Volcanic</t>
  </si>
  <si>
    <t>Egg Sarco Fertilized Alpha</t>
  </si>
  <si>
    <t>PrimalItemConsumable_Egg_Sarco_Fertilized_Alpha_C</t>
  </si>
  <si>
    <t>/PrimalChaos/1Dinos/2Alpha/Sarco/PrimalItemConsumable_Egg_Sarco_Fertilized_Alpha.PrimalItemConsumable_Egg_Sarco_Fertilized_Alpha</t>
  </si>
  <si>
    <t>Egg Sarco Fertilized Beta</t>
  </si>
  <si>
    <t>PrimalItemConsumable_Egg_Sarco_Fertilized_Beta_C</t>
  </si>
  <si>
    <t>/PrimalChaos/1Dinos/1Toxic/Sarco/PrimalItemConsumable_Egg_Sarco_Fertilized_Beta.PrimalItemConsumable_Egg_Sarco_Fertilized_Beta</t>
  </si>
  <si>
    <t>Egg Sarco Fertilized Hydro</t>
  </si>
  <si>
    <t>PrimalItemConsumable_Egg_Sarco_Fertilized_Hydro_C</t>
  </si>
  <si>
    <t>/PrimalChaos/1Dinos/3Elemental/Hydro/Sarco/PrimalItemConsumable_Egg_Sarco_Fertilized_Hydro.PrimalItemConsumable_Egg_Sarco_Fertilized_Hydro</t>
  </si>
  <si>
    <t>Egg Sarco Fertilized Legendary</t>
  </si>
  <si>
    <t>PrimalItemConsumable_Egg_Sarco_Fertilized_Legendary_C</t>
  </si>
  <si>
    <t>/PrimalChaos/1Dinos/5Mythic_Legendary_Omega_Fabled/Legendary/Sarco/PrimalItemConsumable_Egg_Sarco_Fertilized_Legendary.PrimalItemConsumable_Egg_Sarco_Fertilized_Legendary</t>
  </si>
  <si>
    <t>Egg Sarco Fertilized Omega</t>
  </si>
  <si>
    <t>PrimalItemConsumable_Egg_Sarco_Fertilized_Omega_C</t>
  </si>
  <si>
    <t>/PrimalChaos/1Dinos/5Mythic_Legendary_Omega_Fabled/Omega/Sarco/PrimalItemConsumable_Egg_Sarco_Fertilized_Omega.PrimalItemConsumable_Egg_Sarco_Fertilized_Omega</t>
  </si>
  <si>
    <t>Egg Scorpion Fertilized Alpha</t>
  </si>
  <si>
    <t>PrimalItemConsumable_Egg_Scorpion_Fertilized_Alpha_C</t>
  </si>
  <si>
    <t>/PrimalChaos/1Dinos/2Alpha/Pulmonoscorpius/PrimalItemConsumable_Egg_Scorpion_Fertilized_Alpha.PrimalItemConsumable_Egg_Scorpion_Fertilized_Alpha</t>
  </si>
  <si>
    <t>Egg Scorpion Fertilized Beta</t>
  </si>
  <si>
    <t>PrimalItemConsumable_Egg_Scorpion_Fertilized_Beta_C</t>
  </si>
  <si>
    <t>/PrimalChaos/1Dinos/1Toxic/Pulmonoscorpius/PrimalItemConsumable_Egg_Scorpion_Fertilized_Beta.PrimalItemConsumable_Egg_Scorpion_Fertilized_Beta</t>
  </si>
  <si>
    <t>Egg Scorpion Fertilized Legendary</t>
  </si>
  <si>
    <t>PrimalItemConsumable_Egg_Scorpion_Fertilized_Legendary_C</t>
  </si>
  <si>
    <t>/PrimalChaos/1Dinos/5Mythic_Legendary_Omega_Fabled/Legendary/Scorpion/PrimalItemConsumable_Egg_Scorpion_Fertilized_Legendary.PrimalItemConsumable_Egg_Scorpion_Fertilized_Legendary</t>
  </si>
  <si>
    <t>Egg Spider Fertilized Alpha</t>
  </si>
  <si>
    <t>PrimalItemConsumable_Egg_Spider_Fertilized_Alpha_C</t>
  </si>
  <si>
    <t>/PrimalChaos/1Dinos/2Alpha/Araneo/PrimalItemConsumable_Egg_Spider_Fertilized_Alpha.PrimalItemConsumable_Egg_Spider_Fertilized_Alpha</t>
  </si>
  <si>
    <t>Egg Spider Fertilized Beta</t>
  </si>
  <si>
    <t>PrimalItemConsumable_Egg_Spider_Fertilized_Beta_C</t>
  </si>
  <si>
    <t>/PrimalChaos/1Dinos/1Toxic/Araneo/PrimalItemConsumable_Egg_Spider_Fertilized_Beta.PrimalItemConsumable_Egg_Spider_Fertilized_Beta</t>
  </si>
  <si>
    <t>Egg Spider Fertilized Legendary</t>
  </si>
  <si>
    <t>PrimalItemConsumable_Egg_Spider_Fertilized_Legendary_C</t>
  </si>
  <si>
    <t>/PrimalChaos/1Dinos/5Mythic_Legendary_Omega_Fabled/Legendary/Areneo/PrimalItemConsumable_Egg_Spider_Fertilized_Legendary.PrimalItemConsumable_Egg_Spider_Fertilized_Legendary</t>
  </si>
  <si>
    <t>Egg Spiney Lizard Fertilized Legendary</t>
  </si>
  <si>
    <t>PrimalItemConsumable_Egg_SpineyLizard_Fertilized_Legendary_C</t>
  </si>
  <si>
    <t>/PrimalChaos/1Dinos/5Mythic_Legendary_Omega_Fabled/Legendary/Thorny/PrimalItemConsumable_Egg_SpineyLizard_Fertilized_Legendary.PrimalItemConsumable_Egg_SpineyLizard_Fertilized_Legendary</t>
  </si>
  <si>
    <t>Egg Spino Fertilized Alpha</t>
  </si>
  <si>
    <t>PrimalItemConsumable_Egg_Spino_Fertilized_Alpha_C</t>
  </si>
  <si>
    <t>/PrimalChaos/1Dinos/2Alpha/Spinosaurus/PrimalItemConsumable_Egg_Spino_Fertilized_Alpha.PrimalItemConsumable_Egg_Spino_Fertilized_Alpha</t>
  </si>
  <si>
    <t>Egg Spino Fertilized Beta</t>
  </si>
  <si>
    <t>PrimalItemConsumable_Egg_Spino_Fertilized_Beta_C</t>
  </si>
  <si>
    <t>/PrimalChaos/1Dinos/1Toxic/Spinosaurus/PrimalItemConsumable_Egg_Spino_Fertilized_Beta.PrimalItemConsumable_Egg_Spino_Fertilized_Beta</t>
  </si>
  <si>
    <t>Egg Spino Fertilized Hydro</t>
  </si>
  <si>
    <t>PrimalItemConsumable_Egg_Spino_Fertilized_Hydro_C</t>
  </si>
  <si>
    <t>/PrimalChaos/1Dinos/3Elemental/Hydro/Spino/PrimalItemConsumable_Egg_Spino_Fertilized_Hydro.PrimalItemConsumable_Egg_Spino_Fertilized_Hydro</t>
  </si>
  <si>
    <t>Egg Spino Fertilized Legendary</t>
  </si>
  <si>
    <t>PrimalItemConsumable_Egg_Spino_Fertilized_Legendary_C</t>
  </si>
  <si>
    <t>/PrimalChaos/1Dinos/5Mythic_Legendary_Omega_Fabled/Legendary/Spino/PrimalItemConsumable_Egg_Spino_Fertilized_Legendary.PrimalItemConsumable_Egg_Spino_Fertilized_Legendary</t>
  </si>
  <si>
    <t>Egg Spino Fertilized Omega</t>
  </si>
  <si>
    <t>PrimalItemConsumable_Egg_Spino_Fertilized_Omega_C</t>
  </si>
  <si>
    <t>/PrimalChaos/1Dinos/5Mythic_Legendary_Omega_Fabled/Omega/Spinosaurus/PrimalItemConsumable_Egg_Spino_Fertilized_Omega.PrimalItemConsumable_Egg_Spino_Fertilized_Omega</t>
  </si>
  <si>
    <t>Egg Spino Fertilized Volcanic</t>
  </si>
  <si>
    <t>PrimalItemConsumable_Egg_Spino_Fertilized_Volcanic_C</t>
  </si>
  <si>
    <t>/PrimalChaos/1Dinos/3Elemental/Volcanic/Spino/PrimalItemConsumable_Egg_Spino_Fertilized_Volcanic.PrimalItemConsumable_Egg_Spino_Fertilized_Volcanic</t>
  </si>
  <si>
    <t>Egg Stego Fertilized Alpha</t>
  </si>
  <si>
    <t>PrimalItemConsumable_Egg_Stego_Fertilized_Alpha_C</t>
  </si>
  <si>
    <t>/PrimalChaos/1Dinos/2Alpha/Stego/PrimalItemConsumable_Egg_Stego_Fertilized_Alpha.PrimalItemConsumable_Egg_Stego_Fertilized_Alpha</t>
  </si>
  <si>
    <t>Egg Stego Fertilized Beta</t>
  </si>
  <si>
    <t>PrimalItemConsumable_Egg_Stego_Fertilized_Beta_C</t>
  </si>
  <si>
    <t>/PrimalChaos/1Dinos/1Toxic/Stego/PrimalItemConsumable_Egg_Stego_Fertilized_Beta.PrimalItemConsumable_Egg_Stego_Fertilized_Beta</t>
  </si>
  <si>
    <t>Egg Stego Fertilized Fabled</t>
  </si>
  <si>
    <t>PrimalItemConsumable_Egg_Stego_Fertilized_Fabled_C</t>
  </si>
  <si>
    <t>/PrimalChaos/1Dinos/5Mythic_Legendary_Omega_Fabled/Fabled/Stego/PrimalItemConsumable_Egg_Stego_Fertilized_Fabled.PrimalItemConsumable_Egg_Stego_Fertilized_Fabled</t>
  </si>
  <si>
    <t>Egg Stego Fertilized Legendary</t>
  </si>
  <si>
    <t>PrimalItemConsumable_Egg_Stego_Fertilized_Legendary_C</t>
  </si>
  <si>
    <t>/PrimalChaos/1Dinos/5Mythic_Legendary_Omega_Fabled/Legendary/Stego/PrimalItemConsumable_Egg_Stego_Fertilized_Legendary.PrimalItemConsumable_Egg_Stego_Fertilized_Legendary</t>
  </si>
  <si>
    <t>Egg Stego Fertilized Mythic</t>
  </si>
  <si>
    <t>PrimalItemConsumable_Egg_Stego_Fertilized_Mythic_C</t>
  </si>
  <si>
    <t>/PrimalChaos/1Dinos/5Mythic_Legendary_Omega_Fabled/Mythic/Stego/PrimalItemConsumable_Egg_Stego_Fertilized_Mythic.PrimalItemConsumable_Egg_Stego_Fertilized_Mythic</t>
  </si>
  <si>
    <t>Egg Tapejara Fertilized Alpha</t>
  </si>
  <si>
    <t>PrimalItemConsumable_Egg_Tapejara_Fertilized_Alpha_C</t>
  </si>
  <si>
    <t>/PrimalChaos/1Dinos/2Alpha/Tapejara/PrimalItemConsumable_Egg_Tapejara_Fertilized_Alpha.PrimalItemConsumable_Egg_Tapejara_Fertilized_Alpha</t>
  </si>
  <si>
    <t>Egg Tapejara Fertilized Beta</t>
  </si>
  <si>
    <t>PrimalItemConsumable_Egg_Tapejara_Fertilized_Beta_C</t>
  </si>
  <si>
    <t>/PrimalChaos/1Dinos/1Toxic/Tapejara/PrimalItemConsumable_Egg_Tapejara_Fertilized_Beta.PrimalItemConsumable_Egg_Tapejara_Fertilized_Beta</t>
  </si>
  <si>
    <t>Egg Tapejara Fertilized Fabled</t>
  </si>
  <si>
    <t>PrimalItemConsumable_Egg_Tapejara_Fertilized_Fabled_C</t>
  </si>
  <si>
    <t>/PrimalChaos/1Dinos/5Mythic_Legendary_Omega_Fabled/Fabled/Tapejara/PrimalItemConsumable_Egg_Tapejara_Fertilized_Fabled.PrimalItemConsumable_Egg_Tapejara_Fertilized_Fabled</t>
  </si>
  <si>
    <t>Egg Tapejara Fertilized Mythic</t>
  </si>
  <si>
    <t>PrimalItemConsumable_Egg_Tapejara_Fertilized_Mythic_C</t>
  </si>
  <si>
    <t>/PrimalChaos/1Dinos/5Mythic_Legendary_Omega_Fabled/Mythic/Tapejara/PrimalItemConsumable_Egg_Tapejara_Fertilized_Mythic.PrimalItemConsumable_Egg_Tapejara_Fertilized_Mythic</t>
  </si>
  <si>
    <t>Egg Tapejara Fertilized Volcanic</t>
  </si>
  <si>
    <t>PrimalItemConsumable_Egg_Tapejara_Fertilized_Volcanic_C</t>
  </si>
  <si>
    <t>/PrimalChaos/1Dinos/3Elemental/Volcanic/Tapejara/PrimalItemConsumable_Egg_Tapejara_Fertilized_Volcanic.PrimalItemConsumable_Egg_Tapejara_Fertilized_Volcanic</t>
  </si>
  <si>
    <t>Egg Terror Bird Fertilized Alpha</t>
  </si>
  <si>
    <t>PrimalItemConsumable_Egg_TerrorBird_Fertilized_Alpha_C</t>
  </si>
  <si>
    <t>/PrimalChaos/1Dinos/2Alpha/TerrorBird/PrimalItemConsumable_Egg_TerrorBird_Fertilized_Alpha.PrimalItemConsumable_Egg_TerrorBird_Fertilized_Alpha</t>
  </si>
  <si>
    <t>Egg Terror Bird Fertilized Beta</t>
  </si>
  <si>
    <t>PrimalItemConsumable_Egg_TerrorBird_Fertilized_Beta_C</t>
  </si>
  <si>
    <t>/PrimalChaos/1Dinos/1Toxic/TerrorBird/PrimalItemConsumable_Egg_TerrorBird_Fertilized_Beta.PrimalItemConsumable_Egg_TerrorBird_Fertilized_Beta</t>
  </si>
  <si>
    <t>Egg Therizino Fertilized Alpha</t>
  </si>
  <si>
    <t>PrimalItemConsumable_Egg_Therizino_Fertilized_Alpha_C</t>
  </si>
  <si>
    <t>/PrimalChaos/1Dinos/2Alpha/Therizinosaurus/PrimalItemConsumable_Egg_Therizino_Fertilized_Alpha.PrimalItemConsumable_Egg_Therizino_Fertilized_Alpha</t>
  </si>
  <si>
    <t>Egg Therizino Fertilized Beta</t>
  </si>
  <si>
    <t>PrimalItemConsumable_Egg_Therizino_Fertilized_Beta_C</t>
  </si>
  <si>
    <t>/PrimalChaos/1Dinos/1Toxic/Therizinosaurus/PrimalItemConsumable_Egg_Therizino_Fertilized_Beta.PrimalItemConsumable_Egg_Therizino_Fertilized_Beta</t>
  </si>
  <si>
    <t>Egg Therizino Fertilized Fabled</t>
  </si>
  <si>
    <t>PrimalItemConsumable_Egg_Therizino_Fertilized_Fabled_C</t>
  </si>
  <si>
    <t>/PrimalChaos/1Dinos/5Mythic_Legendary_Omega_Fabled/Fabled/Therizino/PrimalItemConsumable_Egg_Therizino_Fertilized_Fabled.PrimalItemConsumable_Egg_Therizino_Fertilized_Fabled</t>
  </si>
  <si>
    <t>Egg Therizino Fertilized Mythic</t>
  </si>
  <si>
    <t>PrimalItemConsumable_Egg_Therizino_Fertilized_Mythic_C</t>
  </si>
  <si>
    <t>/PrimalChaos/1Dinos/5Mythic_Legendary_Omega_Fabled/Mythic/Therizino/PrimalItemConsumable_Egg_Therizino_Fertilized_Mythic.PrimalItemConsumable_Egg_Therizino_Fertilized_Mythic</t>
  </si>
  <si>
    <t>Egg Thorny Fertilized Demonic</t>
  </si>
  <si>
    <t>PrimalItemConsumable_Egg_Thorny_Fertilized_Demonic_C</t>
  </si>
  <si>
    <t>/PrimalChaos/1Dinos/6DemonicAndAngelic/Demonic/ThornyDragon/PrimalItemConsumable_Egg_Thorny_Fertilized_Demonic.PrimalItemConsumable_Egg_Thorny_Fertilized_Demonic</t>
  </si>
  <si>
    <t>Egg Trike Fertilized Alpha</t>
  </si>
  <si>
    <t>PrimalItemConsumable_Egg_Trike_Fertilized_Alpha_C</t>
  </si>
  <si>
    <t>/PrimalChaos/1Dinos/2Alpha/Trike/PrimalItemConsumable_Egg_Trike_Fertilized_Alpha.PrimalItemConsumable_Egg_Trike_Fertilized_Alpha</t>
  </si>
  <si>
    <t>Egg Trike Fertilized Beta</t>
  </si>
  <si>
    <t>PrimalItemConsumable_Egg_Trike_Fertilized_Beta_C</t>
  </si>
  <si>
    <t>/PrimalChaos/1Dinos/1Toxic/Trike/PrimalItemConsumable_Egg_Trike_Fertilized_Beta.PrimalItemConsumable_Egg_Trike_Fertilized_Beta</t>
  </si>
  <si>
    <t>Egg Trike Fertilized Fabled</t>
  </si>
  <si>
    <t>PrimalItemConsumable_Egg_Trike_Fertilized_Fabled_C</t>
  </si>
  <si>
    <t>/PrimalChaos/1Dinos/5Mythic_Legendary_Omega_Fabled/Fabled/Trike/PrimalItemConsumable_Egg_Trike_Fertilized_Fabled.PrimalItemConsumable_Egg_Trike_Fertilized_Fabled</t>
  </si>
  <si>
    <t>Egg Trike Fertilized Legendary</t>
  </si>
  <si>
    <t>PrimalItemConsumable_Egg_Trike_Fertilized_Legendary_C</t>
  </si>
  <si>
    <t>/PrimalChaos/1Dinos/5Mythic_Legendary_Omega_Fabled/Legendary/Trike/PrimalItemConsumable_Egg_Trike_Fertilized_Legendary.PrimalItemConsumable_Egg_Trike_Fertilized_Legendary</t>
  </si>
  <si>
    <t>Egg Trike Fertilized Mythic</t>
  </si>
  <si>
    <t>PrimalItemConsumable_Egg_Trike_Fertilized_Mythic_C</t>
  </si>
  <si>
    <t>/PrimalChaos/1Dinos/5Mythic_Legendary_Omega_Fabled/Mythic/Trike/PrimalItemConsumable_Egg_Trike_Fertilized_Mythic.PrimalItemConsumable_Egg_Trike_Fertilized_Mythic</t>
  </si>
  <si>
    <t>Egg Troodon Fertilized Alpha</t>
  </si>
  <si>
    <t>PrimalItemConsumable_Egg_Troodon_Fertilized_Alpha_C</t>
  </si>
  <si>
    <t>/PrimalChaos/1Dinos/2Alpha/Troodon/PrimalItemConsumable_Egg_Troodon_Fertilized_Alpha.PrimalItemConsumable_Egg_Troodon_Fertilized_Alpha</t>
  </si>
  <si>
    <t>Egg Troodon Fertilized Beta</t>
  </si>
  <si>
    <t>PrimalItemConsumable_Egg_Troodon_Fertilized_Beta_C</t>
  </si>
  <si>
    <t>/PrimalChaos/1Dinos/1Toxic/Troodon/PrimalItemConsumable_Egg_Troodon_Fertilized_Beta.PrimalItemConsumable_Egg_Troodon_Fertilized_Beta</t>
  </si>
  <si>
    <t>Egg Turkey Fertilized Shadow</t>
  </si>
  <si>
    <t>PrimalItemConsumable_Egg_Turkey_Fertilized_Shadow_C</t>
  </si>
  <si>
    <t>/PrimalChaos/1Dinos/4ADVElement/Shadow/Turkey/PrimalItemConsumable_Egg_Turkey_Fertilized_Shadow.PrimalItemConsumable_Egg_Turkey_Fertilized_Shadow</t>
  </si>
  <si>
    <t>Egg Turtle Fertilized Alpha</t>
  </si>
  <si>
    <t>PrimalItemConsumable_Egg_Turtle_Fertilized_Alpha_C</t>
  </si>
  <si>
    <t>/PrimalChaos/1Dinos/2Alpha/Turtle/PrimalItemConsumable_Egg_Turtle_Fertilized_Alpha.PrimalItemConsumable_Egg_Turtle_Fertilized_Alpha</t>
  </si>
  <si>
    <t>Egg Turtle Fertilized Beta</t>
  </si>
  <si>
    <t>PrimalItemConsumable_Egg_Turtle_Fertilized_Beta_C</t>
  </si>
  <si>
    <t>/PrimalChaos/1Dinos/1Toxic/Turtle/PrimalItemConsumable_Egg_Turtle_Fertilized_Beta.PrimalItemConsumable_Egg_Turtle_Fertilized_Beta</t>
  </si>
  <si>
    <t>Egg Turtle Fertilized Hydro</t>
  </si>
  <si>
    <t>PrimalItemConsumable_Egg_Turtle_Fertilized_Hydro_C</t>
  </si>
  <si>
    <t>/PrimalChaos/1Dinos/3Elemental/Hydro/Carbonemys/PrimalItemConsumable_Egg_Turtle_Fertilized_Hydro.PrimalItemConsumable_Egg_Turtle_Fertilized_Hydro</t>
  </si>
  <si>
    <t>Egg Wyvern Fertilized Fire Fairy</t>
  </si>
  <si>
    <t>PrimalItemConsumable_Egg_Wyvern_Fertilized_Fire_Fairy_C</t>
  </si>
  <si>
    <t>/PrimalChaos/1Dinos/4ADVElement/Fairy/Wyvern/PrimalItemConsumable_Egg_Wyvern_Fertilized_Fire_Fairy.PrimalItemConsumable_Egg_Wyvern_Fertilized_Fire_Fairy</t>
  </si>
  <si>
    <t>Egg Wyvern Fertilized Fire Legendary</t>
  </si>
  <si>
    <t>PrimalItemConsumable_Egg_Wyvern_Fertilized_Fire_Legendary_C</t>
  </si>
  <si>
    <t>/PrimalChaos/1Dinos/5Mythic_Legendary_Omega_Fabled/Legendary/Wyvern/PrimalItemConsumable_Egg_Wyvern_Fertilized_Fire_Legendary.PrimalItemConsumable_Egg_Wyvern_Fertilized_Fire_Legendary</t>
  </si>
  <si>
    <t>Egg Yuty Fertilized Alpha</t>
  </si>
  <si>
    <t>PrimalItemConsumable_Egg_Yuty_Fertilized_Alpha_C</t>
  </si>
  <si>
    <t>/PrimalChaos/1Dinos/2Alpha/Yuty/PrimalItemConsumable_Egg_Yuty_Fertilized_Alpha.PrimalItemConsumable_Egg_Yuty_Fertilized_Alpha</t>
  </si>
  <si>
    <t>Egg Yuty Fertilized Beta</t>
  </si>
  <si>
    <t>PrimalItemConsumable_Egg_Yuty_Fertilized_Beta_C</t>
  </si>
  <si>
    <t>/PrimalChaos/1Dinos/1Toxic/Yuty/PrimalItemConsumable_Egg_Yuty_Fertilized_Beta.PrimalItemConsumable_Egg_Yuty_Fertilized_Beta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</si>
</sst>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/>
    <font>
      <color rgb="FF000000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b/>
      <sz val="16.0"/>
      <color rgb="FFFFFFFF"/>
      <name val="Arial"/>
      <scheme val="minor"/>
    </font>
    <font>
      <b/>
      <sz val="16.0"/>
      <color rgb="FF980000"/>
      <name val="Arial"/>
      <scheme val="minor"/>
    </font>
    <font>
      <b/>
      <sz val="9.0"/>
      <color rgb="FF000000"/>
      <name val="Arial"/>
      <scheme val="minor"/>
    </font>
    <font>
      <b/>
      <sz val="16.0"/>
      <color rgb="FFFF00FF"/>
      <name val="Arial"/>
      <scheme val="minor"/>
    </font>
    <font>
      <b/>
      <sz val="16.0"/>
      <color rgb="FF666666"/>
      <name val="Arial"/>
      <scheme val="minor"/>
    </font>
    <font>
      <b/>
      <sz val="16.0"/>
      <color rgb="FF000000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4A853"/>
        <bgColor rgb="FF34A85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27BA0"/>
        <bgColor rgb="FFC27BA0"/>
      </patternFill>
    </fill>
    <fill>
      <patternFill patternType="solid">
        <fgColor rgb="FF674EA7"/>
        <bgColor rgb="FF674EA7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rgb="FFFFF2CC"/>
        <bgColor rgb="FFFFF2CC"/>
      </patternFill>
    </fill>
    <fill>
      <patternFill patternType="solid">
        <fgColor rgb="FF9900FF"/>
        <bgColor rgb="FF9900FF"/>
      </patternFill>
    </fill>
    <fill>
      <patternFill patternType="solid">
        <fgColor rgb="FF9FC5E8"/>
        <bgColor rgb="FF9FC5E8"/>
      </patternFill>
    </fill>
    <fill>
      <patternFill patternType="solid">
        <fgColor rgb="FF980000"/>
        <bgColor rgb="FF980000"/>
      </patternFill>
    </fill>
    <fill>
      <patternFill patternType="solid">
        <fgColor rgb="FF999999"/>
        <bgColor rgb="FF999999"/>
      </patternFill>
    </fill>
    <fill>
      <patternFill patternType="solid">
        <fgColor theme="6"/>
        <bgColor theme="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666666"/>
        <bgColor rgb="FF666666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3C78D8"/>
        <bgColor rgb="FF3C78D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3" fontId="2" numFmtId="0" xfId="0" applyAlignment="1" applyBorder="1" applyFill="1" applyFont="1">
      <alignment horizontal="center" readingOrder="0" textRotation="90" vertical="center"/>
    </xf>
    <xf borderId="2" fillId="0" fontId="1" numFmtId="0" xfId="0" applyBorder="1" applyFont="1"/>
    <xf borderId="2" fillId="4" fontId="3" numFmtId="0" xfId="0" applyBorder="1" applyFill="1" applyFont="1"/>
    <xf borderId="3" fillId="0" fontId="4" numFmtId="0" xfId="0" applyBorder="1" applyFont="1"/>
    <xf borderId="2" fillId="5" fontId="5" numFmtId="0" xfId="0" applyAlignment="1" applyBorder="1" applyFill="1" applyFont="1">
      <alignment readingOrder="0"/>
    </xf>
    <xf borderId="2" fillId="5" fontId="5" numFmtId="0" xfId="0" applyBorder="1" applyFont="1"/>
    <xf borderId="2" fillId="6" fontId="5" numFmtId="0" xfId="0" applyAlignment="1" applyBorder="1" applyFill="1" applyFont="1">
      <alignment readingOrder="0"/>
    </xf>
    <xf borderId="2" fillId="6" fontId="5" numFmtId="0" xfId="0" applyBorder="1" applyFont="1"/>
    <xf borderId="2" fillId="3" fontId="5" numFmtId="0" xfId="0" applyBorder="1" applyFont="1"/>
    <xf borderId="2" fillId="6" fontId="6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2" fillId="2" fontId="2" numFmtId="0" xfId="0" applyAlignment="1" applyBorder="1" applyFont="1">
      <alignment horizontal="center" readingOrder="0" textRotation="90" vertical="center"/>
    </xf>
    <xf borderId="2" fillId="2" fontId="1" numFmtId="0" xfId="0" applyBorder="1" applyFont="1"/>
    <xf borderId="2" fillId="2" fontId="5" numFmtId="0" xfId="0" applyBorder="1" applyFont="1"/>
    <xf borderId="1" fillId="7" fontId="2" numFmtId="0" xfId="0" applyAlignment="1" applyBorder="1" applyFill="1" applyFont="1">
      <alignment horizontal="center" readingOrder="0" textRotation="90" vertical="center"/>
    </xf>
    <xf borderId="2" fillId="5" fontId="6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ill="1" applyFont="1">
      <alignment horizontal="center" readingOrder="0" textRotation="90" vertical="center"/>
    </xf>
    <xf borderId="2" fillId="5" fontId="1" numFmtId="0" xfId="0" applyAlignment="1" applyBorder="1" applyFont="1">
      <alignment readingOrder="0"/>
    </xf>
    <xf borderId="2" fillId="5" fontId="1" numFmtId="0" xfId="0" applyBorder="1" applyFont="1"/>
    <xf borderId="2" fillId="6" fontId="1" numFmtId="0" xfId="0" applyAlignment="1" applyBorder="1" applyFont="1">
      <alignment readingOrder="0"/>
    </xf>
    <xf borderId="2" fillId="6" fontId="1" numFmtId="0" xfId="0" applyBorder="1" applyFont="1"/>
    <xf borderId="1" fillId="9" fontId="2" numFmtId="0" xfId="0" applyAlignment="1" applyBorder="1" applyFill="1" applyFont="1">
      <alignment horizontal="center" readingOrder="0" textRotation="90" vertical="center"/>
    </xf>
    <xf borderId="2" fillId="10" fontId="6" numFmtId="0" xfId="0" applyAlignment="1" applyBorder="1" applyFill="1" applyFont="1">
      <alignment horizontal="center" readingOrder="0" shrinkToFit="0" vertical="center" wrapText="1"/>
    </xf>
    <xf borderId="2" fillId="11" fontId="6" numFmtId="0" xfId="0" applyAlignment="1" applyBorder="1" applyFill="1" applyFont="1">
      <alignment horizontal="center" readingOrder="0" shrinkToFit="0" vertical="center" wrapText="1"/>
    </xf>
    <xf borderId="1" fillId="11" fontId="2" numFmtId="0" xfId="0" applyAlignment="1" applyBorder="1" applyFont="1">
      <alignment horizontal="center" readingOrder="0" textRotation="90" vertical="center"/>
    </xf>
    <xf borderId="1" fillId="12" fontId="2" numFmtId="0" xfId="0" applyAlignment="1" applyBorder="1" applyFill="1" applyFont="1">
      <alignment horizontal="center" readingOrder="0" textRotation="90" vertical="center"/>
    </xf>
    <xf borderId="1" fillId="13" fontId="2" numFmtId="0" xfId="0" applyAlignment="1" applyBorder="1" applyFill="1" applyFont="1">
      <alignment horizontal="center" readingOrder="0" textRotation="90" vertical="center"/>
    </xf>
    <xf borderId="1" fillId="14" fontId="2" numFmtId="0" xfId="0" applyAlignment="1" applyBorder="1" applyFill="1" applyFont="1">
      <alignment horizontal="center" readingOrder="0" textRotation="90" vertical="center"/>
    </xf>
    <xf borderId="1" fillId="15" fontId="2" numFmtId="0" xfId="0" applyAlignment="1" applyBorder="1" applyFill="1" applyFont="1">
      <alignment horizontal="center" readingOrder="0" textRotation="90" vertical="center"/>
    </xf>
    <xf borderId="1" fillId="16" fontId="2" numFmtId="0" xfId="0" applyAlignment="1" applyBorder="1" applyFill="1" applyFont="1">
      <alignment horizontal="center" readingOrder="0" textRotation="90" vertical="center"/>
    </xf>
    <xf borderId="2" fillId="10" fontId="7" numFmtId="0" xfId="0" applyBorder="1" applyFont="1"/>
    <xf borderId="2" fillId="10" fontId="1" numFmtId="0" xfId="0" applyBorder="1" applyFont="1"/>
    <xf borderId="2" fillId="5" fontId="8" numFmtId="0" xfId="0" applyAlignment="1" applyBorder="1" applyFont="1">
      <alignment readingOrder="0"/>
    </xf>
    <xf borderId="2" fillId="5" fontId="8" numFmtId="0" xfId="0" applyBorder="1" applyFont="1"/>
    <xf borderId="1" fillId="17" fontId="2" numFmtId="0" xfId="0" applyAlignment="1" applyBorder="1" applyFill="1" applyFont="1">
      <alignment horizontal="center" readingOrder="0" textRotation="90" vertical="center"/>
    </xf>
    <xf borderId="2" fillId="5" fontId="9" numFmtId="0" xfId="0" applyAlignment="1" applyBorder="1" applyFont="1">
      <alignment readingOrder="0" vertical="bottom"/>
    </xf>
    <xf borderId="5" fillId="5" fontId="9" numFmtId="0" xfId="0" applyAlignment="1" applyBorder="1" applyFont="1">
      <alignment vertical="bottom"/>
    </xf>
    <xf borderId="2" fillId="2" fontId="10" numFmtId="0" xfId="0" applyAlignment="1" applyBorder="1" applyFont="1">
      <alignment horizontal="center" readingOrder="0" textRotation="90" vertical="center"/>
    </xf>
    <xf borderId="1" fillId="18" fontId="10" numFmtId="0" xfId="0" applyAlignment="1" applyBorder="1" applyFill="1" applyFont="1">
      <alignment horizontal="center" readingOrder="0" textRotation="90" vertical="center"/>
    </xf>
    <xf borderId="0" fillId="6" fontId="1" numFmtId="0" xfId="0" applyAlignment="1" applyFont="1">
      <alignment readingOrder="0"/>
    </xf>
    <xf borderId="0" fillId="5" fontId="1" numFmtId="0" xfId="0" applyAlignment="1" applyFont="1">
      <alignment readingOrder="0"/>
    </xf>
    <xf borderId="2" fillId="2" fontId="11" numFmtId="0" xfId="0" applyAlignment="1" applyBorder="1" applyFont="1">
      <alignment horizontal="center" readingOrder="0" textRotation="90" vertical="center"/>
    </xf>
    <xf borderId="1" fillId="2" fontId="11" numFmtId="0" xfId="0" applyAlignment="1" applyBorder="1" applyFont="1">
      <alignment horizontal="center" readingOrder="0" textRotation="90" vertical="center"/>
    </xf>
    <xf borderId="2" fillId="6" fontId="5" numFmtId="0" xfId="0" applyAlignment="1" applyBorder="1" applyFont="1">
      <alignment horizontal="center"/>
    </xf>
    <xf borderId="2" fillId="5" fontId="5" numFmtId="0" xfId="0" applyAlignment="1" applyBorder="1" applyFont="1">
      <alignment horizontal="center"/>
    </xf>
    <xf borderId="2" fillId="11" fontId="12" numFmtId="0" xfId="0" applyAlignment="1" applyBorder="1" applyFont="1">
      <alignment horizontal="center" readingOrder="0"/>
    </xf>
    <xf borderId="2" fillId="2" fontId="13" numFmtId="0" xfId="0" applyAlignment="1" applyBorder="1" applyFont="1">
      <alignment horizontal="center" readingOrder="0" textRotation="90" vertical="center"/>
    </xf>
    <xf borderId="1" fillId="0" fontId="14" numFmtId="0" xfId="0" applyAlignment="1" applyBorder="1" applyFont="1">
      <alignment horizontal="center" readingOrder="0" textRotation="90" vertical="center"/>
    </xf>
    <xf borderId="2" fillId="2" fontId="15" numFmtId="0" xfId="0" applyAlignment="1" applyBorder="1" applyFont="1">
      <alignment horizontal="center" readingOrder="0" textRotation="90" vertical="center"/>
    </xf>
    <xf borderId="1" fillId="19" fontId="15" numFmtId="0" xfId="0" applyAlignment="1" applyBorder="1" applyFill="1" applyFont="1">
      <alignment horizontal="center" readingOrder="0" textRotation="90" vertical="center"/>
    </xf>
    <xf borderId="2" fillId="2" fontId="5" numFmtId="0" xfId="0" applyAlignment="1" applyBorder="1" applyFont="1">
      <alignment readingOrder="0"/>
    </xf>
    <xf borderId="1" fillId="20" fontId="15" numFmtId="0" xfId="0" applyAlignment="1" applyBorder="1" applyFill="1" applyFont="1">
      <alignment horizontal="center" readingOrder="0" textRotation="90" vertical="center"/>
    </xf>
    <xf borderId="2" fillId="6" fontId="9" numFmtId="0" xfId="0" applyAlignment="1" applyBorder="1" applyFont="1">
      <alignment readingOrder="0" vertical="bottom"/>
    </xf>
    <xf borderId="2" fillId="6" fontId="9" numFmtId="0" xfId="0" applyAlignment="1" applyBorder="1" applyFont="1">
      <alignment vertical="bottom"/>
    </xf>
    <xf borderId="2" fillId="5" fontId="9" numFmtId="0" xfId="0" applyAlignment="1" applyBorder="1" applyFont="1">
      <alignment vertical="bottom"/>
    </xf>
    <xf borderId="2" fillId="6" fontId="9" numFmtId="0" xfId="0" applyAlignment="1" applyBorder="1" applyFont="1">
      <alignment vertical="bottom"/>
    </xf>
    <xf borderId="0" fillId="6" fontId="9" numFmtId="0" xfId="0" applyAlignment="1" applyFont="1">
      <alignment vertical="bottom"/>
    </xf>
    <xf borderId="2" fillId="5" fontId="9" numFmtId="0" xfId="0" applyAlignment="1" applyBorder="1" applyFont="1">
      <alignment vertical="bottom"/>
    </xf>
    <xf borderId="0" fillId="5" fontId="9" numFmtId="0" xfId="0" applyAlignment="1" applyFont="1">
      <alignment vertical="bottom"/>
    </xf>
    <xf borderId="1" fillId="2" fontId="15" numFmtId="0" xfId="0" applyAlignment="1" applyBorder="1" applyFont="1">
      <alignment horizontal="center" readingOrder="0" textRotation="90" vertical="center"/>
    </xf>
    <xf borderId="3" fillId="21" fontId="13" numFmtId="0" xfId="0" applyAlignment="1" applyBorder="1" applyFill="1" applyFont="1">
      <alignment horizontal="center" readingOrder="0" textRotation="90" vertical="center"/>
    </xf>
    <xf borderId="6" fillId="2" fontId="1" numFmtId="0" xfId="0" applyAlignment="1" applyBorder="1" applyFont="1">
      <alignment readingOrder="0"/>
    </xf>
    <xf borderId="7" fillId="0" fontId="4" numFmtId="0" xfId="0" applyBorder="1" applyFont="1"/>
    <xf borderId="5" fillId="0" fontId="4" numFmtId="0" xfId="0" applyBorder="1" applyFont="1"/>
    <xf borderId="1" fillId="2" fontId="1" numFmtId="0" xfId="0" applyAlignment="1" applyBorder="1" applyFont="1">
      <alignment readingOrder="0"/>
    </xf>
    <xf borderId="1" fillId="10" fontId="2" numFmtId="0" xfId="0" applyAlignment="1" applyBorder="1" applyFont="1">
      <alignment horizontal="center" readingOrder="0" textRotation="90" vertical="center"/>
    </xf>
    <xf borderId="2" fillId="4" fontId="3" numFmtId="0" xfId="0" applyAlignment="1" applyBorder="1" applyFont="1">
      <alignment readingOrder="0"/>
    </xf>
    <xf borderId="5" fillId="5" fontId="9" numFmtId="0" xfId="0" applyAlignment="1" applyBorder="1" applyFont="1">
      <alignment readingOrder="0" vertical="bottom"/>
    </xf>
    <xf borderId="5" fillId="6" fontId="9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/>
    </xf>
    <xf borderId="1" fillId="22" fontId="2" numFmtId="0" xfId="0" applyAlignment="1" applyBorder="1" applyFill="1" applyFont="1">
      <alignment horizontal="center" readingOrder="0" textRotation="90" vertical="center"/>
    </xf>
    <xf borderId="1" fillId="23" fontId="2" numFmtId="0" xfId="0" applyAlignment="1" applyBorder="1" applyFill="1" applyFont="1">
      <alignment horizontal="center" readingOrder="0" textRotation="90" vertical="center"/>
    </xf>
    <xf borderId="1" fillId="24" fontId="2" numFmtId="0" xfId="0" applyAlignment="1" applyBorder="1" applyFill="1" applyFont="1">
      <alignment horizontal="center" readingOrder="0" textRotation="90" vertical="center"/>
    </xf>
    <xf borderId="1" fillId="25" fontId="2" numFmtId="0" xfId="0" applyAlignment="1" applyBorder="1" applyFill="1" applyFont="1">
      <alignment horizontal="center" readingOrder="0" textRotation="90" vertical="center"/>
    </xf>
    <xf borderId="1" fillId="26" fontId="2" numFmtId="0" xfId="0" applyAlignment="1" applyBorder="1" applyFill="1" applyFont="1">
      <alignment horizontal="center" readingOrder="0" textRotation="90" vertical="center"/>
    </xf>
    <xf borderId="1" fillId="27" fontId="2" numFmtId="0" xfId="0" applyAlignment="1" applyBorder="1" applyFill="1" applyFont="1">
      <alignment horizontal="center" readingOrder="0" textRotation="90" vertical="center"/>
    </xf>
    <xf borderId="1" fillId="28" fontId="2" numFmtId="0" xfId="0" applyAlignment="1" applyBorder="1" applyFill="1" applyFont="1">
      <alignment horizontal="center" readingOrder="0" textRotation="90" vertical="center"/>
    </xf>
    <xf borderId="4" fillId="6" fontId="9" numFmtId="0" xfId="0" applyAlignment="1" applyBorder="1" applyFont="1">
      <alignment horizontal="right" vertical="bottom"/>
    </xf>
    <xf borderId="8" fillId="6" fontId="9" numFmtId="0" xfId="0" applyAlignment="1" applyBorder="1" applyFont="1">
      <alignment vertical="bottom"/>
    </xf>
    <xf borderId="8" fillId="5" fontId="9" numFmtId="0" xfId="0" applyAlignment="1" applyBorder="1" applyFont="1">
      <alignment vertical="bottom"/>
    </xf>
    <xf borderId="8" fillId="5" fontId="9" numFmtId="0" xfId="0" applyAlignment="1" applyBorder="1" applyFont="1">
      <alignment readingOrder="0" vertical="bottom"/>
    </xf>
    <xf borderId="4" fillId="5" fontId="9" numFmtId="0" xfId="0" applyAlignment="1" applyBorder="1" applyFont="1">
      <alignment horizontal="right" vertical="bottom"/>
    </xf>
    <xf borderId="8" fillId="5" fontId="9" numFmtId="0" xfId="0" applyAlignment="1" applyBorder="1" applyFont="1">
      <alignment vertical="bottom"/>
    </xf>
    <xf borderId="8" fillId="6" fontId="9" numFmtId="0" xfId="0" applyAlignment="1" applyBorder="1" applyFont="1">
      <alignment vertical="bottom"/>
    </xf>
    <xf borderId="8" fillId="6" fontId="9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center" readingOrder="0" textRotation="90" vertical="center"/>
    </xf>
    <xf borderId="2" fillId="6" fontId="9" numFmtId="0" xfId="0" applyAlignment="1" applyBorder="1" applyFont="1">
      <alignment horizontal="right" vertical="bottom"/>
    </xf>
    <xf borderId="2" fillId="5" fontId="9" numFmtId="0" xfId="0" applyAlignment="1" applyBorder="1" applyFont="1">
      <alignment horizontal="right" vertical="bottom"/>
    </xf>
    <xf borderId="5" fillId="6" fontId="9" numFmtId="0" xfId="0" applyAlignment="1" applyBorder="1" applyFont="1">
      <alignment vertical="bottom"/>
    </xf>
    <xf borderId="3" fillId="2" fontId="2" numFmtId="0" xfId="0" applyAlignment="1" applyBorder="1" applyFont="1">
      <alignment horizontal="center" readingOrder="0" textRotation="90" vertical="center"/>
    </xf>
    <xf borderId="4" fillId="2" fontId="9" numFmtId="0" xfId="0" applyAlignment="1" applyBorder="1" applyFont="1">
      <alignment horizontal="right" vertical="bottom"/>
    </xf>
    <xf borderId="8" fillId="2" fontId="9" numFmtId="0" xfId="0" applyAlignment="1" applyBorder="1" applyFont="1">
      <alignment vertical="bottom"/>
    </xf>
    <xf borderId="8" fillId="2" fontId="9" numFmtId="0" xfId="0" applyAlignment="1" applyBorder="1" applyFont="1">
      <alignment vertical="bottom"/>
    </xf>
    <xf borderId="1" fillId="29" fontId="2" numFmtId="0" xfId="0" applyAlignment="1" applyBorder="1" applyFill="1" applyFont="1">
      <alignment horizontal="center" readingOrder="0" textRotation="90" vertical="center"/>
    </xf>
    <xf borderId="4" fillId="5" fontId="9" numFmtId="0" xfId="0" applyAlignment="1" applyBorder="1" applyFont="1">
      <alignment horizontal="right" readingOrder="0" vertical="bottom"/>
    </xf>
    <xf borderId="8" fillId="6" fontId="1" numFmtId="0" xfId="0" applyBorder="1" applyFont="1"/>
    <xf borderId="8" fillId="5" fontId="1" numFmtId="0" xfId="0" applyBorder="1" applyFont="1"/>
    <xf borderId="0" fillId="0" fontId="1" numFmtId="0" xfId="0" applyAlignment="1" applyFont="1">
      <alignment readingOrder="0"/>
    </xf>
    <xf borderId="8" fillId="5" fontId="1" numFmtId="0" xfId="0" applyAlignment="1" applyBorder="1" applyFont="1">
      <alignment readingOrder="0"/>
    </xf>
    <xf borderId="8" fillId="6" fontId="1" numFmtId="0" xfId="0" applyAlignment="1" applyBorder="1" applyFont="1">
      <alignment readingOrder="0"/>
    </xf>
    <xf borderId="1" fillId="30" fontId="2" numFmtId="0" xfId="0" applyAlignment="1" applyBorder="1" applyFill="1" applyFont="1">
      <alignment horizontal="center" readingOrder="0" textRotation="9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4.38"/>
    <col customWidth="1" hidden="1" min="3" max="3" width="15.13"/>
    <col customWidth="1" hidden="1" min="4" max="4" width="12.75"/>
    <col customWidth="1" min="5" max="5" width="25.63"/>
    <col customWidth="1" hidden="1" min="6" max="6" width="10.75"/>
    <col customWidth="1" min="7" max="7" width="21.25"/>
    <col customWidth="1" min="8" max="8" width="39.13"/>
    <col customWidth="1" min="9" max="9" width="50.5"/>
    <col customWidth="1" min="10" max="10" width="62.5"/>
    <col customWidth="1" min="11" max="11" width="133.63"/>
    <col customWidth="1" min="12" max="12" width="163.88"/>
    <col customWidth="1" min="13" max="13" width="94.38"/>
    <col customWidth="1" min="14" max="26" width="7.63"/>
  </cols>
  <sheetData>
    <row r="1" ht="30.75" customHeight="1">
      <c r="A1" s="1" t="s">
        <v>0</v>
      </c>
      <c r="N1" s="2"/>
    </row>
    <row r="2" ht="24.75" customHeight="1">
      <c r="A2" s="2"/>
      <c r="B2" s="3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2"/>
    </row>
    <row r="3">
      <c r="B3" s="6"/>
      <c r="C3" s="4">
        <v>112.0</v>
      </c>
      <c r="D3" s="4">
        <f t="shared" ref="D3:D14" si="1">IF(F3="Beta",1)+IF(F3="Alpha",2)+IF(F3="Electric",3)+IF(F3="Volcanic",3)+IF(F3="Hydro",3)+IF(F3="Shadow",4)+IF(F3="Fairy",4)+IF(F3="Mythic",5)+IF(F3="Legendary",5)+IF(F3="Demonic",6)+IF(F3="Angelic",6)+IF(F3="Jester",7)+IF(F3="Nightmare",8)+IF(F3="Vanilla",9)+IF(F3="Boss",8)</f>
        <v>0</v>
      </c>
      <c r="E3" s="7" t="s">
        <v>13</v>
      </c>
      <c r="F3" s="7" t="s">
        <v>1</v>
      </c>
      <c r="G3" s="8"/>
      <c r="H3" s="7" t="s">
        <v>14</v>
      </c>
      <c r="I3" s="8" t="str">
        <f t="shared" ref="I3:I97" si="2">"cheat summon "&amp;H3</f>
        <v>cheat summon ToxicAchatina_Character_BP_C</v>
      </c>
      <c r="J3" s="8" t="str">
        <f t="shared" ref="J3:J97" si="3"> "admincheat GMSummon " &amp;CHAR(34) &amp; H3&amp;CHAR(34)&amp; " 120"</f>
        <v>admincheat GMSummon "ToxicAchatina_Character_BP_C" 120</v>
      </c>
      <c r="K3" s="7" t="s">
        <v>15</v>
      </c>
      <c r="L3" s="8" t="str">
        <f t="shared" ref="L3:L97" si="4">IF(K3&lt;&gt;"","cheat SpawnDino "&amp;CHAR(34)&amp;"Blueprint'"&amp;K3&amp;"'"&amp;CHAR(34)&amp;" 150 0 0 35","")</f>
        <v>cheat SpawnDino "Blueprint'/PrimalChaos/1Dinos/1Toxic/Achitina/ToxicAchatina_Character_BP.ToxicAchatina_Character_BP'" 150 0 0 35</v>
      </c>
      <c r="M3" s="8" t="str">
        <f t="shared" ref="M3:M97" si="5">"NPCReplacements=(FromClassName="&amp;CHAR(34)&amp;H3&amp;""&amp;CHAR(34)&amp;",ToClassName="&amp;CHAR(34)&amp;CHAR(34)&amp;")"</f>
        <v>NPCReplacements=(FromClassName="ToxicAchatina_Character_BP_C",ToClassName="")</v>
      </c>
      <c r="N3" s="2"/>
    </row>
    <row r="4">
      <c r="B4" s="6"/>
      <c r="C4" s="4">
        <v>113.0</v>
      </c>
      <c r="D4" s="4">
        <f t="shared" si="1"/>
        <v>0</v>
      </c>
      <c r="E4" s="9" t="s">
        <v>16</v>
      </c>
      <c r="F4" s="9" t="s">
        <v>1</v>
      </c>
      <c r="G4" s="10"/>
      <c r="H4" s="9" t="s">
        <v>17</v>
      </c>
      <c r="I4" s="10" t="str">
        <f t="shared" si="2"/>
        <v>cheat summon ToxicAllo_Character_BP_C</v>
      </c>
      <c r="J4" s="10" t="str">
        <f t="shared" si="3"/>
        <v>admincheat GMSummon "ToxicAllo_Character_BP_C" 120</v>
      </c>
      <c r="K4" s="9" t="s">
        <v>18</v>
      </c>
      <c r="L4" s="10" t="str">
        <f t="shared" si="4"/>
        <v>cheat SpawnDino "Blueprint'/PrimalChaos/1Dinos/1Toxic/Allo/ToxicAllo_Character_BP.ToxicAllo_Character_BP'" 150 0 0 35</v>
      </c>
      <c r="M4" s="10" t="str">
        <f t="shared" si="5"/>
        <v>NPCReplacements=(FromClassName="ToxicAllo_Character_BP_C",ToClassName="")</v>
      </c>
      <c r="N4" s="2"/>
    </row>
    <row r="5">
      <c r="B5" s="6"/>
      <c r="C5" s="4">
        <v>114.0</v>
      </c>
      <c r="D5" s="4">
        <f t="shared" si="1"/>
        <v>0</v>
      </c>
      <c r="E5" s="7" t="s">
        <v>19</v>
      </c>
      <c r="F5" s="7" t="s">
        <v>1</v>
      </c>
      <c r="G5" s="8"/>
      <c r="H5" s="7" t="s">
        <v>20</v>
      </c>
      <c r="I5" s="8" t="str">
        <f t="shared" si="2"/>
        <v>cheat summon ToxicAnkylo_Character_BP_C</v>
      </c>
      <c r="J5" s="8" t="str">
        <f t="shared" si="3"/>
        <v>admincheat GMSummon "ToxicAnkylo_Character_BP_C" 120</v>
      </c>
      <c r="K5" s="7" t="s">
        <v>21</v>
      </c>
      <c r="L5" s="8" t="str">
        <f t="shared" si="4"/>
        <v>cheat SpawnDino "Blueprint'/PrimalChaos/1Dinos/1Toxic/Ankylosaurus/ToxicAnkylo_Character_BP.ToxicAnkylo_Character_BP'" 150 0 0 35</v>
      </c>
      <c r="M5" s="8" t="str">
        <f t="shared" si="5"/>
        <v>NPCReplacements=(FromClassName="ToxicAnkylo_Character_BP_C",ToClassName="")</v>
      </c>
      <c r="N5" s="2"/>
    </row>
    <row r="6">
      <c r="B6" s="6"/>
      <c r="C6" s="4">
        <v>115.0</v>
      </c>
      <c r="D6" s="4">
        <f t="shared" si="1"/>
        <v>0</v>
      </c>
      <c r="E6" s="9" t="s">
        <v>22</v>
      </c>
      <c r="F6" s="9" t="s">
        <v>1</v>
      </c>
      <c r="G6" s="10"/>
      <c r="H6" s="9" t="s">
        <v>23</v>
      </c>
      <c r="I6" s="10" t="str">
        <f t="shared" si="2"/>
        <v>cheat summon ToxicAnt_Character_BP_C</v>
      </c>
      <c r="J6" s="10" t="str">
        <f t="shared" si="3"/>
        <v>admincheat GMSummon "ToxicAnt_Character_BP_C" 120</v>
      </c>
      <c r="K6" s="9" t="s">
        <v>24</v>
      </c>
      <c r="L6" s="10" t="str">
        <f t="shared" si="4"/>
        <v>cheat SpawnDino "Blueprint'/PrimalChaos/1Dinos/1Toxic/Ant/ToxicAnt_Character_BP.ToxicAnt_Character_BP'" 150 0 0 35</v>
      </c>
      <c r="M6" s="10" t="str">
        <f t="shared" si="5"/>
        <v>NPCReplacements=(FromClassName="ToxicAnt_Character_BP_C",ToClassName="")</v>
      </c>
      <c r="N6" s="2"/>
    </row>
    <row r="7">
      <c r="B7" s="6"/>
      <c r="C7" s="4">
        <v>116.0</v>
      </c>
      <c r="D7" s="4">
        <f t="shared" si="1"/>
        <v>0</v>
      </c>
      <c r="E7" s="7" t="s">
        <v>25</v>
      </c>
      <c r="F7" s="7" t="s">
        <v>1</v>
      </c>
      <c r="G7" s="8"/>
      <c r="H7" s="7" t="s">
        <v>26</v>
      </c>
      <c r="I7" s="8" t="str">
        <f t="shared" si="2"/>
        <v>cheat summon ToxicArcha_Character_BP_C</v>
      </c>
      <c r="J7" s="8" t="str">
        <f t="shared" si="3"/>
        <v>admincheat GMSummon "ToxicArcha_Character_BP_C" 120</v>
      </c>
      <c r="K7" s="7" t="s">
        <v>27</v>
      </c>
      <c r="L7" s="8" t="str">
        <f t="shared" si="4"/>
        <v>cheat SpawnDino "Blueprint'/PrimalChaos/1Dinos/1Toxic/Archaeopteryx/ToxicArcha_Character_BP.ToxicArcha_Character_BP'" 150 0 0 35</v>
      </c>
      <c r="M7" s="8" t="str">
        <f t="shared" si="5"/>
        <v>NPCReplacements=(FromClassName="ToxicArcha_Character_BP_C",ToClassName="")</v>
      </c>
      <c r="N7" s="2"/>
    </row>
    <row r="8">
      <c r="B8" s="6"/>
      <c r="C8" s="4">
        <v>117.0</v>
      </c>
      <c r="D8" s="4">
        <f t="shared" si="1"/>
        <v>0</v>
      </c>
      <c r="E8" s="9" t="s">
        <v>28</v>
      </c>
      <c r="F8" s="9" t="s">
        <v>1</v>
      </c>
      <c r="G8" s="10"/>
      <c r="H8" s="9" t="s">
        <v>29</v>
      </c>
      <c r="I8" s="10" t="str">
        <f t="shared" si="2"/>
        <v>cheat summon ToxicArgent_Character_BP_C</v>
      </c>
      <c r="J8" s="10" t="str">
        <f t="shared" si="3"/>
        <v>admincheat GMSummon "ToxicArgent_Character_BP_C" 120</v>
      </c>
      <c r="K8" s="9" t="s">
        <v>30</v>
      </c>
      <c r="L8" s="10" t="str">
        <f t="shared" si="4"/>
        <v>cheat SpawnDino "Blueprint'/PrimalChaos/1Dinos/1Toxic/Argentavis/ToxicArgent_Character_BP.ToxicArgent_Character_BP'" 150 0 0 35</v>
      </c>
      <c r="M8" s="10" t="str">
        <f t="shared" si="5"/>
        <v>NPCReplacements=(FromClassName="ToxicArgent_Character_BP_C",ToClassName="")</v>
      </c>
      <c r="N8" s="2"/>
    </row>
    <row r="9">
      <c r="B9" s="6"/>
      <c r="C9" s="4">
        <v>118.0</v>
      </c>
      <c r="D9" s="4">
        <f t="shared" si="1"/>
        <v>0</v>
      </c>
      <c r="E9" s="7" t="s">
        <v>31</v>
      </c>
      <c r="F9" s="7" t="s">
        <v>1</v>
      </c>
      <c r="G9" s="8"/>
      <c r="H9" s="7" t="s">
        <v>32</v>
      </c>
      <c r="I9" s="8" t="str">
        <f t="shared" si="2"/>
        <v>cheat summon ToxicArthro_Character_BP_C</v>
      </c>
      <c r="J9" s="8" t="str">
        <f t="shared" si="3"/>
        <v>admincheat GMSummon "ToxicArthro_Character_BP_C" 120</v>
      </c>
      <c r="K9" s="7" t="s">
        <v>33</v>
      </c>
      <c r="L9" s="8" t="str">
        <f t="shared" si="4"/>
        <v>cheat SpawnDino "Blueprint'/PrimalChaos/1Dinos/1Toxic/Arthropluera/ToxicArthro_Character_BP.ToxicArthro_Character_BP'" 150 0 0 35</v>
      </c>
      <c r="M9" s="8" t="str">
        <f t="shared" si="5"/>
        <v>NPCReplacements=(FromClassName="ToxicArthro_Character_BP_C",ToClassName="")</v>
      </c>
      <c r="N9" s="2"/>
    </row>
    <row r="10">
      <c r="B10" s="6"/>
      <c r="C10" s="4">
        <v>119.0</v>
      </c>
      <c r="D10" s="4">
        <f t="shared" si="1"/>
        <v>0</v>
      </c>
      <c r="E10" s="9" t="s">
        <v>34</v>
      </c>
      <c r="F10" s="9" t="s">
        <v>1</v>
      </c>
      <c r="G10" s="10"/>
      <c r="H10" s="9" t="s">
        <v>35</v>
      </c>
      <c r="I10" s="10" t="str">
        <f t="shared" si="2"/>
        <v>cheat summon ToxicBaryonyx_Character_BP_C</v>
      </c>
      <c r="J10" s="10" t="str">
        <f t="shared" si="3"/>
        <v>admincheat GMSummon "ToxicBaryonyx_Character_BP_C" 120</v>
      </c>
      <c r="K10" s="9" t="s">
        <v>36</v>
      </c>
      <c r="L10" s="10" t="str">
        <f t="shared" si="4"/>
        <v>cheat SpawnDino "Blueprint'/PrimalChaos/1Dinos/1Toxic/Baryonyx/ToxicBaryonyx_Character_BP.ToxicBaryonyx_Character_BP'" 150 0 0 35</v>
      </c>
      <c r="M10" s="10" t="str">
        <f t="shared" si="5"/>
        <v>NPCReplacements=(FromClassName="ToxicBaryonyx_Character_BP_C",ToClassName="")</v>
      </c>
      <c r="N10" s="2"/>
    </row>
    <row r="11">
      <c r="B11" s="6"/>
      <c r="C11" s="4">
        <v>97.0</v>
      </c>
      <c r="D11" s="4">
        <f t="shared" si="1"/>
        <v>1</v>
      </c>
      <c r="E11" s="7" t="s">
        <v>37</v>
      </c>
      <c r="F11" s="11" t="s">
        <v>38</v>
      </c>
      <c r="G11" s="8"/>
      <c r="H11" s="8" t="s">
        <v>39</v>
      </c>
      <c r="I11" s="8" t="str">
        <f t="shared" si="2"/>
        <v>cheat summon Beta_Basilo_Character_BP_C</v>
      </c>
      <c r="J11" s="8" t="str">
        <f t="shared" si="3"/>
        <v>admincheat GMSummon "Beta_Basilo_Character_BP_C" 120</v>
      </c>
      <c r="K11" s="8" t="s">
        <v>40</v>
      </c>
      <c r="L11" s="8" t="str">
        <f t="shared" si="4"/>
        <v>cheat SpawnDino "Blueprint'/PrimalChaos/1WaterDinos/1Beta/Basilo/Beta_Basilo_Character_BP.Beta_Basilo_Character_BP'" 150 0 0 35</v>
      </c>
      <c r="M11" s="8" t="str">
        <f t="shared" si="5"/>
        <v>NPCReplacements=(FromClassName="Beta_Basilo_Character_BP_C",ToClassName="")</v>
      </c>
      <c r="N11" s="2"/>
    </row>
    <row r="12">
      <c r="B12" s="6"/>
      <c r="C12" s="4">
        <v>120.0</v>
      </c>
      <c r="D12" s="4">
        <f t="shared" si="1"/>
        <v>0</v>
      </c>
      <c r="E12" s="9" t="s">
        <v>41</v>
      </c>
      <c r="F12" s="9" t="s">
        <v>1</v>
      </c>
      <c r="G12" s="10"/>
      <c r="H12" s="9" t="s">
        <v>42</v>
      </c>
      <c r="I12" s="10" t="str">
        <f t="shared" si="2"/>
        <v>cheat summon ToxicBeaver_Character_BP_C</v>
      </c>
      <c r="J12" s="10" t="str">
        <f t="shared" si="3"/>
        <v>admincheat GMSummon "ToxicBeaver_Character_BP_C" 120</v>
      </c>
      <c r="K12" s="9" t="s">
        <v>43</v>
      </c>
      <c r="L12" s="10" t="str">
        <f t="shared" si="4"/>
        <v>cheat SpawnDino "Blueprint'/PrimalChaos/1Dinos/1Toxic/Castoroides/ToxicBeaver_Character_BP.ToxicBeaver_Character_BP'" 150 0 0 35</v>
      </c>
      <c r="M12" s="10" t="str">
        <f t="shared" si="5"/>
        <v>NPCReplacements=(FromClassName="ToxicBeaver_Character_BP_C",ToClassName="")</v>
      </c>
      <c r="N12" s="2"/>
    </row>
    <row r="13">
      <c r="B13" s="6"/>
      <c r="C13" s="4">
        <v>121.0</v>
      </c>
      <c r="D13" s="4">
        <f t="shared" si="1"/>
        <v>0</v>
      </c>
      <c r="E13" s="7" t="s">
        <v>44</v>
      </c>
      <c r="F13" s="7" t="s">
        <v>1</v>
      </c>
      <c r="G13" s="8"/>
      <c r="H13" s="7" t="s">
        <v>45</v>
      </c>
      <c r="I13" s="8" t="str">
        <f t="shared" si="2"/>
        <v>cheat summon ToxicBigfoot_Character_BP_C</v>
      </c>
      <c r="J13" s="8" t="str">
        <f t="shared" si="3"/>
        <v>admincheat GMSummon "ToxicBigfoot_Character_BP_C" 120</v>
      </c>
      <c r="K13" s="7" t="s">
        <v>46</v>
      </c>
      <c r="L13" s="8" t="str">
        <f t="shared" si="4"/>
        <v>cheat SpawnDino "Blueprint'/PrimalChaos/1Dinos/1Toxic/Gigantopithecus/ToxicBigfoot_Character_BP.ToxicBigfoot_Character_BP'" 150 0 0 35</v>
      </c>
      <c r="M13" s="8" t="str">
        <f t="shared" si="5"/>
        <v>NPCReplacements=(FromClassName="ToxicBigfoot_Character_BP_C",ToClassName="")</v>
      </c>
      <c r="N13" s="2"/>
    </row>
    <row r="14">
      <c r="B14" s="6"/>
      <c r="C14" s="4">
        <v>122.0</v>
      </c>
      <c r="D14" s="4">
        <f t="shared" si="1"/>
        <v>0</v>
      </c>
      <c r="E14" s="9" t="s">
        <v>47</v>
      </c>
      <c r="F14" s="9" t="s">
        <v>1</v>
      </c>
      <c r="G14" s="10"/>
      <c r="H14" s="9" t="s">
        <v>48</v>
      </c>
      <c r="I14" s="10" t="str">
        <f t="shared" si="2"/>
        <v>cheat summon ToxicBoaFrill_Character_BP_C</v>
      </c>
      <c r="J14" s="10" t="str">
        <f t="shared" si="3"/>
        <v>admincheat GMSummon "ToxicBoaFrill_Character_BP_C" 120</v>
      </c>
      <c r="K14" s="9" t="s">
        <v>49</v>
      </c>
      <c r="L14" s="10" t="str">
        <f t="shared" si="4"/>
        <v>cheat SpawnDino "Blueprint'/PrimalChaos/1Dinos/1Toxic/Snake/ToxicBoaFrill_Character_BP.ToxicBoaFrill_Character_BP'" 150 0 0 35</v>
      </c>
      <c r="M14" s="10" t="str">
        <f t="shared" si="5"/>
        <v>NPCReplacements=(FromClassName="ToxicBoaFrill_Character_BP_C",ToClassName="")</v>
      </c>
      <c r="N14" s="2"/>
    </row>
    <row r="15">
      <c r="B15" s="6"/>
      <c r="C15" s="4"/>
      <c r="D15" s="4"/>
      <c r="E15" s="7" t="s">
        <v>50</v>
      </c>
      <c r="F15" s="7" t="s">
        <v>1</v>
      </c>
      <c r="G15" s="8"/>
      <c r="H15" s="7" t="s">
        <v>51</v>
      </c>
      <c r="I15" s="8" t="str">
        <f t="shared" si="2"/>
        <v>cheat summon ToxicCarcha_Character_BP_C</v>
      </c>
      <c r="J15" s="8" t="str">
        <f t="shared" si="3"/>
        <v>admincheat GMSummon "ToxicCarcha_Character_BP_C" 120</v>
      </c>
      <c r="K15" s="7" t="s">
        <v>52</v>
      </c>
      <c r="L15" s="8" t="str">
        <f t="shared" si="4"/>
        <v>cheat SpawnDino "Blueprint'/PrimalChaos/1Dinos/1Toxic/Carcha/ToxicCarcha_Character_BP.ToxicCarcha_Character_BP'" 150 0 0 35</v>
      </c>
      <c r="M15" s="8" t="str">
        <f t="shared" si="5"/>
        <v>NPCReplacements=(FromClassName="ToxicCarcha_Character_BP_C",ToClassName="")</v>
      </c>
      <c r="N15" s="2"/>
    </row>
    <row r="16">
      <c r="B16" s="6"/>
      <c r="C16" s="4">
        <v>124.0</v>
      </c>
      <c r="D16" s="4">
        <f t="shared" ref="D16:D97" si="6">IF(F16="Beta",1)+IF(F16="Alpha",2)+IF(F16="Electric",3)+IF(F16="Volcanic",3)+IF(F16="Hydro",3)+IF(F16="Shadow",4)+IF(F16="Fairy",4)+IF(F16="Mythic",5)+IF(F16="Legendary",5)+IF(F16="Demonic",6)+IF(F16="Angelic",6)+IF(F16="Jester",7)+IF(F16="Nightmare",8)+IF(F16="Vanilla",9)+IF(F16="Boss",8)</f>
        <v>0</v>
      </c>
      <c r="E16" s="9" t="s">
        <v>53</v>
      </c>
      <c r="F16" s="9" t="s">
        <v>1</v>
      </c>
      <c r="G16" s="10"/>
      <c r="H16" s="9" t="s">
        <v>54</v>
      </c>
      <c r="I16" s="10" t="str">
        <f t="shared" si="2"/>
        <v>cheat summon ToxicCarno_Character_BP_C</v>
      </c>
      <c r="J16" s="10" t="str">
        <f t="shared" si="3"/>
        <v>admincheat GMSummon "ToxicCarno_Character_BP_C" 120</v>
      </c>
      <c r="K16" s="9" t="s">
        <v>55</v>
      </c>
      <c r="L16" s="10" t="str">
        <f t="shared" si="4"/>
        <v>cheat SpawnDino "Blueprint'/PrimalChaos/1Dinos/1Toxic/Carno/ToxicCarno_Character_BP.ToxicCarno_Character_BP'" 150 0 0 35</v>
      </c>
      <c r="M16" s="10" t="str">
        <f t="shared" si="5"/>
        <v>NPCReplacements=(FromClassName="ToxicCarno_Character_BP_C",ToClassName="")</v>
      </c>
      <c r="N16" s="2"/>
    </row>
    <row r="17">
      <c r="B17" s="6"/>
      <c r="C17" s="4">
        <v>125.0</v>
      </c>
      <c r="D17" s="4">
        <f t="shared" si="6"/>
        <v>0</v>
      </c>
      <c r="E17" s="7" t="s">
        <v>56</v>
      </c>
      <c r="F17" s="7" t="s">
        <v>1</v>
      </c>
      <c r="G17" s="8"/>
      <c r="H17" s="7" t="s">
        <v>57</v>
      </c>
      <c r="I17" s="8" t="str">
        <f t="shared" si="2"/>
        <v>cheat summon ToxicChalico_Character_BP_C</v>
      </c>
      <c r="J17" s="8" t="str">
        <f t="shared" si="3"/>
        <v>admincheat GMSummon "ToxicChalico_Character_BP_C" 120</v>
      </c>
      <c r="K17" s="7" t="s">
        <v>58</v>
      </c>
      <c r="L17" s="8" t="str">
        <f t="shared" si="4"/>
        <v>cheat SpawnDino "Blueprint'/PrimalChaos/1Dinos/1Toxic/Chalicotherium/ToxicChalico_Character_BP.ToxicChalico_Character_BP'" 150 0 0 35</v>
      </c>
      <c r="M17" s="8" t="str">
        <f t="shared" si="5"/>
        <v>NPCReplacements=(FromClassName="ToxicChalico_Character_BP_C",ToClassName="")</v>
      </c>
      <c r="N17" s="2"/>
    </row>
    <row r="18">
      <c r="B18" s="6"/>
      <c r="C18" s="4">
        <v>98.0</v>
      </c>
      <c r="D18" s="4">
        <f t="shared" si="6"/>
        <v>1</v>
      </c>
      <c r="E18" s="9" t="s">
        <v>59</v>
      </c>
      <c r="F18" s="11" t="s">
        <v>38</v>
      </c>
      <c r="G18" s="10"/>
      <c r="H18" s="10" t="s">
        <v>60</v>
      </c>
      <c r="I18" s="10" t="str">
        <f t="shared" si="2"/>
        <v>cheat summon Beta_Cnidaria_Character_BP_C</v>
      </c>
      <c r="J18" s="10" t="str">
        <f t="shared" si="3"/>
        <v>admincheat GMSummon "Beta_Cnidaria_Character_BP_C" 120</v>
      </c>
      <c r="K18" s="10" t="s">
        <v>61</v>
      </c>
      <c r="L18" s="10" t="str">
        <f t="shared" si="4"/>
        <v>cheat SpawnDino "Blueprint'/PrimalChaos/1WaterDinos/1Beta/Cnidaria/Beta_Cnidaria_Character_BP.Beta_Cnidaria_Character_BP'" 150 0 0 35</v>
      </c>
      <c r="M18" s="10" t="str">
        <f t="shared" si="5"/>
        <v>NPCReplacements=(FromClassName="Beta_Cnidaria_Character_BP_C",ToClassName="")</v>
      </c>
      <c r="N18" s="2"/>
    </row>
    <row r="19">
      <c r="B19" s="6"/>
      <c r="C19" s="4">
        <v>126.0</v>
      </c>
      <c r="D19" s="4">
        <f t="shared" si="6"/>
        <v>0</v>
      </c>
      <c r="E19" s="7" t="s">
        <v>62</v>
      </c>
      <c r="F19" s="7" t="s">
        <v>1</v>
      </c>
      <c r="G19" s="8"/>
      <c r="H19" s="7" t="s">
        <v>63</v>
      </c>
      <c r="I19" s="8" t="str">
        <f t="shared" si="2"/>
        <v>cheat summon ToxicCompy_Character_BP_C</v>
      </c>
      <c r="J19" s="8" t="str">
        <f t="shared" si="3"/>
        <v>admincheat GMSummon "ToxicCompy_Character_BP_C" 120</v>
      </c>
      <c r="K19" s="7" t="s">
        <v>64</v>
      </c>
      <c r="L19" s="8" t="str">
        <f t="shared" si="4"/>
        <v>cheat SpawnDino "Blueprint'/PrimalChaos/1Dinos/1Toxic/Compy/ToxicCompy_Character_BP.ToxicCompy_Character_BP'" 150 0 0 35</v>
      </c>
      <c r="M19" s="8" t="str">
        <f t="shared" si="5"/>
        <v>NPCReplacements=(FromClassName="ToxicCompy_Character_BP_C",ToClassName="")</v>
      </c>
      <c r="N19" s="2"/>
    </row>
    <row r="20">
      <c r="B20" s="6"/>
      <c r="C20" s="4">
        <v>127.0</v>
      </c>
      <c r="D20" s="4">
        <f t="shared" si="6"/>
        <v>0</v>
      </c>
      <c r="E20" s="9" t="s">
        <v>65</v>
      </c>
      <c r="F20" s="9" t="s">
        <v>1</v>
      </c>
      <c r="G20" s="10"/>
      <c r="H20" s="9" t="s">
        <v>66</v>
      </c>
      <c r="I20" s="10" t="str">
        <f t="shared" si="2"/>
        <v>cheat summon ToxicDaeodon_Character_BP_C</v>
      </c>
      <c r="J20" s="10" t="str">
        <f t="shared" si="3"/>
        <v>admincheat GMSummon "ToxicDaeodon_Character_BP_C" 120</v>
      </c>
      <c r="K20" s="9" t="s">
        <v>67</v>
      </c>
      <c r="L20" s="10" t="str">
        <f t="shared" si="4"/>
        <v>cheat SpawnDino "Blueprint'/PrimalChaos/1Dinos/1Toxic/Daeodon/ToxicDaeodon_Character_BP.ToxicDaeodon_Character_BP'" 150 0 0 35</v>
      </c>
      <c r="M20" s="10" t="str">
        <f t="shared" si="5"/>
        <v>NPCReplacements=(FromClassName="ToxicDaeodon_Character_BP_C",ToClassName="")</v>
      </c>
      <c r="N20" s="2"/>
    </row>
    <row r="21">
      <c r="B21" s="6"/>
      <c r="C21" s="4">
        <v>128.0</v>
      </c>
      <c r="D21" s="4">
        <f t="shared" si="6"/>
        <v>0</v>
      </c>
      <c r="E21" s="7" t="s">
        <v>68</v>
      </c>
      <c r="F21" s="7" t="s">
        <v>1</v>
      </c>
      <c r="G21" s="8"/>
      <c r="H21" s="7" t="s">
        <v>69</v>
      </c>
      <c r="I21" s="8" t="str">
        <f t="shared" si="2"/>
        <v>cheat summon ToxicDilo_Character_BP_C</v>
      </c>
      <c r="J21" s="8" t="str">
        <f t="shared" si="3"/>
        <v>admincheat GMSummon "ToxicDilo_Character_BP_C" 120</v>
      </c>
      <c r="K21" s="7" t="s">
        <v>70</v>
      </c>
      <c r="L21" s="8" t="str">
        <f t="shared" si="4"/>
        <v>cheat SpawnDino "Blueprint'/PrimalChaos/1Dinos/1Toxic/Dilo/ToxicDilo_Character_BP.ToxicDilo_Character_BP'" 150 0 0 35</v>
      </c>
      <c r="M21" s="8" t="str">
        <f t="shared" si="5"/>
        <v>NPCReplacements=(FromClassName="ToxicDilo_Character_BP_C",ToClassName="")</v>
      </c>
      <c r="N21" s="2"/>
    </row>
    <row r="22">
      <c r="B22" s="6"/>
      <c r="C22" s="4">
        <v>129.0</v>
      </c>
      <c r="D22" s="4">
        <f t="shared" si="6"/>
        <v>0</v>
      </c>
      <c r="E22" s="9" t="s">
        <v>71</v>
      </c>
      <c r="F22" s="9" t="s">
        <v>1</v>
      </c>
      <c r="G22" s="10"/>
      <c r="H22" s="9" t="s">
        <v>72</v>
      </c>
      <c r="I22" s="10" t="str">
        <f t="shared" si="2"/>
        <v>cheat summon ToxicDimetro_Character_BP_C</v>
      </c>
      <c r="J22" s="10" t="str">
        <f t="shared" si="3"/>
        <v>admincheat GMSummon "ToxicDimetro_Character_BP_C" 120</v>
      </c>
      <c r="K22" s="9" t="s">
        <v>73</v>
      </c>
      <c r="L22" s="10" t="str">
        <f t="shared" si="4"/>
        <v>cheat SpawnDino "Blueprint'/PrimalChaos/1Dinos/1Toxic/Dimetrodon/ToxicDimetro_Character_BP.ToxicDimetro_Character_BP'" 150 0 0 35</v>
      </c>
      <c r="M22" s="10" t="str">
        <f t="shared" si="5"/>
        <v>NPCReplacements=(FromClassName="ToxicDimetro_Character_BP_C",ToClassName="")</v>
      </c>
      <c r="N22" s="2"/>
    </row>
    <row r="23">
      <c r="B23" s="6"/>
      <c r="C23" s="4">
        <v>130.0</v>
      </c>
      <c r="D23" s="4">
        <f t="shared" si="6"/>
        <v>0</v>
      </c>
      <c r="E23" s="7" t="s">
        <v>74</v>
      </c>
      <c r="F23" s="7" t="s">
        <v>1</v>
      </c>
      <c r="G23" s="8"/>
      <c r="H23" s="7" t="s">
        <v>75</v>
      </c>
      <c r="I23" s="8" t="str">
        <f t="shared" si="2"/>
        <v>cheat summon ToxicDimorph_Character_BP_C</v>
      </c>
      <c r="J23" s="8" t="str">
        <f t="shared" si="3"/>
        <v>admincheat GMSummon "ToxicDimorph_Character_BP_C" 120</v>
      </c>
      <c r="K23" s="7" t="s">
        <v>76</v>
      </c>
      <c r="L23" s="8" t="str">
        <f t="shared" si="4"/>
        <v>cheat SpawnDino "Blueprint'/PrimalChaos/1Dinos/1Toxic/Dimorphodon/ToxicDimorph_Character_BP.ToxicDimorph_Character_BP'" 150 0 0 35</v>
      </c>
      <c r="M23" s="8" t="str">
        <f t="shared" si="5"/>
        <v>NPCReplacements=(FromClassName="ToxicDimorph_Character_BP_C",ToClassName="")</v>
      </c>
      <c r="N23" s="2"/>
    </row>
    <row r="24">
      <c r="B24" s="6"/>
      <c r="C24" s="4">
        <v>99.0</v>
      </c>
      <c r="D24" s="4">
        <f t="shared" si="6"/>
        <v>1</v>
      </c>
      <c r="E24" s="9" t="s">
        <v>77</v>
      </c>
      <c r="F24" s="11" t="s">
        <v>38</v>
      </c>
      <c r="G24" s="10"/>
      <c r="H24" s="10" t="s">
        <v>78</v>
      </c>
      <c r="I24" s="10" t="str">
        <f t="shared" si="2"/>
        <v>cheat summon Beta_Diplocaulus_Character_BP_C</v>
      </c>
      <c r="J24" s="10" t="str">
        <f t="shared" si="3"/>
        <v>admincheat GMSummon "Beta_Diplocaulus_Character_BP_C" 120</v>
      </c>
      <c r="K24" s="10" t="s">
        <v>79</v>
      </c>
      <c r="L24" s="10" t="str">
        <f t="shared" si="4"/>
        <v>cheat SpawnDino "Blueprint'/PrimalChaos/1WaterDinos/1Beta/Diplocaulus/Beta_Diplocaulus_Character_BP.Beta_Diplocaulus_Character_BP'" 150 0 0 35</v>
      </c>
      <c r="M24" s="10" t="str">
        <f t="shared" si="5"/>
        <v>NPCReplacements=(FromClassName="Beta_Diplocaulus_Character_BP_C",ToClassName="")</v>
      </c>
      <c r="N24" s="2"/>
    </row>
    <row r="25">
      <c r="B25" s="6"/>
      <c r="C25" s="4">
        <v>131.0</v>
      </c>
      <c r="D25" s="4">
        <f t="shared" si="6"/>
        <v>0</v>
      </c>
      <c r="E25" s="7" t="s">
        <v>80</v>
      </c>
      <c r="F25" s="7" t="s">
        <v>1</v>
      </c>
      <c r="G25" s="8"/>
      <c r="H25" s="7" t="s">
        <v>81</v>
      </c>
      <c r="I25" s="8" t="str">
        <f t="shared" si="2"/>
        <v>cheat summon ToxicDiplodocus_Character_BP_C</v>
      </c>
      <c r="J25" s="8" t="str">
        <f t="shared" si="3"/>
        <v>admincheat GMSummon "ToxicDiplodocus_Character_BP_C" 120</v>
      </c>
      <c r="K25" s="7" t="s">
        <v>82</v>
      </c>
      <c r="L25" s="8" t="str">
        <f t="shared" si="4"/>
        <v>cheat SpawnDino "Blueprint'/PrimalChaos/1Dinos/1Toxic/Diplodocus/ToxicDiplodocus_Character_BP.ToxicDiplodocus_Character_BP'" 150 0 0 35</v>
      </c>
      <c r="M25" s="8" t="str">
        <f t="shared" si="5"/>
        <v>NPCReplacements=(FromClassName="ToxicDiplodocus_Character_BP_C",ToClassName="")</v>
      </c>
      <c r="N25" s="2"/>
    </row>
    <row r="26">
      <c r="B26" s="6"/>
      <c r="C26" s="4">
        <v>132.0</v>
      </c>
      <c r="D26" s="4">
        <f t="shared" si="6"/>
        <v>0</v>
      </c>
      <c r="E26" s="9" t="s">
        <v>83</v>
      </c>
      <c r="F26" s="9" t="s">
        <v>1</v>
      </c>
      <c r="G26" s="10"/>
      <c r="H26" s="9" t="s">
        <v>84</v>
      </c>
      <c r="I26" s="10" t="str">
        <f t="shared" si="2"/>
        <v>cheat summon ToxicDirebear_Character_BP_C</v>
      </c>
      <c r="J26" s="10" t="str">
        <f t="shared" si="3"/>
        <v>admincheat GMSummon "ToxicDirebear_Character_BP_C" 120</v>
      </c>
      <c r="K26" s="9" t="s">
        <v>85</v>
      </c>
      <c r="L26" s="10" t="str">
        <f t="shared" si="4"/>
        <v>cheat SpawnDino "Blueprint'/PrimalChaos/1Dinos/1Toxic/Direbear/ToxicDirebear_Character_BP.ToxicDirebear_Character_BP'" 150 0 0 35</v>
      </c>
      <c r="M26" s="10" t="str">
        <f t="shared" si="5"/>
        <v>NPCReplacements=(FromClassName="ToxicDirebear_Character_BP_C",ToClassName="")</v>
      </c>
      <c r="N26" s="2"/>
    </row>
    <row r="27">
      <c r="B27" s="6"/>
      <c r="C27" s="4">
        <v>133.0</v>
      </c>
      <c r="D27" s="4">
        <f t="shared" si="6"/>
        <v>0</v>
      </c>
      <c r="E27" s="7" t="s">
        <v>86</v>
      </c>
      <c r="F27" s="7" t="s">
        <v>1</v>
      </c>
      <c r="G27" s="8"/>
      <c r="H27" s="7" t="s">
        <v>87</v>
      </c>
      <c r="I27" s="8" t="str">
        <f t="shared" si="2"/>
        <v>cheat summon ToxicDirewolf_Character_BP_C</v>
      </c>
      <c r="J27" s="8" t="str">
        <f t="shared" si="3"/>
        <v>admincheat GMSummon "ToxicDirewolf_Character_BP_C" 120</v>
      </c>
      <c r="K27" s="7" t="s">
        <v>88</v>
      </c>
      <c r="L27" s="8" t="str">
        <f t="shared" si="4"/>
        <v>cheat SpawnDino "Blueprint'/PrimalChaos/1Dinos/1Toxic/Direwolf/ToxicDirewolf_Character_BP.ToxicDirewolf_Character_BP'" 150 0 0 35</v>
      </c>
      <c r="M27" s="8" t="str">
        <f t="shared" si="5"/>
        <v>NPCReplacements=(FromClassName="ToxicDirewolf_Character_BP_C",ToClassName="")</v>
      </c>
      <c r="N27" s="2"/>
    </row>
    <row r="28">
      <c r="B28" s="6"/>
      <c r="C28" s="4">
        <v>134.0</v>
      </c>
      <c r="D28" s="4">
        <f t="shared" si="6"/>
        <v>0</v>
      </c>
      <c r="E28" s="9" t="s">
        <v>89</v>
      </c>
      <c r="F28" s="9" t="s">
        <v>1</v>
      </c>
      <c r="G28" s="10"/>
      <c r="H28" s="9" t="s">
        <v>90</v>
      </c>
      <c r="I28" s="10" t="str">
        <f t="shared" si="2"/>
        <v>cheat summon ToxicDodo_Character_BP_C</v>
      </c>
      <c r="J28" s="10" t="str">
        <f t="shared" si="3"/>
        <v>admincheat GMSummon "ToxicDodo_Character_BP_C" 120</v>
      </c>
      <c r="K28" s="9" t="s">
        <v>91</v>
      </c>
      <c r="L28" s="10" t="str">
        <f t="shared" si="4"/>
        <v>cheat SpawnDino "Blueprint'/PrimalChaos/1Dinos/1Toxic/Dodo/ToxicDodo_Character_BP.ToxicDodo_Character_BP'" 150 0 0 35</v>
      </c>
      <c r="M28" s="10" t="str">
        <f t="shared" si="5"/>
        <v>NPCReplacements=(FromClassName="ToxicDodo_Character_BP_C",ToClassName="")</v>
      </c>
      <c r="N28" s="2"/>
    </row>
    <row r="29">
      <c r="B29" s="6"/>
      <c r="C29" s="4">
        <v>135.0</v>
      </c>
      <c r="D29" s="4">
        <f t="shared" si="6"/>
        <v>0</v>
      </c>
      <c r="E29" s="7" t="s">
        <v>92</v>
      </c>
      <c r="F29" s="7" t="s">
        <v>1</v>
      </c>
      <c r="G29" s="8"/>
      <c r="H29" s="7" t="s">
        <v>93</v>
      </c>
      <c r="I29" s="8" t="str">
        <f t="shared" si="2"/>
        <v>cheat summon ToxicDoed_Character_BP_C</v>
      </c>
      <c r="J29" s="8" t="str">
        <f t="shared" si="3"/>
        <v>admincheat GMSummon "ToxicDoed_Character_BP_C" 120</v>
      </c>
      <c r="K29" s="7" t="s">
        <v>94</v>
      </c>
      <c r="L29" s="8" t="str">
        <f t="shared" si="4"/>
        <v>cheat SpawnDino "Blueprint'/PrimalChaos/1Dinos/1Toxic/Doedicurus/ToxicDoed_Character_BP.ToxicDoed_Character_BP'" 150 0 0 35</v>
      </c>
      <c r="M29" s="8" t="str">
        <f t="shared" si="5"/>
        <v>NPCReplacements=(FromClassName="ToxicDoed_Character_BP_C",ToClassName="")</v>
      </c>
      <c r="N29" s="2"/>
    </row>
    <row r="30">
      <c r="B30" s="6"/>
      <c r="C30" s="4">
        <v>136.0</v>
      </c>
      <c r="D30" s="4">
        <f t="shared" si="6"/>
        <v>0</v>
      </c>
      <c r="E30" s="9" t="s">
        <v>95</v>
      </c>
      <c r="F30" s="9" t="s">
        <v>1</v>
      </c>
      <c r="G30" s="10"/>
      <c r="H30" s="9" t="s">
        <v>96</v>
      </c>
      <c r="I30" s="10" t="str">
        <f t="shared" si="2"/>
        <v>cheat summon ToxicDragonfly_Character_BP_C</v>
      </c>
      <c r="J30" s="10" t="str">
        <f t="shared" si="3"/>
        <v>admincheat GMSummon "ToxicDragonfly_Character_BP_C" 120</v>
      </c>
      <c r="K30" s="9" t="s">
        <v>97</v>
      </c>
      <c r="L30" s="10" t="str">
        <f t="shared" si="4"/>
        <v>cheat SpawnDino "Blueprint'/PrimalChaos/1Dinos/1Toxic/Dragonfly/ToxicDragonfly_Character_BP.ToxicDragonfly_Character_BP'" 150 0 0 35</v>
      </c>
      <c r="M30" s="10" t="str">
        <f t="shared" si="5"/>
        <v>NPCReplacements=(FromClassName="ToxicDragonfly_Character_BP_C",ToClassName="")</v>
      </c>
      <c r="N30" s="2"/>
    </row>
    <row r="31">
      <c r="B31" s="6"/>
      <c r="C31" s="4">
        <v>137.0</v>
      </c>
      <c r="D31" s="4">
        <f t="shared" si="6"/>
        <v>0</v>
      </c>
      <c r="E31" s="7" t="s">
        <v>98</v>
      </c>
      <c r="F31" s="7" t="s">
        <v>1</v>
      </c>
      <c r="G31" s="8"/>
      <c r="H31" s="7" t="s">
        <v>99</v>
      </c>
      <c r="I31" s="8" t="str">
        <f t="shared" si="2"/>
        <v>cheat summon ToxicDungBeetle_Character_BP_C</v>
      </c>
      <c r="J31" s="8" t="str">
        <f t="shared" si="3"/>
        <v>admincheat GMSummon "ToxicDungBeetle_Character_BP_C" 120</v>
      </c>
      <c r="K31" s="7" t="s">
        <v>100</v>
      </c>
      <c r="L31" s="8" t="str">
        <f t="shared" si="4"/>
        <v>cheat SpawnDino "Blueprint'/PrimalChaos/1Dinos/1Toxic/Dungbeetle/ToxicDungBeetle_Character_BP.ToxicDungBeetle_Character_BP'" 150 0 0 35</v>
      </c>
      <c r="M31" s="8" t="str">
        <f t="shared" si="5"/>
        <v>NPCReplacements=(FromClassName="ToxicDungBeetle_Character_BP_C",ToClassName="")</v>
      </c>
      <c r="N31" s="2"/>
    </row>
    <row r="32">
      <c r="B32" s="6"/>
      <c r="C32" s="4">
        <v>100.0</v>
      </c>
      <c r="D32" s="4">
        <f t="shared" si="6"/>
        <v>1</v>
      </c>
      <c r="E32" s="9" t="s">
        <v>101</v>
      </c>
      <c r="F32" s="11" t="s">
        <v>38</v>
      </c>
      <c r="G32" s="10"/>
      <c r="H32" s="10" t="s">
        <v>102</v>
      </c>
      <c r="I32" s="10" t="str">
        <f t="shared" si="2"/>
        <v>cheat summon Beta_Dunkleo_Character_BP_C</v>
      </c>
      <c r="J32" s="10" t="str">
        <f t="shared" si="3"/>
        <v>admincheat GMSummon "Beta_Dunkleo_Character_BP_C" 120</v>
      </c>
      <c r="K32" s="10" t="s">
        <v>103</v>
      </c>
      <c r="L32" s="10" t="str">
        <f t="shared" si="4"/>
        <v>cheat SpawnDino "Blueprint'/PrimalChaos/1WaterDinos/1Beta/Dunkleo/Beta_Dunkleo_Character_BP.Beta_Dunkleo_Character_BP'" 150 0 0 35</v>
      </c>
      <c r="M32" s="10" t="str">
        <f t="shared" si="5"/>
        <v>NPCReplacements=(FromClassName="Beta_Dunkleo_Character_BP_C",ToClassName="")</v>
      </c>
      <c r="N32" s="2"/>
    </row>
    <row r="33">
      <c r="B33" s="6"/>
      <c r="C33" s="4">
        <v>101.0</v>
      </c>
      <c r="D33" s="4">
        <f t="shared" si="6"/>
        <v>1</v>
      </c>
      <c r="E33" s="7" t="s">
        <v>104</v>
      </c>
      <c r="F33" s="11" t="s">
        <v>38</v>
      </c>
      <c r="G33" s="8"/>
      <c r="H33" s="8" t="s">
        <v>105</v>
      </c>
      <c r="I33" s="8" t="str">
        <f t="shared" si="2"/>
        <v>cheat summon Beta_Electrophorus_Character_BP_C</v>
      </c>
      <c r="J33" s="8" t="str">
        <f t="shared" si="3"/>
        <v>admincheat GMSummon "Beta_Electrophorus_Character_BP_C" 120</v>
      </c>
      <c r="K33" s="8" t="s">
        <v>106</v>
      </c>
      <c r="L33" s="8" t="str">
        <f t="shared" si="4"/>
        <v>cheat SpawnDino "Blueprint'/PrimalChaos/1WaterDinos/1Beta/Electrophorus/Beta_Electrophorus_Character_BP.Beta_Electrophorus_Character_BP'" 150 0 0 35</v>
      </c>
      <c r="M33" s="8" t="str">
        <f t="shared" si="5"/>
        <v>NPCReplacements=(FromClassName="Beta_Electrophorus_Character_BP_C",ToClassName="")</v>
      </c>
      <c r="N33" s="2"/>
    </row>
    <row r="34">
      <c r="B34" s="6"/>
      <c r="C34" s="4">
        <v>138.0</v>
      </c>
      <c r="D34" s="4">
        <f t="shared" si="6"/>
        <v>0</v>
      </c>
      <c r="E34" s="9" t="s">
        <v>107</v>
      </c>
      <c r="F34" s="9" t="s">
        <v>1</v>
      </c>
      <c r="G34" s="10"/>
      <c r="H34" s="9" t="s">
        <v>108</v>
      </c>
      <c r="I34" s="10" t="str">
        <f t="shared" si="2"/>
        <v>cheat summon ToxicEquus_Character_BP_C</v>
      </c>
      <c r="J34" s="10" t="str">
        <f t="shared" si="3"/>
        <v>admincheat GMSummon "ToxicEquus_Character_BP_C" 120</v>
      </c>
      <c r="K34" s="9" t="s">
        <v>109</v>
      </c>
      <c r="L34" s="10" t="str">
        <f t="shared" si="4"/>
        <v>cheat SpawnDino "Blueprint'/PrimalChaos/1Dinos/1Toxic/Equus/ToxicEquus_Character_BP.ToxicEquus_Character_BP'" 150 0 0 35</v>
      </c>
      <c r="M34" s="10" t="str">
        <f t="shared" si="5"/>
        <v>NPCReplacements=(FromClassName="ToxicEquus_Character_BP_C",ToClassName="")</v>
      </c>
      <c r="N34" s="2"/>
    </row>
    <row r="35">
      <c r="B35" s="6"/>
      <c r="C35" s="4">
        <v>102.0</v>
      </c>
      <c r="D35" s="4">
        <f t="shared" si="6"/>
        <v>1</v>
      </c>
      <c r="E35" s="7" t="s">
        <v>110</v>
      </c>
      <c r="F35" s="11" t="s">
        <v>38</v>
      </c>
      <c r="G35" s="8"/>
      <c r="H35" s="8" t="s">
        <v>111</v>
      </c>
      <c r="I35" s="8" t="str">
        <f t="shared" si="2"/>
        <v>cheat summon Beta_Eurypterid_Character_BP_C</v>
      </c>
      <c r="J35" s="8" t="str">
        <f t="shared" si="3"/>
        <v>admincheat GMSummon "Beta_Eurypterid_Character_BP_C" 120</v>
      </c>
      <c r="K35" s="8" t="s">
        <v>112</v>
      </c>
      <c r="L35" s="8" t="str">
        <f t="shared" si="4"/>
        <v>cheat SpawnDino "Blueprint'/PrimalChaos/1WaterDinos/1Beta/eurypterid/Beta_Eurypterid_Character_BP.Beta_Eurypterid_Character_BP'" 150 0 0 35</v>
      </c>
      <c r="M35" s="8" t="str">
        <f t="shared" si="5"/>
        <v>NPCReplacements=(FromClassName="Beta_Eurypterid_Character_BP_C",ToClassName="")</v>
      </c>
      <c r="N35" s="2"/>
    </row>
    <row r="36">
      <c r="B36" s="6"/>
      <c r="C36" s="4">
        <v>139.0</v>
      </c>
      <c r="D36" s="4">
        <f t="shared" si="6"/>
        <v>0</v>
      </c>
      <c r="E36" s="9" t="s">
        <v>113</v>
      </c>
      <c r="F36" s="9" t="s">
        <v>1</v>
      </c>
      <c r="G36" s="10"/>
      <c r="H36" s="9" t="s">
        <v>114</v>
      </c>
      <c r="I36" s="10" t="str">
        <f t="shared" si="2"/>
        <v>cheat summon ToxicGalli_Character_BP_C</v>
      </c>
      <c r="J36" s="10" t="str">
        <f t="shared" si="3"/>
        <v>admincheat GMSummon "ToxicGalli_Character_BP_C" 120</v>
      </c>
      <c r="K36" s="9" t="s">
        <v>115</v>
      </c>
      <c r="L36" s="10" t="str">
        <f t="shared" si="4"/>
        <v>cheat SpawnDino "Blueprint'/PrimalChaos/1Dinos/1Toxic/Gallimimus/ToxicGalli_Character_BP.ToxicGalli_Character_BP'" 150 0 0 35</v>
      </c>
      <c r="M36" s="10" t="str">
        <f t="shared" si="5"/>
        <v>NPCReplacements=(FromClassName="ToxicGalli_Character_BP_C",ToClassName="")</v>
      </c>
      <c r="N36" s="2"/>
    </row>
    <row r="37">
      <c r="B37" s="6"/>
      <c r="C37" s="4">
        <v>140.0</v>
      </c>
      <c r="D37" s="4">
        <f t="shared" si="6"/>
        <v>0</v>
      </c>
      <c r="E37" s="7" t="s">
        <v>116</v>
      </c>
      <c r="F37" s="7" t="s">
        <v>1</v>
      </c>
      <c r="G37" s="8"/>
      <c r="H37" s="7" t="s">
        <v>117</v>
      </c>
      <c r="I37" s="8" t="str">
        <f t="shared" si="2"/>
        <v>cheat summon ToxicGigant_Character_BP_C</v>
      </c>
      <c r="J37" s="8" t="str">
        <f t="shared" si="3"/>
        <v>admincheat GMSummon "ToxicGigant_Character_BP_C" 120</v>
      </c>
      <c r="K37" s="7" t="s">
        <v>118</v>
      </c>
      <c r="L37" s="8" t="str">
        <f t="shared" si="4"/>
        <v>cheat SpawnDino "Blueprint'/PrimalChaos/1Dinos/1Toxic/Giga/ToxicGigant_Character_BP.ToxicGigant_Character_BP'" 150 0 0 35</v>
      </c>
      <c r="M37" s="8" t="str">
        <f t="shared" si="5"/>
        <v>NPCReplacements=(FromClassName="ToxicGigant_Character_BP_C",ToClassName="")</v>
      </c>
      <c r="N37" s="2"/>
    </row>
    <row r="38">
      <c r="B38" s="6"/>
      <c r="C38" s="4">
        <v>141.0</v>
      </c>
      <c r="D38" s="4">
        <f t="shared" si="6"/>
        <v>0</v>
      </c>
      <c r="E38" s="9" t="s">
        <v>119</v>
      </c>
      <c r="F38" s="9" t="s">
        <v>1</v>
      </c>
      <c r="G38" s="10"/>
      <c r="H38" s="9" t="s">
        <v>120</v>
      </c>
      <c r="I38" s="10" t="str">
        <f t="shared" si="2"/>
        <v>cheat summon ToxicHesperornis_Character_BP_C</v>
      </c>
      <c r="J38" s="10" t="str">
        <f t="shared" si="3"/>
        <v>admincheat GMSummon "ToxicHesperornis_Character_BP_C" 120</v>
      </c>
      <c r="K38" s="9" t="s">
        <v>121</v>
      </c>
      <c r="L38" s="10" t="str">
        <f t="shared" si="4"/>
        <v>cheat SpawnDino "Blueprint'/PrimalChaos/1Dinos/1Toxic/Hesperornis/ToxicHesperornis_Character_BP.ToxicHesperornis_Character_BP'" 150 0 0 35</v>
      </c>
      <c r="M38" s="10" t="str">
        <f t="shared" si="5"/>
        <v>NPCReplacements=(FromClassName="ToxicHesperornis_Character_BP_C",ToClassName="")</v>
      </c>
      <c r="N38" s="2"/>
    </row>
    <row r="39">
      <c r="B39" s="6"/>
      <c r="C39" s="4">
        <v>142.0</v>
      </c>
      <c r="D39" s="4">
        <f t="shared" si="6"/>
        <v>0</v>
      </c>
      <c r="E39" s="7" t="s">
        <v>122</v>
      </c>
      <c r="F39" s="7" t="s">
        <v>1</v>
      </c>
      <c r="G39" s="8"/>
      <c r="H39" s="7" t="s">
        <v>123</v>
      </c>
      <c r="I39" s="8" t="str">
        <f t="shared" si="2"/>
        <v>cheat summon ToxicHyaenodon_Character_BP_C</v>
      </c>
      <c r="J39" s="8" t="str">
        <f t="shared" si="3"/>
        <v>admincheat GMSummon "ToxicHyaenodon_Character_BP_C" 120</v>
      </c>
      <c r="K39" s="7" t="s">
        <v>124</v>
      </c>
      <c r="L39" s="8" t="str">
        <f t="shared" si="4"/>
        <v>cheat SpawnDino "Blueprint'/PrimalChaos/1Dinos/1Toxic/Hyena/ToxicHyaenodon_Character_BP.ToxicHyaenodon_Character_BP'" 150 0 0 35</v>
      </c>
      <c r="M39" s="8" t="str">
        <f t="shared" si="5"/>
        <v>NPCReplacements=(FromClassName="ToxicHyaenodon_Character_BP_C",ToClassName="")</v>
      </c>
      <c r="N39" s="2"/>
    </row>
    <row r="40">
      <c r="B40" s="6"/>
      <c r="C40" s="4">
        <v>143.0</v>
      </c>
      <c r="D40" s="4">
        <f t="shared" si="6"/>
        <v>0</v>
      </c>
      <c r="E40" s="9" t="s">
        <v>125</v>
      </c>
      <c r="F40" s="9" t="s">
        <v>1</v>
      </c>
      <c r="G40" s="10"/>
      <c r="H40" s="9" t="s">
        <v>126</v>
      </c>
      <c r="I40" s="10" t="str">
        <f t="shared" si="2"/>
        <v>cheat summon ToxicIguanodon_Character_BP_C</v>
      </c>
      <c r="J40" s="10" t="str">
        <f t="shared" si="3"/>
        <v>admincheat GMSummon "ToxicIguanodon_Character_BP_C" 120</v>
      </c>
      <c r="K40" s="9" t="s">
        <v>127</v>
      </c>
      <c r="L40" s="10" t="str">
        <f t="shared" si="4"/>
        <v>cheat SpawnDino "Blueprint'/PrimalChaos/1Dinos/1Toxic/Iguanodon/ToxicIguanodon_Character_BP.ToxicIguanodon_Character_BP'" 150 0 0 35</v>
      </c>
      <c r="M40" s="10" t="str">
        <f t="shared" si="5"/>
        <v>NPCReplacements=(FromClassName="ToxicIguanodon_Character_BP_C",ToClassName="")</v>
      </c>
      <c r="N40" s="2"/>
    </row>
    <row r="41">
      <c r="B41" s="6"/>
      <c r="C41" s="4">
        <v>144.0</v>
      </c>
      <c r="D41" s="4">
        <f t="shared" si="6"/>
        <v>0</v>
      </c>
      <c r="E41" s="7" t="s">
        <v>128</v>
      </c>
      <c r="F41" s="7" t="s">
        <v>1</v>
      </c>
      <c r="G41" s="8"/>
      <c r="H41" s="7" t="s">
        <v>129</v>
      </c>
      <c r="I41" s="8" t="str">
        <f t="shared" si="2"/>
        <v>cheat summon ToxicKairuku_Character_BP_C</v>
      </c>
      <c r="J41" s="8" t="str">
        <f t="shared" si="3"/>
        <v>admincheat GMSummon "ToxicKairuku_Character_BP_C" 120</v>
      </c>
      <c r="K41" s="7" t="s">
        <v>130</v>
      </c>
      <c r="L41" s="8" t="str">
        <f t="shared" si="4"/>
        <v>cheat SpawnDino "Blueprint'/PrimalChaos/1Dinos/1Toxic/Kairuku/ToxicKairuku_Character_BP.ToxicKairuku_Character_BP'" 150 0 0 35</v>
      </c>
      <c r="M41" s="8" t="str">
        <f t="shared" si="5"/>
        <v>NPCReplacements=(FromClassName="ToxicKairuku_Character_BP_C",ToClassName="")</v>
      </c>
      <c r="N41" s="2"/>
    </row>
    <row r="42">
      <c r="B42" s="6"/>
      <c r="C42" s="4">
        <v>145.0</v>
      </c>
      <c r="D42" s="4">
        <f t="shared" si="6"/>
        <v>0</v>
      </c>
      <c r="E42" s="9" t="s">
        <v>131</v>
      </c>
      <c r="F42" s="9" t="s">
        <v>1</v>
      </c>
      <c r="G42" s="10"/>
      <c r="H42" s="9" t="s">
        <v>132</v>
      </c>
      <c r="I42" s="10" t="str">
        <f t="shared" si="2"/>
        <v>cheat summon ToxicKaprosuchus_Character_BP_C</v>
      </c>
      <c r="J42" s="10" t="str">
        <f t="shared" si="3"/>
        <v>admincheat GMSummon "ToxicKaprosuchus_Character_BP_C" 120</v>
      </c>
      <c r="K42" s="9" t="s">
        <v>133</v>
      </c>
      <c r="L42" s="10" t="str">
        <f t="shared" si="4"/>
        <v>cheat SpawnDino "Blueprint'/PrimalChaos/1Dinos/1Toxic/Kaprosuchus/ToxicKaprosuchus_Character_BP.ToxicKaprosuchus_Character_BP'" 150 0 0 35</v>
      </c>
      <c r="M42" s="10" t="str">
        <f t="shared" si="5"/>
        <v>NPCReplacements=(FromClassName="ToxicKaprosuchus_Character_BP_C",ToClassName="")</v>
      </c>
      <c r="N42" s="2"/>
    </row>
    <row r="43">
      <c r="B43" s="6"/>
      <c r="C43" s="4">
        <v>146.0</v>
      </c>
      <c r="D43" s="4">
        <f t="shared" si="6"/>
        <v>0</v>
      </c>
      <c r="E43" s="7" t="s">
        <v>134</v>
      </c>
      <c r="F43" s="7" t="s">
        <v>1</v>
      </c>
      <c r="G43" s="8"/>
      <c r="H43" s="7" t="s">
        <v>135</v>
      </c>
      <c r="I43" s="8" t="str">
        <f t="shared" si="2"/>
        <v>cheat summon ToxicKentro_Character_BP_C</v>
      </c>
      <c r="J43" s="8" t="str">
        <f t="shared" si="3"/>
        <v>admincheat GMSummon "ToxicKentro_Character_BP_C" 120</v>
      </c>
      <c r="K43" s="7" t="s">
        <v>136</v>
      </c>
      <c r="L43" s="8" t="str">
        <f t="shared" si="4"/>
        <v>cheat SpawnDino "Blueprint'/PrimalChaos/1Dinos/1Toxic/Kentro/ToxicKentro_Character_BP.ToxicKentro_Character_BP'" 150 0 0 35</v>
      </c>
      <c r="M43" s="8" t="str">
        <f t="shared" si="5"/>
        <v>NPCReplacements=(FromClassName="ToxicKentro_Character_BP_C",ToClassName="")</v>
      </c>
      <c r="N43" s="2"/>
    </row>
    <row r="44">
      <c r="B44" s="6"/>
      <c r="C44" s="4">
        <v>103.0</v>
      </c>
      <c r="D44" s="4">
        <f t="shared" si="6"/>
        <v>1</v>
      </c>
      <c r="E44" s="9" t="s">
        <v>137</v>
      </c>
      <c r="F44" s="11" t="s">
        <v>38</v>
      </c>
      <c r="G44" s="10"/>
      <c r="H44" s="10" t="s">
        <v>138</v>
      </c>
      <c r="I44" s="10" t="str">
        <f t="shared" si="2"/>
        <v>cheat summon Beta_Leech_Character_BP_C</v>
      </c>
      <c r="J44" s="10" t="str">
        <f t="shared" si="3"/>
        <v>admincheat GMSummon "Beta_Leech_Character_BP_C" 120</v>
      </c>
      <c r="K44" s="10" t="s">
        <v>139</v>
      </c>
      <c r="L44" s="10" t="str">
        <f t="shared" si="4"/>
        <v>cheat SpawnDino "Blueprint'/PrimalChaos/1WaterDinos/1Beta/leech/Beta_Leech_Character_BP.Beta_Leech_Character_BP'" 150 0 0 35</v>
      </c>
      <c r="M44" s="10" t="str">
        <f t="shared" si="5"/>
        <v>NPCReplacements=(FromClassName="Beta_Leech_Character_BP_C",ToClassName="")</v>
      </c>
      <c r="N44" s="2"/>
    </row>
    <row r="45">
      <c r="B45" s="6"/>
      <c r="C45" s="4">
        <v>104.0</v>
      </c>
      <c r="D45" s="4">
        <f t="shared" si="6"/>
        <v>1</v>
      </c>
      <c r="E45" s="7" t="s">
        <v>140</v>
      </c>
      <c r="F45" s="11" t="s">
        <v>38</v>
      </c>
      <c r="G45" s="8"/>
      <c r="H45" s="8" t="s">
        <v>141</v>
      </c>
      <c r="I45" s="8" t="str">
        <f t="shared" si="2"/>
        <v>cheat summon Beta_Liopleurodon_Character_BP_C</v>
      </c>
      <c r="J45" s="8" t="str">
        <f t="shared" si="3"/>
        <v>admincheat GMSummon "Beta_Liopleurodon_Character_BP_C" 120</v>
      </c>
      <c r="K45" s="8" t="s">
        <v>142</v>
      </c>
      <c r="L45" s="8" t="str">
        <f t="shared" si="4"/>
        <v>cheat SpawnDino "Blueprint'/PrimalChaos/1WaterDinos/1Beta/liopleurodon/Beta_Liopleurodon_Character_BP.Beta_Liopleurodon_Character_BP'" 150 0 0 35</v>
      </c>
      <c r="M45" s="8" t="str">
        <f t="shared" si="5"/>
        <v>NPCReplacements=(FromClassName="Beta_Liopleurodon_Character_BP_C",ToClassName="")</v>
      </c>
      <c r="N45" s="2"/>
    </row>
    <row r="46">
      <c r="B46" s="6"/>
      <c r="C46" s="4">
        <v>147.0</v>
      </c>
      <c r="D46" s="4">
        <f t="shared" si="6"/>
        <v>0</v>
      </c>
      <c r="E46" s="9" t="s">
        <v>143</v>
      </c>
      <c r="F46" s="9" t="s">
        <v>1</v>
      </c>
      <c r="G46" s="10"/>
      <c r="H46" s="9" t="s">
        <v>144</v>
      </c>
      <c r="I46" s="10" t="str">
        <f t="shared" si="2"/>
        <v>cheat summon ToxicLystro_Character_BP_C</v>
      </c>
      <c r="J46" s="10" t="str">
        <f t="shared" si="3"/>
        <v>admincheat GMSummon "ToxicLystro_Character_BP_C" 120</v>
      </c>
      <c r="K46" s="9" t="s">
        <v>145</v>
      </c>
      <c r="L46" s="10" t="str">
        <f t="shared" si="4"/>
        <v>cheat SpawnDino "Blueprint'/PrimalChaos/1Dinos/1Toxic/Lystro/ToxicLystro_Character_BP.ToxicLystro_Character_BP'" 150 0 0 35</v>
      </c>
      <c r="M46" s="10" t="str">
        <f t="shared" si="5"/>
        <v>NPCReplacements=(FromClassName="ToxicLystro_Character_BP_C",ToClassName="")</v>
      </c>
      <c r="N46" s="2"/>
    </row>
    <row r="47">
      <c r="B47" s="6"/>
      <c r="C47" s="4">
        <v>148.0</v>
      </c>
      <c r="D47" s="4">
        <f t="shared" si="6"/>
        <v>0</v>
      </c>
      <c r="E47" s="7" t="s">
        <v>146</v>
      </c>
      <c r="F47" s="7" t="s">
        <v>1</v>
      </c>
      <c r="G47" s="8"/>
      <c r="H47" s="7" t="s">
        <v>147</v>
      </c>
      <c r="I47" s="8" t="str">
        <f t="shared" si="2"/>
        <v>cheat summon ToxicMammoth_Character_BP_C</v>
      </c>
      <c r="J47" s="8" t="str">
        <f t="shared" si="3"/>
        <v>admincheat GMSummon "ToxicMammoth_Character_BP_C" 120</v>
      </c>
      <c r="K47" s="7" t="s">
        <v>148</v>
      </c>
      <c r="L47" s="8" t="str">
        <f t="shared" si="4"/>
        <v>cheat SpawnDino "Blueprint'/PrimalChaos/1Dinos/1Toxic/Mammoth/ToxicMammoth_Character_BP.ToxicMammoth_Character_BP'" 150 0 0 35</v>
      </c>
      <c r="M47" s="8" t="str">
        <f t="shared" si="5"/>
        <v>NPCReplacements=(FromClassName="ToxicMammoth_Character_BP_C",ToClassName="")</v>
      </c>
      <c r="N47" s="2"/>
    </row>
    <row r="48">
      <c r="B48" s="6"/>
      <c r="C48" s="4">
        <v>105.0</v>
      </c>
      <c r="D48" s="4">
        <f t="shared" si="6"/>
        <v>1</v>
      </c>
      <c r="E48" s="9" t="s">
        <v>149</v>
      </c>
      <c r="F48" s="11" t="s">
        <v>38</v>
      </c>
      <c r="G48" s="10"/>
      <c r="H48" s="10" t="s">
        <v>150</v>
      </c>
      <c r="I48" s="10" t="str">
        <f t="shared" si="2"/>
        <v>cheat summon Beta_Manta_Character_BP_C</v>
      </c>
      <c r="J48" s="10" t="str">
        <f t="shared" si="3"/>
        <v>admincheat GMSummon "Beta_Manta_Character_BP_C" 120</v>
      </c>
      <c r="K48" s="10" t="s">
        <v>151</v>
      </c>
      <c r="L48" s="10" t="str">
        <f t="shared" si="4"/>
        <v>cheat SpawnDino "Blueprint'/PrimalChaos/1WaterDinos/1Beta/manta/Beta_Manta_Character_BP.Beta_Manta_Character_BP'" 150 0 0 35</v>
      </c>
      <c r="M48" s="10" t="str">
        <f t="shared" si="5"/>
        <v>NPCReplacements=(FromClassName="Beta_Manta_Character_BP_C",ToClassName="")</v>
      </c>
      <c r="N48" s="2"/>
    </row>
    <row r="49">
      <c r="B49" s="6"/>
      <c r="C49" s="4">
        <v>149.0</v>
      </c>
      <c r="D49" s="4">
        <f t="shared" si="6"/>
        <v>0</v>
      </c>
      <c r="E49" s="7" t="s">
        <v>152</v>
      </c>
      <c r="F49" s="7" t="s">
        <v>1</v>
      </c>
      <c r="G49" s="8"/>
      <c r="H49" s="7" t="s">
        <v>153</v>
      </c>
      <c r="I49" s="8" t="str">
        <f t="shared" si="2"/>
        <v>cheat summon ToxicMegalania_Character_BP_C</v>
      </c>
      <c r="J49" s="8" t="str">
        <f t="shared" si="3"/>
        <v>admincheat GMSummon "ToxicMegalania_Character_BP_C" 120</v>
      </c>
      <c r="K49" s="7" t="s">
        <v>154</v>
      </c>
      <c r="L49" s="8" t="str">
        <f t="shared" si="4"/>
        <v>cheat SpawnDino "Blueprint'/PrimalChaos/1Dinos/1Toxic/Megalania/ToxicMegalania_Character_BP.ToxicMegalania_Character_BP'" 150 0 0 35</v>
      </c>
      <c r="M49" s="8" t="str">
        <f t="shared" si="5"/>
        <v>NPCReplacements=(FromClassName="ToxicMegalania_Character_BP_C",ToClassName="")</v>
      </c>
      <c r="N49" s="2"/>
    </row>
    <row r="50">
      <c r="B50" s="6"/>
      <c r="C50" s="4">
        <v>106.0</v>
      </c>
      <c r="D50" s="4">
        <f t="shared" si="6"/>
        <v>1</v>
      </c>
      <c r="E50" s="9" t="s">
        <v>155</v>
      </c>
      <c r="F50" s="11" t="s">
        <v>38</v>
      </c>
      <c r="G50" s="10"/>
      <c r="H50" s="10" t="s">
        <v>156</v>
      </c>
      <c r="I50" s="10" t="str">
        <f t="shared" si="2"/>
        <v>cheat summon Beta_Megalodon_Character_BP_C</v>
      </c>
      <c r="J50" s="10" t="str">
        <f t="shared" si="3"/>
        <v>admincheat GMSummon "Beta_Megalodon_Character_BP_C" 120</v>
      </c>
      <c r="K50" s="10" t="s">
        <v>157</v>
      </c>
      <c r="L50" s="10" t="str">
        <f t="shared" si="4"/>
        <v>cheat SpawnDino "Blueprint'/PrimalChaos/1WaterDinos/1Beta/megalodon/Beta_Megalodon_Character_BP.Beta_Megalodon_Character_BP'" 150 0 0 35</v>
      </c>
      <c r="M50" s="10" t="str">
        <f t="shared" si="5"/>
        <v>NPCReplacements=(FromClassName="Beta_Megalodon_Character_BP_C",ToClassName="")</v>
      </c>
      <c r="N50" s="2"/>
    </row>
    <row r="51">
      <c r="B51" s="6"/>
      <c r="C51" s="4">
        <v>150.0</v>
      </c>
      <c r="D51" s="4">
        <f t="shared" si="6"/>
        <v>0</v>
      </c>
      <c r="E51" s="7" t="s">
        <v>158</v>
      </c>
      <c r="F51" s="7" t="s">
        <v>1</v>
      </c>
      <c r="G51" s="8"/>
      <c r="H51" s="7" t="s">
        <v>159</v>
      </c>
      <c r="I51" s="8" t="str">
        <f t="shared" si="2"/>
        <v>cheat summon ToxicMegalosaurus_Character_BP_C</v>
      </c>
      <c r="J51" s="8" t="str">
        <f t="shared" si="3"/>
        <v>admincheat GMSummon "ToxicMegalosaurus_Character_BP_C" 120</v>
      </c>
      <c r="K51" s="7" t="s">
        <v>160</v>
      </c>
      <c r="L51" s="8" t="str">
        <f t="shared" si="4"/>
        <v>cheat SpawnDino "Blueprint'/PrimalChaos/1Dinos/1Toxic/Megalo/ToxicMegalosaurus_Character_BP.ToxicMegalosaurus_Character_BP'" 150 0 0 35</v>
      </c>
      <c r="M51" s="8" t="str">
        <f t="shared" si="5"/>
        <v>NPCReplacements=(FromClassName="ToxicMegalosaurus_Character_BP_C",ToClassName="")</v>
      </c>
      <c r="N51" s="2"/>
    </row>
    <row r="52">
      <c r="B52" s="6"/>
      <c r="C52" s="4">
        <v>151.0</v>
      </c>
      <c r="D52" s="4">
        <f t="shared" si="6"/>
        <v>0</v>
      </c>
      <c r="E52" s="9" t="s">
        <v>161</v>
      </c>
      <c r="F52" s="9" t="s">
        <v>1</v>
      </c>
      <c r="G52" s="10"/>
      <c r="H52" s="9" t="s">
        <v>162</v>
      </c>
      <c r="I52" s="10" t="str">
        <f t="shared" si="2"/>
        <v>cheat summon ToxicMegatherium_Character_BP_C</v>
      </c>
      <c r="J52" s="10" t="str">
        <f t="shared" si="3"/>
        <v>admincheat GMSummon "ToxicMegatherium_Character_BP_C" 120</v>
      </c>
      <c r="K52" s="9" t="s">
        <v>163</v>
      </c>
      <c r="L52" s="10" t="str">
        <f t="shared" si="4"/>
        <v>cheat SpawnDino "Blueprint'/PrimalChaos/1Dinos/1Toxic/Megatherium/ToxicMegatherium_Character_BP.ToxicMegatherium_Character_BP'" 150 0 0 35</v>
      </c>
      <c r="M52" s="10" t="str">
        <f t="shared" si="5"/>
        <v>NPCReplacements=(FromClassName="ToxicMegatherium_Character_BP_C",ToClassName="")</v>
      </c>
      <c r="N52" s="2"/>
    </row>
    <row r="53">
      <c r="B53" s="6"/>
      <c r="C53" s="4">
        <v>152.0</v>
      </c>
      <c r="D53" s="4">
        <f t="shared" si="6"/>
        <v>0</v>
      </c>
      <c r="E53" s="7" t="s">
        <v>164</v>
      </c>
      <c r="F53" s="7" t="s">
        <v>1</v>
      </c>
      <c r="G53" s="8"/>
      <c r="H53" s="7" t="s">
        <v>165</v>
      </c>
      <c r="I53" s="8" t="str">
        <f t="shared" si="2"/>
        <v>cheat summon ToxicMonkey_Character_BP_C</v>
      </c>
      <c r="J53" s="8" t="str">
        <f t="shared" si="3"/>
        <v>admincheat GMSummon "ToxicMonkey_Character_BP_C" 120</v>
      </c>
      <c r="K53" s="7" t="s">
        <v>166</v>
      </c>
      <c r="L53" s="8" t="str">
        <f t="shared" si="4"/>
        <v>cheat SpawnDino "Blueprint'/PrimalChaos/1Dinos/1Toxic/Monkey/ToxicMonkey_Character_BP.ToxicMonkey_Character_BP'" 150 0 0 35</v>
      </c>
      <c r="M53" s="8" t="str">
        <f t="shared" si="5"/>
        <v>NPCReplacements=(FromClassName="ToxicMonkey_Character_BP_C",ToClassName="")</v>
      </c>
      <c r="N53" s="2"/>
    </row>
    <row r="54">
      <c r="B54" s="6"/>
      <c r="C54" s="4">
        <v>107.0</v>
      </c>
      <c r="D54" s="4">
        <f t="shared" si="6"/>
        <v>1</v>
      </c>
      <c r="E54" s="9" t="s">
        <v>167</v>
      </c>
      <c r="F54" s="11" t="s">
        <v>38</v>
      </c>
      <c r="G54" s="10"/>
      <c r="H54" s="10" t="s">
        <v>168</v>
      </c>
      <c r="I54" s="10" t="str">
        <f t="shared" si="2"/>
        <v>cheat summon Beta_Mosa_Character_BP_C</v>
      </c>
      <c r="J54" s="10" t="str">
        <f t="shared" si="3"/>
        <v>admincheat GMSummon "Beta_Mosa_Character_BP_C" 120</v>
      </c>
      <c r="K54" s="10" t="s">
        <v>169</v>
      </c>
      <c r="L54" s="10" t="str">
        <f t="shared" si="4"/>
        <v>cheat SpawnDino "Blueprint'/PrimalChaos/1WaterDinos/1Beta/mosa/Beta_Mosa_Character_BP.Beta_Mosa_Character_BP'" 150 0 0 35</v>
      </c>
      <c r="M54" s="10" t="str">
        <f t="shared" si="5"/>
        <v>NPCReplacements=(FromClassName="Beta_Mosa_Character_BP_C",ToClassName="")</v>
      </c>
      <c r="N54" s="2"/>
    </row>
    <row r="55">
      <c r="B55" s="6"/>
      <c r="C55" s="4">
        <v>153.0</v>
      </c>
      <c r="D55" s="4">
        <f t="shared" si="6"/>
        <v>0</v>
      </c>
      <c r="E55" s="7" t="s">
        <v>170</v>
      </c>
      <c r="F55" s="7" t="s">
        <v>1</v>
      </c>
      <c r="G55" s="8"/>
      <c r="H55" s="7" t="s">
        <v>171</v>
      </c>
      <c r="I55" s="8" t="str">
        <f t="shared" si="2"/>
        <v>cheat summon ToxicMoschops_Character_BP_C</v>
      </c>
      <c r="J55" s="8" t="str">
        <f t="shared" si="3"/>
        <v>admincheat GMSummon "ToxicMoschops_Character_BP_C" 120</v>
      </c>
      <c r="K55" s="7" t="s">
        <v>172</v>
      </c>
      <c r="L55" s="8" t="str">
        <f t="shared" si="4"/>
        <v>cheat SpawnDino "Blueprint'/PrimalChaos/1Dinos/1Toxic/Moschops/ToxicMoschops_Character_BP.ToxicMoschops_Character_BP'" 150 0 0 35</v>
      </c>
      <c r="M55" s="8" t="str">
        <f t="shared" si="5"/>
        <v>NPCReplacements=(FromClassName="ToxicMoschops_Character_BP_C",ToClassName="")</v>
      </c>
      <c r="N55" s="2"/>
    </row>
    <row r="56">
      <c r="B56" s="6"/>
      <c r="C56" s="4">
        <v>154.0</v>
      </c>
      <c r="D56" s="4">
        <f t="shared" si="6"/>
        <v>0</v>
      </c>
      <c r="E56" s="9" t="s">
        <v>173</v>
      </c>
      <c r="F56" s="9" t="s">
        <v>1</v>
      </c>
      <c r="G56" s="10"/>
      <c r="H56" s="9" t="s">
        <v>174</v>
      </c>
      <c r="I56" s="10" t="str">
        <f t="shared" si="2"/>
        <v>cheat summon ToxicOnyc_Character_BP_C</v>
      </c>
      <c r="J56" s="10" t="str">
        <f t="shared" si="3"/>
        <v>admincheat GMSummon "ToxicOnyc_Character_BP_C" 120</v>
      </c>
      <c r="K56" s="9" t="s">
        <v>175</v>
      </c>
      <c r="L56" s="10" t="str">
        <f t="shared" si="4"/>
        <v>cheat SpawnDino "Blueprint'/PrimalChaos/1Dinos/1Toxic/Onyc/ToxicOnyc_Character_BP.ToxicOnyc_Character_BP'" 150 0 0 35</v>
      </c>
      <c r="M56" s="10" t="str">
        <f t="shared" si="5"/>
        <v>NPCReplacements=(FromClassName="ToxicOnyc_Character_BP_C",ToClassName="")</v>
      </c>
      <c r="N56" s="2"/>
    </row>
    <row r="57">
      <c r="B57" s="6"/>
      <c r="C57" s="4">
        <v>155.0</v>
      </c>
      <c r="D57" s="4">
        <f t="shared" si="6"/>
        <v>0</v>
      </c>
      <c r="E57" s="7" t="s">
        <v>176</v>
      </c>
      <c r="F57" s="7" t="s">
        <v>1</v>
      </c>
      <c r="G57" s="8"/>
      <c r="H57" s="7" t="s">
        <v>177</v>
      </c>
      <c r="I57" s="8" t="str">
        <f t="shared" si="2"/>
        <v>cheat summon ToxicOtter_Character_BP_C</v>
      </c>
      <c r="J57" s="8" t="str">
        <f t="shared" si="3"/>
        <v>admincheat GMSummon "ToxicOtter_Character_BP_C" 120</v>
      </c>
      <c r="K57" s="7" t="s">
        <v>178</v>
      </c>
      <c r="L57" s="8" t="str">
        <f t="shared" si="4"/>
        <v>cheat SpawnDino "Blueprint'/PrimalChaos/1Dinos/1Toxic/Otter/ToxicOtter_Character_BP.ToxicOtter_Character_BP'" 150 0 0 35</v>
      </c>
      <c r="M57" s="8" t="str">
        <f t="shared" si="5"/>
        <v>NPCReplacements=(FromClassName="ToxicOtter_Character_BP_C",ToClassName="")</v>
      </c>
      <c r="N57" s="2"/>
    </row>
    <row r="58">
      <c r="B58" s="6"/>
      <c r="C58" s="4">
        <v>156.0</v>
      </c>
      <c r="D58" s="4">
        <f t="shared" si="6"/>
        <v>0</v>
      </c>
      <c r="E58" s="9" t="s">
        <v>179</v>
      </c>
      <c r="F58" s="9" t="s">
        <v>1</v>
      </c>
      <c r="G58" s="10"/>
      <c r="H58" s="9" t="s">
        <v>180</v>
      </c>
      <c r="I58" s="10" t="str">
        <f t="shared" si="2"/>
        <v>cheat summon ToxicOviraptor_Character_BP_C</v>
      </c>
      <c r="J58" s="10" t="str">
        <f t="shared" si="3"/>
        <v>admincheat GMSummon "ToxicOviraptor_Character_BP_C" 120</v>
      </c>
      <c r="K58" s="9" t="s">
        <v>181</v>
      </c>
      <c r="L58" s="10" t="str">
        <f t="shared" si="4"/>
        <v>cheat SpawnDino "Blueprint'/PrimalChaos/1Dinos/1Toxic/Oviraptor/ToxicOviraptor_Character_BP.ToxicOviraptor_Character_BP'" 150 0 0 35</v>
      </c>
      <c r="M58" s="10" t="str">
        <f t="shared" si="5"/>
        <v>NPCReplacements=(FromClassName="ToxicOviraptor_Character_BP_C",ToClassName="")</v>
      </c>
      <c r="N58" s="2"/>
    </row>
    <row r="59">
      <c r="B59" s="6"/>
      <c r="C59" s="4">
        <v>157.0</v>
      </c>
      <c r="D59" s="4">
        <f t="shared" si="6"/>
        <v>0</v>
      </c>
      <c r="E59" s="7" t="s">
        <v>182</v>
      </c>
      <c r="F59" s="7" t="s">
        <v>1</v>
      </c>
      <c r="G59" s="8"/>
      <c r="H59" s="7" t="s">
        <v>183</v>
      </c>
      <c r="I59" s="8" t="str">
        <f t="shared" si="2"/>
        <v>cheat summon ToxicOvis_Character_BP_C</v>
      </c>
      <c r="J59" s="8" t="str">
        <f t="shared" si="3"/>
        <v>admincheat GMSummon "ToxicOvis_Character_BP_C" 120</v>
      </c>
      <c r="K59" s="7" t="s">
        <v>184</v>
      </c>
      <c r="L59" s="8" t="str">
        <f t="shared" si="4"/>
        <v>cheat SpawnDino "Blueprint'/PrimalChaos/1Dinos/1Toxic/Ovis/ToxicOvis_Character_BP.ToxicOvis_Character_BP'" 150 0 0 35</v>
      </c>
      <c r="M59" s="8" t="str">
        <f t="shared" si="5"/>
        <v>NPCReplacements=(FromClassName="ToxicOvis_Character_BP_C",ToClassName="")</v>
      </c>
      <c r="N59" s="2"/>
    </row>
    <row r="60">
      <c r="B60" s="6"/>
      <c r="C60" s="4">
        <v>158.0</v>
      </c>
      <c r="D60" s="4">
        <f t="shared" si="6"/>
        <v>0</v>
      </c>
      <c r="E60" s="9" t="s">
        <v>185</v>
      </c>
      <c r="F60" s="9" t="s">
        <v>1</v>
      </c>
      <c r="G60" s="10"/>
      <c r="H60" s="9" t="s">
        <v>186</v>
      </c>
      <c r="I60" s="10" t="str">
        <f t="shared" si="2"/>
        <v>cheat summon ToxicPachy_Character_BP_C</v>
      </c>
      <c r="J60" s="10" t="str">
        <f t="shared" si="3"/>
        <v>admincheat GMSummon "ToxicPachy_Character_BP_C" 120</v>
      </c>
      <c r="K60" s="9" t="s">
        <v>187</v>
      </c>
      <c r="L60" s="10" t="str">
        <f t="shared" si="4"/>
        <v>cheat SpawnDino "Blueprint'/PrimalChaos/1Dinos/1Toxic/Pachy/ToxicPachy_Character_BP.ToxicPachy_Character_BP'" 150 0 0 35</v>
      </c>
      <c r="M60" s="10" t="str">
        <f t="shared" si="5"/>
        <v>NPCReplacements=(FromClassName="ToxicPachy_Character_BP_C",ToClassName="")</v>
      </c>
      <c r="N60" s="2"/>
    </row>
    <row r="61">
      <c r="B61" s="6"/>
      <c r="C61" s="4">
        <v>159.0</v>
      </c>
      <c r="D61" s="4">
        <f t="shared" si="6"/>
        <v>0</v>
      </c>
      <c r="E61" s="7" t="s">
        <v>188</v>
      </c>
      <c r="F61" s="7" t="s">
        <v>1</v>
      </c>
      <c r="G61" s="8"/>
      <c r="H61" s="7" t="s">
        <v>189</v>
      </c>
      <c r="I61" s="8" t="str">
        <f t="shared" si="2"/>
        <v>cheat summon ToxicPachyrhino_Character_BP_C</v>
      </c>
      <c r="J61" s="8" t="str">
        <f t="shared" si="3"/>
        <v>admincheat GMSummon "ToxicPachyrhino_Character_BP_C" 120</v>
      </c>
      <c r="K61" s="7" t="s">
        <v>190</v>
      </c>
      <c r="L61" s="8" t="str">
        <f t="shared" si="4"/>
        <v>cheat SpawnDino "Blueprint'/PrimalChaos/1Dinos/1Toxic/Pachyrhino/ToxicPachyrhino_Character_BP.ToxicPachyrhino_Character_BP'" 150 0 0 35</v>
      </c>
      <c r="M61" s="8" t="str">
        <f t="shared" si="5"/>
        <v>NPCReplacements=(FromClassName="ToxicPachyrhino_Character_BP_C",ToClassName="")</v>
      </c>
      <c r="N61" s="2"/>
    </row>
    <row r="62">
      <c r="B62" s="6"/>
      <c r="C62" s="4">
        <v>160.0</v>
      </c>
      <c r="D62" s="4">
        <f t="shared" si="6"/>
        <v>0</v>
      </c>
      <c r="E62" s="9" t="s">
        <v>191</v>
      </c>
      <c r="F62" s="9" t="s">
        <v>1</v>
      </c>
      <c r="G62" s="10"/>
      <c r="H62" s="9" t="s">
        <v>192</v>
      </c>
      <c r="I62" s="10" t="str">
        <f t="shared" si="2"/>
        <v>cheat summon ToxicPara_Character_BP_C</v>
      </c>
      <c r="J62" s="10" t="str">
        <f t="shared" si="3"/>
        <v>admincheat GMSummon "ToxicPara_Character_BP_C" 120</v>
      </c>
      <c r="K62" s="9" t="s">
        <v>193</v>
      </c>
      <c r="L62" s="10" t="str">
        <f t="shared" si="4"/>
        <v>cheat SpawnDino "Blueprint'/PrimalChaos/1Dinos/1Toxic/Parasaur/ToxicPara_Character_BP.ToxicPara_Character_BP'" 150 0 0 35</v>
      </c>
      <c r="M62" s="10" t="str">
        <f t="shared" si="5"/>
        <v>NPCReplacements=(FromClassName="ToxicPara_Character_BP_C",ToClassName="")</v>
      </c>
      <c r="N62" s="2"/>
    </row>
    <row r="63">
      <c r="B63" s="6"/>
      <c r="C63" s="4">
        <v>161.0</v>
      </c>
      <c r="D63" s="4">
        <f t="shared" si="6"/>
        <v>0</v>
      </c>
      <c r="E63" s="7" t="s">
        <v>194</v>
      </c>
      <c r="F63" s="7" t="s">
        <v>1</v>
      </c>
      <c r="G63" s="8"/>
      <c r="H63" s="7" t="s">
        <v>195</v>
      </c>
      <c r="I63" s="8" t="str">
        <f t="shared" si="2"/>
        <v>cheat summon ToxicParacer_Character_BP_C</v>
      </c>
      <c r="J63" s="8" t="str">
        <f t="shared" si="3"/>
        <v>admincheat GMSummon "ToxicParacer_Character_BP_C" 120</v>
      </c>
      <c r="K63" s="7" t="s">
        <v>196</v>
      </c>
      <c r="L63" s="8" t="str">
        <f t="shared" si="4"/>
        <v>cheat SpawnDino "Blueprint'/PrimalChaos/1Dinos/1Toxic/Paraceratherium/ToxicParacer_Character_BP.ToxicParacer_Character_BP'" 150 0 0 35</v>
      </c>
      <c r="M63" s="8" t="str">
        <f t="shared" si="5"/>
        <v>NPCReplacements=(FromClassName="ToxicParacer_Character_BP_C",ToClassName="")</v>
      </c>
      <c r="N63" s="2"/>
    </row>
    <row r="64">
      <c r="B64" s="6"/>
      <c r="C64" s="4">
        <v>162.0</v>
      </c>
      <c r="D64" s="4">
        <f t="shared" si="6"/>
        <v>0</v>
      </c>
      <c r="E64" s="9" t="s">
        <v>197</v>
      </c>
      <c r="F64" s="9" t="s">
        <v>1</v>
      </c>
      <c r="G64" s="10"/>
      <c r="H64" s="9" t="s">
        <v>198</v>
      </c>
      <c r="I64" s="10" t="str">
        <f t="shared" si="2"/>
        <v>cheat summon ToxicPegomastax_Character_BP_C</v>
      </c>
      <c r="J64" s="10" t="str">
        <f t="shared" si="3"/>
        <v>admincheat GMSummon "ToxicPegomastax_Character_BP_C" 120</v>
      </c>
      <c r="K64" s="9" t="s">
        <v>199</v>
      </c>
      <c r="L64" s="10" t="str">
        <f t="shared" si="4"/>
        <v>cheat SpawnDino "Blueprint'/PrimalChaos/1Dinos/1Toxic/Pegomastax/ToxicPegomastax_Character_BP.ToxicPegomastax_Character_BP'" 150 0 0 35</v>
      </c>
      <c r="M64" s="10" t="str">
        <f t="shared" si="5"/>
        <v>NPCReplacements=(FromClassName="ToxicPegomastax_Character_BP_C",ToClassName="")</v>
      </c>
      <c r="N64" s="2"/>
    </row>
    <row r="65">
      <c r="B65" s="6"/>
      <c r="C65" s="4">
        <v>163.0</v>
      </c>
      <c r="D65" s="4">
        <f t="shared" si="6"/>
        <v>0</v>
      </c>
      <c r="E65" s="7" t="s">
        <v>200</v>
      </c>
      <c r="F65" s="7" t="s">
        <v>1</v>
      </c>
      <c r="G65" s="8"/>
      <c r="H65" s="7" t="s">
        <v>201</v>
      </c>
      <c r="I65" s="8" t="str">
        <f t="shared" si="2"/>
        <v>cheat summon ToxicPela_Character_BP_C</v>
      </c>
      <c r="J65" s="8" t="str">
        <f t="shared" si="3"/>
        <v>admincheat GMSummon "ToxicPela_Character_BP_C" 120</v>
      </c>
      <c r="K65" s="7" t="s">
        <v>202</v>
      </c>
      <c r="L65" s="8" t="str">
        <f t="shared" si="4"/>
        <v>cheat SpawnDino "Blueprint'/PrimalChaos/1Dinos/1Toxic/Pelagornis/ToxicPela_Character_BP.ToxicPela_Character_BP'" 150 0 0 35</v>
      </c>
      <c r="M65" s="8" t="str">
        <f t="shared" si="5"/>
        <v>NPCReplacements=(FromClassName="ToxicPela_Character_BP_C",ToClassName="")</v>
      </c>
      <c r="N65" s="2"/>
    </row>
    <row r="66">
      <c r="B66" s="6"/>
      <c r="C66" s="4">
        <v>164.0</v>
      </c>
      <c r="D66" s="4">
        <f t="shared" si="6"/>
        <v>0</v>
      </c>
      <c r="E66" s="9" t="s">
        <v>203</v>
      </c>
      <c r="F66" s="9" t="s">
        <v>1</v>
      </c>
      <c r="G66" s="10"/>
      <c r="H66" s="9" t="s">
        <v>204</v>
      </c>
      <c r="I66" s="10" t="str">
        <f t="shared" si="2"/>
        <v>cheat summon ToxicPhiomia_Character_BP_C</v>
      </c>
      <c r="J66" s="10" t="str">
        <f t="shared" si="3"/>
        <v>admincheat GMSummon "ToxicPhiomia_Character_BP_C" 120</v>
      </c>
      <c r="K66" s="9" t="s">
        <v>205</v>
      </c>
      <c r="L66" s="10" t="str">
        <f t="shared" si="4"/>
        <v>cheat SpawnDino "Blueprint'/PrimalChaos/1Dinos/1Toxic/Phiomia/ToxicPhiomia_Character_BP.ToxicPhiomia_Character_BP'" 150 0 0 35</v>
      </c>
      <c r="M66" s="10" t="str">
        <f t="shared" si="5"/>
        <v>NPCReplacements=(FromClassName="ToxicPhiomia_Character_BP_C",ToClassName="")</v>
      </c>
      <c r="N66" s="2"/>
    </row>
    <row r="67">
      <c r="B67" s="6"/>
      <c r="C67" s="4">
        <v>108.0</v>
      </c>
      <c r="D67" s="4">
        <f t="shared" si="6"/>
        <v>1</v>
      </c>
      <c r="E67" s="7" t="s">
        <v>206</v>
      </c>
      <c r="F67" s="11" t="s">
        <v>38</v>
      </c>
      <c r="G67" s="8"/>
      <c r="H67" s="8" t="s">
        <v>207</v>
      </c>
      <c r="I67" s="8" t="str">
        <f t="shared" si="2"/>
        <v>cheat summon Beta_Piranha_Character_BP_C</v>
      </c>
      <c r="J67" s="8" t="str">
        <f t="shared" si="3"/>
        <v>admincheat GMSummon "Beta_Piranha_Character_BP_C" 120</v>
      </c>
      <c r="K67" s="8" t="s">
        <v>208</v>
      </c>
      <c r="L67" s="8" t="str">
        <f t="shared" si="4"/>
        <v>cheat SpawnDino "Blueprint'/PrimalChaos/1WaterDinos/1Beta/piranha/Beta_Piranha_Character_BP.Beta_Piranha_Character_BP'" 150 0 0 35</v>
      </c>
      <c r="M67" s="8" t="str">
        <f t="shared" si="5"/>
        <v>NPCReplacements=(FromClassName="Beta_Piranha_Character_BP_C",ToClassName="")</v>
      </c>
      <c r="N67" s="2"/>
    </row>
    <row r="68">
      <c r="B68" s="6"/>
      <c r="C68" s="4">
        <v>109.0</v>
      </c>
      <c r="D68" s="4">
        <f t="shared" si="6"/>
        <v>1</v>
      </c>
      <c r="E68" s="9" t="s">
        <v>209</v>
      </c>
      <c r="F68" s="11" t="s">
        <v>38</v>
      </c>
      <c r="G68" s="10"/>
      <c r="H68" s="10" t="s">
        <v>210</v>
      </c>
      <c r="I68" s="10" t="str">
        <f t="shared" si="2"/>
        <v>cheat summon Beta_Plesiosaur_Character_BP_C</v>
      </c>
      <c r="J68" s="10" t="str">
        <f t="shared" si="3"/>
        <v>admincheat GMSummon "Beta_Plesiosaur_Character_BP_C" 120</v>
      </c>
      <c r="K68" s="10" t="s">
        <v>211</v>
      </c>
      <c r="L68" s="10" t="str">
        <f t="shared" si="4"/>
        <v>cheat SpawnDino "Blueprint'/PrimalChaos/1WaterDinos/1Beta/plesio/Beta_Plesiosaur_Character_BP.Beta_Plesiosaur_Character_BP'" 150 0 0 35</v>
      </c>
      <c r="M68" s="10" t="str">
        <f t="shared" si="5"/>
        <v>NPCReplacements=(FromClassName="Beta_Plesiosaur_Character_BP_C",ToClassName="")</v>
      </c>
      <c r="N68" s="2"/>
    </row>
    <row r="69">
      <c r="B69" s="6"/>
      <c r="C69" s="4">
        <v>165.0</v>
      </c>
      <c r="D69" s="4">
        <f t="shared" si="6"/>
        <v>0</v>
      </c>
      <c r="E69" s="7" t="s">
        <v>212</v>
      </c>
      <c r="F69" s="7" t="s">
        <v>1</v>
      </c>
      <c r="G69" s="8"/>
      <c r="H69" s="7" t="s">
        <v>213</v>
      </c>
      <c r="I69" s="8" t="str">
        <f t="shared" si="2"/>
        <v>cheat summon ToxicProcoptodon_Character_BP_C</v>
      </c>
      <c r="J69" s="8" t="str">
        <f t="shared" si="3"/>
        <v>admincheat GMSummon "ToxicProcoptodon_Character_BP_C" 120</v>
      </c>
      <c r="K69" s="7" t="s">
        <v>214</v>
      </c>
      <c r="L69" s="8" t="str">
        <f t="shared" si="4"/>
        <v>cheat SpawnDino "Blueprint'/PrimalChaos/1Dinos/1Toxic/Procoptodon/ToxicProcoptodon_Character_BP.ToxicProcoptodon_Character_BP'" 150 0 0 35</v>
      </c>
      <c r="M69" s="8" t="str">
        <f t="shared" si="5"/>
        <v>NPCReplacements=(FromClassName="ToxicProcoptodon_Character_BP_C",ToClassName="")</v>
      </c>
      <c r="N69" s="2"/>
    </row>
    <row r="70">
      <c r="B70" s="6"/>
      <c r="C70" s="4">
        <v>166.0</v>
      </c>
      <c r="D70" s="4">
        <f t="shared" si="6"/>
        <v>0</v>
      </c>
      <c r="E70" s="9" t="s">
        <v>215</v>
      </c>
      <c r="F70" s="9" t="s">
        <v>1</v>
      </c>
      <c r="G70" s="10"/>
      <c r="H70" s="9" t="s">
        <v>216</v>
      </c>
      <c r="I70" s="10" t="str">
        <f t="shared" si="2"/>
        <v>cheat summon ToxicPtero_Character_BP_C</v>
      </c>
      <c r="J70" s="10" t="str">
        <f t="shared" si="3"/>
        <v>admincheat GMSummon "ToxicPtero_Character_BP_C" 120</v>
      </c>
      <c r="K70" s="9" t="s">
        <v>217</v>
      </c>
      <c r="L70" s="10" t="str">
        <f t="shared" si="4"/>
        <v>cheat SpawnDino "Blueprint'/PrimalChaos/1Dinos/1Toxic/Ptera/ToxicPtero_Character_BP.ToxicPtero_Character_BP'" 150 0 0 35</v>
      </c>
      <c r="M70" s="10" t="str">
        <f t="shared" si="5"/>
        <v>NPCReplacements=(FromClassName="ToxicPtero_Character_BP_C",ToClassName="")</v>
      </c>
      <c r="N70" s="2"/>
    </row>
    <row r="71">
      <c r="B71" s="6"/>
      <c r="C71" s="4">
        <v>167.0</v>
      </c>
      <c r="D71" s="4">
        <f t="shared" si="6"/>
        <v>0</v>
      </c>
      <c r="E71" s="7" t="s">
        <v>218</v>
      </c>
      <c r="F71" s="7" t="s">
        <v>1</v>
      </c>
      <c r="G71" s="8"/>
      <c r="H71" s="7" t="s">
        <v>219</v>
      </c>
      <c r="I71" s="8" t="str">
        <f t="shared" si="2"/>
        <v>cheat summon ToxicPurlovia_Character_BP_C</v>
      </c>
      <c r="J71" s="8" t="str">
        <f t="shared" si="3"/>
        <v>admincheat GMSummon "ToxicPurlovia_Character_BP_C" 120</v>
      </c>
      <c r="K71" s="7" t="s">
        <v>220</v>
      </c>
      <c r="L71" s="8" t="str">
        <f t="shared" si="4"/>
        <v>cheat SpawnDino "Blueprint'/PrimalChaos/1Dinos/1Toxic/Purlovia/ToxicPurlovia_Character_BP.ToxicPurlovia_Character_BP'" 150 0 0 35</v>
      </c>
      <c r="M71" s="8" t="str">
        <f t="shared" si="5"/>
        <v>NPCReplacements=(FromClassName="ToxicPurlovia_Character_BP_C",ToClassName="")</v>
      </c>
      <c r="N71" s="2"/>
    </row>
    <row r="72">
      <c r="B72" s="6"/>
      <c r="C72" s="4">
        <v>168.0</v>
      </c>
      <c r="D72" s="4">
        <f t="shared" si="6"/>
        <v>0</v>
      </c>
      <c r="E72" s="9" t="s">
        <v>221</v>
      </c>
      <c r="F72" s="9" t="s">
        <v>1</v>
      </c>
      <c r="G72" s="10"/>
      <c r="H72" s="9" t="s">
        <v>222</v>
      </c>
      <c r="I72" s="10" t="str">
        <f t="shared" si="2"/>
        <v>cheat summon ToxicQuetz_Character_BP_C</v>
      </c>
      <c r="J72" s="10" t="str">
        <f t="shared" si="3"/>
        <v>admincheat GMSummon "ToxicQuetz_Character_BP_C" 120</v>
      </c>
      <c r="K72" s="9" t="s">
        <v>223</v>
      </c>
      <c r="L72" s="10" t="str">
        <f t="shared" si="4"/>
        <v>cheat SpawnDino "Blueprint'/PrimalChaos/1Dinos/1Toxic/Quetzal/ToxicQuetz_Character_BP.ToxicQuetz_Character_BP'" 150 0 0 35</v>
      </c>
      <c r="M72" s="10" t="str">
        <f t="shared" si="5"/>
        <v>NPCReplacements=(FromClassName="ToxicQuetz_Character_BP_C",ToClassName="")</v>
      </c>
      <c r="N72" s="2"/>
    </row>
    <row r="73">
      <c r="B73" s="6"/>
      <c r="C73" s="4">
        <v>169.0</v>
      </c>
      <c r="D73" s="4">
        <f t="shared" si="6"/>
        <v>0</v>
      </c>
      <c r="E73" s="7" t="s">
        <v>224</v>
      </c>
      <c r="F73" s="7" t="s">
        <v>1</v>
      </c>
      <c r="G73" s="8"/>
      <c r="H73" s="7" t="s">
        <v>225</v>
      </c>
      <c r="I73" s="8" t="str">
        <f t="shared" si="2"/>
        <v>cheat summon ToxicRaptor_Character_BP_C</v>
      </c>
      <c r="J73" s="8" t="str">
        <f t="shared" si="3"/>
        <v>admincheat GMSummon "ToxicRaptor_Character_BP_C" 120</v>
      </c>
      <c r="K73" s="7" t="s">
        <v>226</v>
      </c>
      <c r="L73" s="8" t="str">
        <f t="shared" si="4"/>
        <v>cheat SpawnDino "Blueprint'/PrimalChaos/1Dinos/1Toxic/Raptor/ToxicRaptor_Character_BP.ToxicRaptor_Character_BP'" 150 0 0 35</v>
      </c>
      <c r="M73" s="8" t="str">
        <f t="shared" si="5"/>
        <v>NPCReplacements=(FromClassName="ToxicRaptor_Character_BP_C",ToClassName="")</v>
      </c>
      <c r="N73" s="2"/>
    </row>
    <row r="74">
      <c r="B74" s="6"/>
      <c r="C74" s="4">
        <v>170.0</v>
      </c>
      <c r="D74" s="4">
        <f t="shared" si="6"/>
        <v>0</v>
      </c>
      <c r="E74" s="9" t="s">
        <v>227</v>
      </c>
      <c r="F74" s="9" t="s">
        <v>1</v>
      </c>
      <c r="G74" s="10"/>
      <c r="H74" s="9" t="s">
        <v>228</v>
      </c>
      <c r="I74" s="10" t="str">
        <f t="shared" si="2"/>
        <v>cheat summon ToxicRex_Character_BP_C</v>
      </c>
      <c r="J74" s="10" t="str">
        <f t="shared" si="3"/>
        <v>admincheat GMSummon "ToxicRex_Character_BP_C" 120</v>
      </c>
      <c r="K74" s="9" t="s">
        <v>229</v>
      </c>
      <c r="L74" s="10" t="str">
        <f t="shared" si="4"/>
        <v>cheat SpawnDino "Blueprint'/PrimalChaos/1Dinos/1Toxic/Rex/ToxicRex_Character_BP.ToxicRex_Character_BP'" 150 0 0 35</v>
      </c>
      <c r="M74" s="10" t="str">
        <f t="shared" si="5"/>
        <v>NPCReplacements=(FromClassName="ToxicRex_Character_BP_C",ToClassName="")</v>
      </c>
      <c r="N74" s="2"/>
    </row>
    <row r="75">
      <c r="B75" s="6"/>
      <c r="C75" s="4">
        <v>171.0</v>
      </c>
      <c r="D75" s="4">
        <f t="shared" si="6"/>
        <v>0</v>
      </c>
      <c r="E75" s="7" t="s">
        <v>230</v>
      </c>
      <c r="F75" s="7" t="s">
        <v>1</v>
      </c>
      <c r="G75" s="8"/>
      <c r="H75" s="7" t="s">
        <v>231</v>
      </c>
      <c r="I75" s="8" t="str">
        <f t="shared" si="2"/>
        <v>cheat summon ToxicRhino_Character_BP_C</v>
      </c>
      <c r="J75" s="8" t="str">
        <f t="shared" si="3"/>
        <v>admincheat GMSummon "ToxicRhino_Character_BP_C" 120</v>
      </c>
      <c r="K75" s="7" t="s">
        <v>232</v>
      </c>
      <c r="L75" s="8" t="str">
        <f t="shared" si="4"/>
        <v>cheat SpawnDino "Blueprint'/PrimalChaos/1Dinos/1Toxic/WoollyRhino/ToxicRhino_Character_BP.ToxicRhino_Character_BP'" 150 0 0 35</v>
      </c>
      <c r="M75" s="8" t="str">
        <f t="shared" si="5"/>
        <v>NPCReplacements=(FromClassName="ToxicRhino_Character_BP_C",ToClassName="")</v>
      </c>
      <c r="N75" s="2"/>
    </row>
    <row r="76">
      <c r="B76" s="6"/>
      <c r="C76" s="4">
        <v>172.0</v>
      </c>
      <c r="D76" s="4">
        <f t="shared" si="6"/>
        <v>0</v>
      </c>
      <c r="E76" s="9" t="s">
        <v>233</v>
      </c>
      <c r="F76" s="9" t="s">
        <v>1</v>
      </c>
      <c r="G76" s="12"/>
      <c r="H76" s="9" t="s">
        <v>234</v>
      </c>
      <c r="I76" s="10" t="str">
        <f t="shared" si="2"/>
        <v>cheat summon ToxicRhynio_Character_BP_C</v>
      </c>
      <c r="J76" s="10" t="str">
        <f t="shared" si="3"/>
        <v>admincheat GMSummon "ToxicRhynio_Character_BP_C" 120</v>
      </c>
      <c r="K76" s="9" t="s">
        <v>235</v>
      </c>
      <c r="L76" s="10" t="str">
        <f t="shared" si="4"/>
        <v>cheat SpawnDino "Blueprint'/PrimalChaos/1Dinos/1Toxic/Rhynio/ToxicRhynio_Character_BP.ToxicRhynio_Character_BP'" 150 0 0 35</v>
      </c>
      <c r="M76" s="10" t="str">
        <f t="shared" si="5"/>
        <v>NPCReplacements=(FromClassName="ToxicRhynio_Character_BP_C",ToClassName="")</v>
      </c>
      <c r="N76" s="2"/>
    </row>
    <row r="77">
      <c r="B77" s="6"/>
      <c r="C77" s="4">
        <v>173.0</v>
      </c>
      <c r="D77" s="4">
        <f t="shared" si="6"/>
        <v>0</v>
      </c>
      <c r="E77" s="7" t="s">
        <v>236</v>
      </c>
      <c r="F77" s="7" t="s">
        <v>1</v>
      </c>
      <c r="G77" s="8"/>
      <c r="H77" s="7" t="s">
        <v>237</v>
      </c>
      <c r="I77" s="8" t="str">
        <f t="shared" si="2"/>
        <v>cheat summon ToxicSaber_Character_BP_C</v>
      </c>
      <c r="J77" s="8" t="str">
        <f t="shared" si="3"/>
        <v>admincheat GMSummon "ToxicSaber_Character_BP_C" 120</v>
      </c>
      <c r="K77" s="7" t="s">
        <v>238</v>
      </c>
      <c r="L77" s="8" t="str">
        <f t="shared" si="4"/>
        <v>cheat SpawnDino "Blueprint'/PrimalChaos/1Dinos/1Toxic/Sabertooth/ToxicSaber_Character_BP.ToxicSaber_Character_BP'" 150 0 0 35</v>
      </c>
      <c r="M77" s="8" t="str">
        <f t="shared" si="5"/>
        <v>NPCReplacements=(FromClassName="ToxicSaber_Character_BP_C",ToClassName="")</v>
      </c>
      <c r="N77" s="2"/>
    </row>
    <row r="78">
      <c r="B78" s="6"/>
      <c r="C78" s="4">
        <v>174.0</v>
      </c>
      <c r="D78" s="4">
        <f t="shared" si="6"/>
        <v>0</v>
      </c>
      <c r="E78" s="9" t="s">
        <v>239</v>
      </c>
      <c r="F78" s="9" t="s">
        <v>1</v>
      </c>
      <c r="G78" s="10"/>
      <c r="H78" s="9" t="s">
        <v>240</v>
      </c>
      <c r="I78" s="10" t="str">
        <f t="shared" si="2"/>
        <v>cheat summon ToxicSarco_Character_BP_C</v>
      </c>
      <c r="J78" s="10" t="str">
        <f t="shared" si="3"/>
        <v>admincheat GMSummon "ToxicSarco_Character_BP_C" 120</v>
      </c>
      <c r="K78" s="9" t="s">
        <v>241</v>
      </c>
      <c r="L78" s="10" t="str">
        <f t="shared" si="4"/>
        <v>cheat SpawnDino "Blueprint'/PrimalChaos/1Dinos/1Toxic/Sarco/ToxicSarco_Character_BP.ToxicSarco_Character_BP'" 150 0 0 35</v>
      </c>
      <c r="M78" s="10" t="str">
        <f t="shared" si="5"/>
        <v>NPCReplacements=(FromClassName="ToxicSarco_Character_BP_C",ToClassName="")</v>
      </c>
      <c r="N78" s="2"/>
    </row>
    <row r="79">
      <c r="B79" s="6"/>
      <c r="C79" s="4">
        <v>175.0</v>
      </c>
      <c r="D79" s="4">
        <f t="shared" si="6"/>
        <v>0</v>
      </c>
      <c r="E79" s="7" t="s">
        <v>242</v>
      </c>
      <c r="F79" s="7" t="s">
        <v>1</v>
      </c>
      <c r="G79" s="8"/>
      <c r="H79" s="7" t="s">
        <v>243</v>
      </c>
      <c r="I79" s="8" t="str">
        <f t="shared" si="2"/>
        <v>cheat summon ToxicSauropod_Character_BP_C</v>
      </c>
      <c r="J79" s="8" t="str">
        <f t="shared" si="3"/>
        <v>admincheat GMSummon "ToxicSauropod_Character_BP_C" 120</v>
      </c>
      <c r="K79" s="7" t="s">
        <v>244</v>
      </c>
      <c r="L79" s="8" t="str">
        <f t="shared" si="4"/>
        <v>cheat SpawnDino "Blueprint'/PrimalChaos/1Dinos/1Toxic/Brontosaurus/ToxicSauropod_Character_BP.ToxicSauropod_Character_BP'" 150 0 0 35</v>
      </c>
      <c r="M79" s="8" t="str">
        <f t="shared" si="5"/>
        <v>NPCReplacements=(FromClassName="ToxicSauropod_Character_BP_C",ToClassName="")</v>
      </c>
      <c r="N79" s="2"/>
    </row>
    <row r="80">
      <c r="B80" s="6"/>
      <c r="C80" s="4">
        <v>176.0</v>
      </c>
      <c r="D80" s="4">
        <f t="shared" si="6"/>
        <v>0</v>
      </c>
      <c r="E80" s="9" t="s">
        <v>245</v>
      </c>
      <c r="F80" s="9" t="s">
        <v>1</v>
      </c>
      <c r="G80" s="10"/>
      <c r="H80" s="9" t="s">
        <v>246</v>
      </c>
      <c r="I80" s="10" t="str">
        <f t="shared" si="2"/>
        <v>cheat summon ToxicScorpion_Character_BP_C</v>
      </c>
      <c r="J80" s="10" t="str">
        <f t="shared" si="3"/>
        <v>admincheat GMSummon "ToxicScorpion_Character_BP_C" 120</v>
      </c>
      <c r="K80" s="9" t="s">
        <v>247</v>
      </c>
      <c r="L80" s="10" t="str">
        <f t="shared" si="4"/>
        <v>cheat SpawnDino "Blueprint'/PrimalChaos/1Dinos/1Toxic/Pulmonoscorpius/ToxicScorpion_Character_BP.ToxicScorpion_Character_BP'" 150 0 0 35</v>
      </c>
      <c r="M80" s="10" t="str">
        <f t="shared" si="5"/>
        <v>NPCReplacements=(FromClassName="ToxicScorpion_Character_BP_C",ToClassName="")</v>
      </c>
      <c r="N80" s="2"/>
    </row>
    <row r="81">
      <c r="B81" s="6"/>
      <c r="C81" s="4">
        <v>177.0</v>
      </c>
      <c r="D81" s="4">
        <f t="shared" si="6"/>
        <v>0</v>
      </c>
      <c r="E81" s="7" t="s">
        <v>248</v>
      </c>
      <c r="F81" s="7" t="s">
        <v>1</v>
      </c>
      <c r="G81" s="8"/>
      <c r="H81" s="7" t="s">
        <v>249</v>
      </c>
      <c r="I81" s="8" t="str">
        <f t="shared" si="2"/>
        <v>cheat summon ToxicSpider_Character_BP_C</v>
      </c>
      <c r="J81" s="8" t="str">
        <f t="shared" si="3"/>
        <v>admincheat GMSummon "ToxicSpider_Character_BP_C" 120</v>
      </c>
      <c r="K81" s="7" t="s">
        <v>250</v>
      </c>
      <c r="L81" s="8" t="str">
        <f t="shared" si="4"/>
        <v>cheat SpawnDino "Blueprint'/PrimalChaos/1Dinos/1Toxic/Araneo/ToxicSpider_Character_BP.ToxicSpider_Character_BP'" 150 0 0 35</v>
      </c>
      <c r="M81" s="8" t="str">
        <f t="shared" si="5"/>
        <v>NPCReplacements=(FromClassName="ToxicSpider_Character_BP_C",ToClassName="")</v>
      </c>
      <c r="N81" s="2"/>
    </row>
    <row r="82">
      <c r="B82" s="6"/>
      <c r="C82" s="4">
        <v>178.0</v>
      </c>
      <c r="D82" s="4">
        <f t="shared" si="6"/>
        <v>0</v>
      </c>
      <c r="E82" s="9" t="s">
        <v>251</v>
      </c>
      <c r="F82" s="9" t="s">
        <v>1</v>
      </c>
      <c r="G82" s="10"/>
      <c r="H82" s="9" t="s">
        <v>252</v>
      </c>
      <c r="I82" s="10" t="str">
        <f t="shared" si="2"/>
        <v>cheat summon ToxicSpino_Character_BP_C</v>
      </c>
      <c r="J82" s="10" t="str">
        <f t="shared" si="3"/>
        <v>admincheat GMSummon "ToxicSpino_Character_BP_C" 120</v>
      </c>
      <c r="K82" s="9" t="s">
        <v>253</v>
      </c>
      <c r="L82" s="10" t="str">
        <f t="shared" si="4"/>
        <v>cheat SpawnDino "Blueprint'/PrimalChaos/1Dinos/1Toxic/Spinosaurus/ToxicSpino_Character_BP.ToxicSpino_Character_BP'" 150 0 0 35</v>
      </c>
      <c r="M82" s="10" t="str">
        <f t="shared" si="5"/>
        <v>NPCReplacements=(FromClassName="ToxicSpino_Character_BP_C",ToClassName="")</v>
      </c>
      <c r="N82" s="2"/>
    </row>
    <row r="83">
      <c r="B83" s="6"/>
      <c r="C83" s="4">
        <v>179.0</v>
      </c>
      <c r="D83" s="4">
        <f t="shared" si="6"/>
        <v>0</v>
      </c>
      <c r="E83" s="7" t="s">
        <v>254</v>
      </c>
      <c r="F83" s="7" t="s">
        <v>1</v>
      </c>
      <c r="G83" s="8"/>
      <c r="H83" s="7" t="s">
        <v>255</v>
      </c>
      <c r="I83" s="8" t="str">
        <f t="shared" si="2"/>
        <v>cheat summon ToxicStag_Character_BP_C</v>
      </c>
      <c r="J83" s="8" t="str">
        <f t="shared" si="3"/>
        <v>admincheat GMSummon "ToxicStag_Character_BP_C" 120</v>
      </c>
      <c r="K83" s="7" t="s">
        <v>256</v>
      </c>
      <c r="L83" s="8" t="str">
        <f t="shared" si="4"/>
        <v>cheat SpawnDino "Blueprint'/PrimalChaos/1Dinos/1Toxic/Megaloceros/ToxicStag_Character_BP.ToxicStag_Character_BP'" 150 0 0 35</v>
      </c>
      <c r="M83" s="8" t="str">
        <f t="shared" si="5"/>
        <v>NPCReplacements=(FromClassName="ToxicStag_Character_BP_C",ToClassName="")</v>
      </c>
      <c r="N83" s="2"/>
    </row>
    <row r="84">
      <c r="B84" s="6"/>
      <c r="C84" s="4">
        <v>180.0</v>
      </c>
      <c r="D84" s="4">
        <f t="shared" si="6"/>
        <v>0</v>
      </c>
      <c r="E84" s="9" t="s">
        <v>257</v>
      </c>
      <c r="F84" s="9" t="s">
        <v>1</v>
      </c>
      <c r="G84" s="10"/>
      <c r="H84" s="9" t="s">
        <v>258</v>
      </c>
      <c r="I84" s="10" t="str">
        <f t="shared" si="2"/>
        <v>cheat summon ToxicStego_Character_BP_C</v>
      </c>
      <c r="J84" s="10" t="str">
        <f t="shared" si="3"/>
        <v>admincheat GMSummon "ToxicStego_Character_BP_C" 120</v>
      </c>
      <c r="K84" s="9" t="s">
        <v>259</v>
      </c>
      <c r="L84" s="10" t="str">
        <f t="shared" si="4"/>
        <v>cheat SpawnDino "Blueprint'/PrimalChaos/1Dinos/1Toxic/Stego/ToxicStego_Character_BP.ToxicStego_Character_BP'" 150 0 0 35</v>
      </c>
      <c r="M84" s="10" t="str">
        <f t="shared" si="5"/>
        <v>NPCReplacements=(FromClassName="ToxicStego_Character_BP_C",ToClassName="")</v>
      </c>
      <c r="N84" s="2"/>
    </row>
    <row r="85">
      <c r="B85" s="6"/>
      <c r="C85" s="4">
        <v>181.0</v>
      </c>
      <c r="D85" s="4">
        <f t="shared" si="6"/>
        <v>0</v>
      </c>
      <c r="E85" s="7" t="s">
        <v>260</v>
      </c>
      <c r="F85" s="7" t="s">
        <v>1</v>
      </c>
      <c r="G85" s="8"/>
      <c r="H85" s="7" t="s">
        <v>261</v>
      </c>
      <c r="I85" s="8" t="str">
        <f t="shared" si="2"/>
        <v>cheat summon ToxicTapejara_Character_BP_C</v>
      </c>
      <c r="J85" s="8" t="str">
        <f t="shared" si="3"/>
        <v>admincheat GMSummon "ToxicTapejara_Character_BP_C" 120</v>
      </c>
      <c r="K85" s="7" t="s">
        <v>262</v>
      </c>
      <c r="L85" s="8" t="str">
        <f t="shared" si="4"/>
        <v>cheat SpawnDino "Blueprint'/PrimalChaos/1Dinos/1Toxic/Tapejara/ToxicTapejara_Character_BP.ToxicTapejara_Character_BP'" 150 0 0 35</v>
      </c>
      <c r="M85" s="8" t="str">
        <f t="shared" si="5"/>
        <v>NPCReplacements=(FromClassName="ToxicTapejara_Character_BP_C",ToClassName="")</v>
      </c>
      <c r="N85" s="2"/>
    </row>
    <row r="86">
      <c r="B86" s="6"/>
      <c r="C86" s="4">
        <v>182.0</v>
      </c>
      <c r="D86" s="4">
        <f t="shared" si="6"/>
        <v>0</v>
      </c>
      <c r="E86" s="9" t="s">
        <v>263</v>
      </c>
      <c r="F86" s="9" t="s">
        <v>1</v>
      </c>
      <c r="G86" s="10"/>
      <c r="H86" s="9" t="s">
        <v>264</v>
      </c>
      <c r="I86" s="10" t="str">
        <f t="shared" si="2"/>
        <v>cheat summon ToxicTerrorBird_Character_BP_C</v>
      </c>
      <c r="J86" s="10" t="str">
        <f t="shared" si="3"/>
        <v>admincheat GMSummon "ToxicTerrorBird_Character_BP_C" 120</v>
      </c>
      <c r="K86" s="9" t="s">
        <v>265</v>
      </c>
      <c r="L86" s="10" t="str">
        <f t="shared" si="4"/>
        <v>cheat SpawnDino "Blueprint'/PrimalChaos/1Dinos/1Toxic/TerrorBird/ToxicTerrorBird_Character_BP.ToxicTerrorBird_Character_BP'" 150 0 0 35</v>
      </c>
      <c r="M86" s="10" t="str">
        <f t="shared" si="5"/>
        <v>NPCReplacements=(FromClassName="ToxicTerrorBird_Character_BP_C",ToClassName="")</v>
      </c>
      <c r="N86" s="2"/>
    </row>
    <row r="87">
      <c r="B87" s="6"/>
      <c r="C87" s="4">
        <v>183.0</v>
      </c>
      <c r="D87" s="4">
        <f t="shared" si="6"/>
        <v>0</v>
      </c>
      <c r="E87" s="7" t="s">
        <v>266</v>
      </c>
      <c r="F87" s="7" t="s">
        <v>1</v>
      </c>
      <c r="G87" s="8"/>
      <c r="H87" s="7" t="s">
        <v>267</v>
      </c>
      <c r="I87" s="8" t="str">
        <f t="shared" si="2"/>
        <v>cheat summon ToxicTherizino_Character_BP_C</v>
      </c>
      <c r="J87" s="8" t="str">
        <f t="shared" si="3"/>
        <v>admincheat GMSummon "ToxicTherizino_Character_BP_C" 120</v>
      </c>
      <c r="K87" s="7" t="s">
        <v>268</v>
      </c>
      <c r="L87" s="8" t="str">
        <f t="shared" si="4"/>
        <v>cheat SpawnDino "Blueprint'/PrimalChaos/1Dinos/1Toxic/Therizinosaurus/ToxicTherizino_Character_BP.ToxicTherizino_Character_BP'" 150 0 0 35</v>
      </c>
      <c r="M87" s="8" t="str">
        <f t="shared" si="5"/>
        <v>NPCReplacements=(FromClassName="ToxicTherizino_Character_BP_C",ToClassName="")</v>
      </c>
      <c r="N87" s="2"/>
    </row>
    <row r="88">
      <c r="B88" s="6"/>
      <c r="C88" s="4">
        <v>184.0</v>
      </c>
      <c r="D88" s="4">
        <f t="shared" si="6"/>
        <v>0</v>
      </c>
      <c r="E88" s="9" t="s">
        <v>269</v>
      </c>
      <c r="F88" s="9" t="s">
        <v>1</v>
      </c>
      <c r="G88" s="10"/>
      <c r="H88" s="9" t="s">
        <v>270</v>
      </c>
      <c r="I88" s="10" t="str">
        <f t="shared" si="2"/>
        <v>cheat summon ToxicThylacoleo_Character_BP_C</v>
      </c>
      <c r="J88" s="10" t="str">
        <f t="shared" si="3"/>
        <v>admincheat GMSummon "ToxicThylacoleo_Character_BP_C" 120</v>
      </c>
      <c r="K88" s="9" t="s">
        <v>271</v>
      </c>
      <c r="L88" s="10" t="str">
        <f t="shared" si="4"/>
        <v>cheat SpawnDino "Blueprint'/PrimalChaos/1Dinos/1Toxic/Thyla/ToxicThylacoleo_Character_BP.ToxicThylacoleo_Character_BP'" 150 0 0 35</v>
      </c>
      <c r="M88" s="10" t="str">
        <f t="shared" si="5"/>
        <v>NPCReplacements=(FromClassName="ToxicThylacoleo_Character_BP_C",ToClassName="")</v>
      </c>
      <c r="N88" s="2"/>
    </row>
    <row r="89">
      <c r="B89" s="6"/>
      <c r="C89" s="4">
        <v>185.0</v>
      </c>
      <c r="D89" s="4">
        <f t="shared" si="6"/>
        <v>0</v>
      </c>
      <c r="E89" s="7" t="s">
        <v>272</v>
      </c>
      <c r="F89" s="7" t="s">
        <v>1</v>
      </c>
      <c r="G89" s="8"/>
      <c r="H89" s="7" t="s">
        <v>273</v>
      </c>
      <c r="I89" s="8" t="str">
        <f t="shared" si="2"/>
        <v>cheat summon ToxicTitanosaur_Character_BP_C</v>
      </c>
      <c r="J89" s="8" t="str">
        <f t="shared" si="3"/>
        <v>admincheat GMSummon "ToxicTitanosaur_Character_BP_C" 120</v>
      </c>
      <c r="K89" s="7" t="s">
        <v>274</v>
      </c>
      <c r="L89" s="8" t="str">
        <f t="shared" si="4"/>
        <v>cheat SpawnDino "Blueprint'/PrimalChaos/1Dinos/1Toxic/Titanosaur/ToxicTitanosaur_Character_BP.ToxicTitanosaur_Character_BP'" 150 0 0 35</v>
      </c>
      <c r="M89" s="8" t="str">
        <f t="shared" si="5"/>
        <v>NPCReplacements=(FromClassName="ToxicTitanosaur_Character_BP_C",ToClassName="")</v>
      </c>
      <c r="N89" s="2"/>
    </row>
    <row r="90">
      <c r="B90" s="6"/>
      <c r="C90" s="4">
        <v>186.0</v>
      </c>
      <c r="D90" s="4">
        <f t="shared" si="6"/>
        <v>0</v>
      </c>
      <c r="E90" s="9" t="s">
        <v>275</v>
      </c>
      <c r="F90" s="9" t="s">
        <v>1</v>
      </c>
      <c r="G90" s="10"/>
      <c r="H90" s="9" t="s">
        <v>276</v>
      </c>
      <c r="I90" s="10" t="str">
        <f t="shared" si="2"/>
        <v>cheat summon ToxicToad_Character_BP_C</v>
      </c>
      <c r="J90" s="10" t="str">
        <f t="shared" si="3"/>
        <v>admincheat GMSummon "ToxicToad_Character_BP_C" 120</v>
      </c>
      <c r="K90" s="9" t="s">
        <v>277</v>
      </c>
      <c r="L90" s="10" t="str">
        <f t="shared" si="4"/>
        <v>cheat SpawnDino "Blueprint'/PrimalChaos/1Dinos/1Toxic/Frog/ToxicToad_Character_BP.ToxicToad_Character_BP'" 150 0 0 35</v>
      </c>
      <c r="M90" s="10" t="str">
        <f t="shared" si="5"/>
        <v>NPCReplacements=(FromClassName="ToxicToad_Character_BP_C",ToClassName="")</v>
      </c>
      <c r="N90" s="2"/>
    </row>
    <row r="91">
      <c r="B91" s="6"/>
      <c r="C91" s="4">
        <v>187.0</v>
      </c>
      <c r="D91" s="4">
        <f t="shared" si="6"/>
        <v>0</v>
      </c>
      <c r="E91" s="7" t="s">
        <v>278</v>
      </c>
      <c r="F91" s="7" t="s">
        <v>1</v>
      </c>
      <c r="G91" s="8"/>
      <c r="H91" s="7" t="s">
        <v>279</v>
      </c>
      <c r="I91" s="8" t="str">
        <f t="shared" si="2"/>
        <v>cheat summon ToxicTrike_Character_BP_C</v>
      </c>
      <c r="J91" s="8" t="str">
        <f t="shared" si="3"/>
        <v>admincheat GMSummon "ToxicTrike_Character_BP_C" 120</v>
      </c>
      <c r="K91" s="7" t="s">
        <v>280</v>
      </c>
      <c r="L91" s="8" t="str">
        <f t="shared" si="4"/>
        <v>cheat SpawnDino "Blueprint'/PrimalChaos/1Dinos/1Toxic/Trike/ToxicTrike_Character_BP.ToxicTrike_Character_BP'" 150 0 0 35</v>
      </c>
      <c r="M91" s="8" t="str">
        <f t="shared" si="5"/>
        <v>NPCReplacements=(FromClassName="ToxicTrike_Character_BP_C",ToClassName="")</v>
      </c>
      <c r="N91" s="2"/>
    </row>
    <row r="92">
      <c r="B92" s="6"/>
      <c r="C92" s="4">
        <v>110.0</v>
      </c>
      <c r="D92" s="4">
        <f t="shared" si="6"/>
        <v>1</v>
      </c>
      <c r="E92" s="9" t="s">
        <v>281</v>
      </c>
      <c r="F92" s="11" t="s">
        <v>38</v>
      </c>
      <c r="G92" s="10"/>
      <c r="H92" s="10" t="s">
        <v>282</v>
      </c>
      <c r="I92" s="10" t="str">
        <f t="shared" si="2"/>
        <v>cheat summon Beta_Trilobite_Character_BP_C</v>
      </c>
      <c r="J92" s="10" t="str">
        <f t="shared" si="3"/>
        <v>admincheat GMSummon "Beta_Trilobite_Character_BP_C" 120</v>
      </c>
      <c r="K92" s="10" t="s">
        <v>283</v>
      </c>
      <c r="L92" s="10" t="str">
        <f t="shared" si="4"/>
        <v>cheat SpawnDino "Blueprint'/PrimalChaos/1WaterDinos/1Beta/trilobite/Beta_Trilobite_Character_BP.Beta_Trilobite_Character_BP'" 150 0 0 35</v>
      </c>
      <c r="M92" s="10" t="str">
        <f t="shared" si="5"/>
        <v>NPCReplacements=(FromClassName="Beta_Trilobite_Character_BP_C",ToClassName="")</v>
      </c>
      <c r="N92" s="2"/>
    </row>
    <row r="93">
      <c r="B93" s="6"/>
      <c r="C93" s="4">
        <v>188.0</v>
      </c>
      <c r="D93" s="4">
        <f t="shared" si="6"/>
        <v>0</v>
      </c>
      <c r="E93" s="7" t="s">
        <v>284</v>
      </c>
      <c r="F93" s="7" t="s">
        <v>1</v>
      </c>
      <c r="G93" s="8"/>
      <c r="H93" s="7" t="s">
        <v>285</v>
      </c>
      <c r="I93" s="8" t="str">
        <f t="shared" si="2"/>
        <v>cheat summon ToxicTroodon_Character_BP_C</v>
      </c>
      <c r="J93" s="8" t="str">
        <f t="shared" si="3"/>
        <v>admincheat GMSummon "ToxicTroodon_Character_BP_C" 120</v>
      </c>
      <c r="K93" s="7" t="s">
        <v>286</v>
      </c>
      <c r="L93" s="8" t="str">
        <f t="shared" si="4"/>
        <v>cheat SpawnDino "Blueprint'/PrimalChaos/1Dinos/1Toxic/Troodon/ToxicTroodon_Character_BP.ToxicTroodon_Character_BP'" 150 0 0 35</v>
      </c>
      <c r="M93" s="8" t="str">
        <f t="shared" si="5"/>
        <v>NPCReplacements=(FromClassName="ToxicTroodon_Character_BP_C",ToClassName="")</v>
      </c>
      <c r="N93" s="2"/>
    </row>
    <row r="94">
      <c r="B94" s="6"/>
      <c r="C94" s="4">
        <v>189.0</v>
      </c>
      <c r="D94" s="4">
        <f t="shared" si="6"/>
        <v>0</v>
      </c>
      <c r="E94" s="9" t="s">
        <v>287</v>
      </c>
      <c r="F94" s="9" t="s">
        <v>1</v>
      </c>
      <c r="G94" s="10"/>
      <c r="H94" s="9" t="s">
        <v>288</v>
      </c>
      <c r="I94" s="10" t="str">
        <f t="shared" si="2"/>
        <v>cheat summon ToxicTurkey_Character_BP_C</v>
      </c>
      <c r="J94" s="10" t="str">
        <f t="shared" si="3"/>
        <v>admincheat GMSummon "ToxicTurkey_Character_BP_C" 120</v>
      </c>
      <c r="K94" s="9" t="s">
        <v>289</v>
      </c>
      <c r="L94" s="10" t="str">
        <f t="shared" si="4"/>
        <v>cheat SpawnDino "Blueprint'/PrimalChaos/1Dinos/1Toxic/Turkey/ToxicTurkey_Character_BP.ToxicTurkey_Character_BP'" 150 0 0 35</v>
      </c>
      <c r="M94" s="10" t="str">
        <f t="shared" si="5"/>
        <v>NPCReplacements=(FromClassName="ToxicTurkey_Character_BP_C",ToClassName="")</v>
      </c>
      <c r="N94" s="2"/>
    </row>
    <row r="95">
      <c r="B95" s="6"/>
      <c r="C95" s="4">
        <v>190.0</v>
      </c>
      <c r="D95" s="4">
        <f t="shared" si="6"/>
        <v>0</v>
      </c>
      <c r="E95" s="7" t="s">
        <v>290</v>
      </c>
      <c r="F95" s="7" t="s">
        <v>1</v>
      </c>
      <c r="G95" s="8"/>
      <c r="H95" s="7" t="s">
        <v>291</v>
      </c>
      <c r="I95" s="8" t="str">
        <f t="shared" si="2"/>
        <v>cheat summon ToxicTurtle_Character_BP_C</v>
      </c>
      <c r="J95" s="8" t="str">
        <f t="shared" si="3"/>
        <v>admincheat GMSummon "ToxicTurtle_Character_BP_C" 120</v>
      </c>
      <c r="K95" s="7" t="s">
        <v>292</v>
      </c>
      <c r="L95" s="8" t="str">
        <f t="shared" si="4"/>
        <v>cheat SpawnDino "Blueprint'/PrimalChaos/1Dinos/1Toxic/Turtle/ToxicTurtle_Character_BP.ToxicTurtle_Character_BP'" 150 0 0 35</v>
      </c>
      <c r="M95" s="8" t="str">
        <f t="shared" si="5"/>
        <v>NPCReplacements=(FromClassName="ToxicTurtle_Character_BP_C",ToClassName="")</v>
      </c>
      <c r="N95" s="2"/>
    </row>
    <row r="96">
      <c r="B96" s="6"/>
      <c r="C96" s="4">
        <v>111.0</v>
      </c>
      <c r="D96" s="4">
        <f t="shared" si="6"/>
        <v>1</v>
      </c>
      <c r="E96" s="9" t="s">
        <v>293</v>
      </c>
      <c r="F96" s="11" t="s">
        <v>38</v>
      </c>
      <c r="G96" s="10"/>
      <c r="H96" s="10" t="s">
        <v>294</v>
      </c>
      <c r="I96" s="10" t="str">
        <f t="shared" si="2"/>
        <v>cheat summon Beta_Tusoteuthis_Character_BP_C</v>
      </c>
      <c r="J96" s="10" t="str">
        <f t="shared" si="3"/>
        <v>admincheat GMSummon "Beta_Tusoteuthis_Character_BP_C" 120</v>
      </c>
      <c r="K96" s="10" t="s">
        <v>295</v>
      </c>
      <c r="L96" s="10" t="str">
        <f t="shared" si="4"/>
        <v>cheat SpawnDino "Blueprint'/PrimalChaos/1WaterDinos/1Beta/tusoteuthis/Beta_Tusoteuthis_Character_BP.Beta_Tusoteuthis_Character_BP'" 150 0 0 35</v>
      </c>
      <c r="M96" s="10" t="str">
        <f t="shared" si="5"/>
        <v>NPCReplacements=(FromClassName="Beta_Tusoteuthis_Character_BP_C",ToClassName="")</v>
      </c>
      <c r="N96" s="2"/>
    </row>
    <row r="97">
      <c r="B97" s="13"/>
      <c r="C97" s="4">
        <v>191.0</v>
      </c>
      <c r="D97" s="4">
        <f t="shared" si="6"/>
        <v>0</v>
      </c>
      <c r="E97" s="7" t="s">
        <v>296</v>
      </c>
      <c r="F97" s="7" t="s">
        <v>1</v>
      </c>
      <c r="G97" s="8"/>
      <c r="H97" s="7" t="s">
        <v>297</v>
      </c>
      <c r="I97" s="8" t="str">
        <f t="shared" si="2"/>
        <v>cheat summon ToxicYutyrannus_Character_BP_C</v>
      </c>
      <c r="J97" s="8" t="str">
        <f t="shared" si="3"/>
        <v>admincheat GMSummon "ToxicYutyrannus_Character_BP_C" 120</v>
      </c>
      <c r="K97" s="7" t="s">
        <v>298</v>
      </c>
      <c r="L97" s="8" t="str">
        <f t="shared" si="4"/>
        <v>cheat SpawnDino "Blueprint'/PrimalChaos/1Dinos/1Toxic/Yuty/ToxicYutyrannus_Character_BP.ToxicYutyrannus_Character_BP'" 150 0 0 35</v>
      </c>
      <c r="M97" s="8" t="str">
        <f t="shared" si="5"/>
        <v>NPCReplacements=(FromClassName="ToxicYutyrannus_Character_BP_C",ToClassName="")</v>
      </c>
      <c r="N97" s="2"/>
    </row>
    <row r="98">
      <c r="B98" s="14"/>
      <c r="C98" s="15"/>
      <c r="D98" s="15"/>
      <c r="E98" s="16"/>
      <c r="F98" s="16"/>
      <c r="G98" s="16"/>
      <c r="H98" s="16"/>
      <c r="I98" s="16"/>
      <c r="J98" s="16"/>
      <c r="K98" s="16"/>
      <c r="L98" s="16"/>
      <c r="M98" s="16"/>
      <c r="N98" s="2"/>
    </row>
    <row r="99">
      <c r="B99" s="17" t="s">
        <v>299</v>
      </c>
      <c r="C99" s="4">
        <v>16.0</v>
      </c>
      <c r="D99" s="4">
        <f t="shared" ref="D99:D192" si="7">IF(F99="Beta",1)+IF(F99="Alpha",2)+IF(F99="Electric",3)+IF(F99="Volcanic",3)+IF(F99="Hydro",3)+IF(F99="Shadow",4)+IF(F99="Fairy",4)+IF(F99="Mythic",5)+IF(F99="Legendary",5)+IF(F99="Demonic",6)+IF(F99="Angelic",6)+IF(F99="Jester",7)+IF(F99="Nightmare",8)+IF(F99="Vanilla",9)+IF(F99="Boss",8)</f>
        <v>2</v>
      </c>
      <c r="E99" s="7" t="s">
        <v>300</v>
      </c>
      <c r="F99" s="8" t="s">
        <v>299</v>
      </c>
      <c r="G99" s="8"/>
      <c r="H99" s="8" t="s">
        <v>301</v>
      </c>
      <c r="I99" s="8" t="str">
        <f t="shared" ref="I99:I192" si="8">"cheat summon "&amp;H99</f>
        <v>cheat summon AlphaAchatina_Character_BP_C</v>
      </c>
      <c r="J99" s="8" t="str">
        <f t="shared" ref="J99:J192" si="9"> "admincheat GMSummon " &amp;CHAR(34) &amp; H99&amp;CHAR(34)&amp; " 120"</f>
        <v>admincheat GMSummon "AlphaAchatina_Character_BP_C" 120</v>
      </c>
      <c r="K99" s="8" t="s">
        <v>302</v>
      </c>
      <c r="L99" s="8" t="str">
        <f t="shared" ref="L99:L192" si="10">IF(K99&lt;&gt;"","cheat SpawnDino "&amp;CHAR(34)&amp;"Blueprint'"&amp;K99&amp;"'"&amp;CHAR(34)&amp;" 150 0 0 35","")</f>
        <v>cheat SpawnDino "Blueprint'/PrimalChaos/1Dinos/2Alpha/Achitina/AlphaAchatina_Character_BP.AlphaAchatina_Character_BP'" 150 0 0 35</v>
      </c>
      <c r="M99" s="8" t="str">
        <f t="shared" ref="M99:M192" si="11">"NPCReplacements=(FromClassName="&amp;CHAR(34)&amp;H99&amp;""&amp;CHAR(34)&amp;",ToClassName="&amp;CHAR(34)&amp;CHAR(34)&amp;")"</f>
        <v>NPCReplacements=(FromClassName="AlphaAchatina_Character_BP_C",ToClassName="")</v>
      </c>
      <c r="N99" s="2"/>
    </row>
    <row r="100">
      <c r="B100" s="6"/>
      <c r="C100" s="4">
        <v>17.0</v>
      </c>
      <c r="D100" s="4">
        <f t="shared" si="7"/>
        <v>2</v>
      </c>
      <c r="E100" s="9" t="s">
        <v>303</v>
      </c>
      <c r="F100" s="10" t="s">
        <v>299</v>
      </c>
      <c r="G100" s="10"/>
      <c r="H100" s="10" t="s">
        <v>304</v>
      </c>
      <c r="I100" s="10" t="str">
        <f t="shared" si="8"/>
        <v>cheat summon AlphaAllo_Character_BP_C</v>
      </c>
      <c r="J100" s="10" t="str">
        <f t="shared" si="9"/>
        <v>admincheat GMSummon "AlphaAllo_Character_BP_C" 120</v>
      </c>
      <c r="K100" s="10" t="s">
        <v>305</v>
      </c>
      <c r="L100" s="10" t="str">
        <f t="shared" si="10"/>
        <v>cheat SpawnDino "Blueprint'/PrimalChaos/1Dinos/2Alpha/Allo/AlphaAllo_Character_BP.AlphaAllo_Character_BP'" 150 0 0 35</v>
      </c>
      <c r="M100" s="10" t="str">
        <f t="shared" si="11"/>
        <v>NPCReplacements=(FromClassName="AlphaAllo_Character_BP_C",ToClassName="")</v>
      </c>
      <c r="N100" s="2"/>
    </row>
    <row r="101">
      <c r="B101" s="6"/>
      <c r="C101" s="4">
        <v>18.0</v>
      </c>
      <c r="D101" s="4">
        <f t="shared" si="7"/>
        <v>2</v>
      </c>
      <c r="E101" s="7" t="s">
        <v>306</v>
      </c>
      <c r="F101" s="8" t="s">
        <v>299</v>
      </c>
      <c r="G101" s="8"/>
      <c r="H101" s="8" t="s">
        <v>307</v>
      </c>
      <c r="I101" s="8" t="str">
        <f t="shared" si="8"/>
        <v>cheat summon AlphaAnkylo_Character_BP_C</v>
      </c>
      <c r="J101" s="8" t="str">
        <f t="shared" si="9"/>
        <v>admincheat GMSummon "AlphaAnkylo_Character_BP_C" 120</v>
      </c>
      <c r="K101" s="8" t="s">
        <v>308</v>
      </c>
      <c r="L101" s="8" t="str">
        <f t="shared" si="10"/>
        <v>cheat SpawnDino "Blueprint'/PrimalChaos/1Dinos/2Alpha/Ankylosaurus/AlphaAnkylo_Character_BP.AlphaAnkylo_Character_BP'" 150 0 0 35</v>
      </c>
      <c r="M101" s="8" t="str">
        <f t="shared" si="11"/>
        <v>NPCReplacements=(FromClassName="AlphaAnkylo_Character_BP_C",ToClassName="")</v>
      </c>
      <c r="N101" s="2"/>
    </row>
    <row r="102">
      <c r="B102" s="6"/>
      <c r="C102" s="4">
        <v>19.0</v>
      </c>
      <c r="D102" s="4">
        <f t="shared" si="7"/>
        <v>2</v>
      </c>
      <c r="E102" s="9" t="s">
        <v>309</v>
      </c>
      <c r="F102" s="10" t="s">
        <v>299</v>
      </c>
      <c r="G102" s="10"/>
      <c r="H102" s="10" t="s">
        <v>310</v>
      </c>
      <c r="I102" s="10" t="str">
        <f t="shared" si="8"/>
        <v>cheat summon AlphaAnt_Character_BP_C</v>
      </c>
      <c r="J102" s="10" t="str">
        <f t="shared" si="9"/>
        <v>admincheat GMSummon "AlphaAnt_Character_BP_C" 120</v>
      </c>
      <c r="K102" s="10" t="s">
        <v>311</v>
      </c>
      <c r="L102" s="10" t="str">
        <f t="shared" si="10"/>
        <v>cheat SpawnDino "Blueprint'/PrimalChaos/1Dinos/2Alpha/Ant/AlphaAnt_Character_BP.AlphaAnt_Character_BP'" 150 0 0 35</v>
      </c>
      <c r="M102" s="10" t="str">
        <f t="shared" si="11"/>
        <v>NPCReplacements=(FromClassName="AlphaAnt_Character_BP_C",ToClassName="")</v>
      </c>
      <c r="N102" s="2"/>
    </row>
    <row r="103">
      <c r="B103" s="6"/>
      <c r="C103" s="4">
        <v>20.0</v>
      </c>
      <c r="D103" s="4">
        <f t="shared" si="7"/>
        <v>2</v>
      </c>
      <c r="E103" s="7" t="s">
        <v>312</v>
      </c>
      <c r="F103" s="8" t="s">
        <v>299</v>
      </c>
      <c r="G103" s="8"/>
      <c r="H103" s="8" t="s">
        <v>313</v>
      </c>
      <c r="I103" s="8" t="str">
        <f t="shared" si="8"/>
        <v>cheat summon AlphaArcha_Character_BP_C</v>
      </c>
      <c r="J103" s="8" t="str">
        <f t="shared" si="9"/>
        <v>admincheat GMSummon "AlphaArcha_Character_BP_C" 120</v>
      </c>
      <c r="K103" s="8" t="s">
        <v>314</v>
      </c>
      <c r="L103" s="8" t="str">
        <f t="shared" si="10"/>
        <v>cheat SpawnDino "Blueprint'/PrimalChaos/1Dinos/2Alpha/Archaeopteryx/AlphaArcha_Character_BP.AlphaArcha_Character_BP'" 150 0 0 35</v>
      </c>
      <c r="M103" s="8" t="str">
        <f t="shared" si="11"/>
        <v>NPCReplacements=(FromClassName="AlphaArcha_Character_BP_C",ToClassName="")</v>
      </c>
      <c r="N103" s="2"/>
    </row>
    <row r="104">
      <c r="B104" s="6"/>
      <c r="C104" s="4">
        <v>21.0</v>
      </c>
      <c r="D104" s="4">
        <f t="shared" si="7"/>
        <v>2</v>
      </c>
      <c r="E104" s="9" t="s">
        <v>315</v>
      </c>
      <c r="F104" s="10" t="s">
        <v>299</v>
      </c>
      <c r="G104" s="10"/>
      <c r="H104" s="10" t="s">
        <v>316</v>
      </c>
      <c r="I104" s="10" t="str">
        <f t="shared" si="8"/>
        <v>cheat summon AlphaArgent_Character_BP_C</v>
      </c>
      <c r="J104" s="10" t="str">
        <f t="shared" si="9"/>
        <v>admincheat GMSummon "AlphaArgent_Character_BP_C" 120</v>
      </c>
      <c r="K104" s="10" t="s">
        <v>317</v>
      </c>
      <c r="L104" s="10" t="str">
        <f t="shared" si="10"/>
        <v>cheat SpawnDino "Blueprint'/PrimalChaos/1Dinos/2Alpha/Argentavis/AlphaArgent_Character_BP.AlphaArgent_Character_BP'" 150 0 0 35</v>
      </c>
      <c r="M104" s="10" t="str">
        <f t="shared" si="11"/>
        <v>NPCReplacements=(FromClassName="AlphaArgent_Character_BP_C",ToClassName="")</v>
      </c>
      <c r="N104" s="2"/>
    </row>
    <row r="105">
      <c r="B105" s="6"/>
      <c r="C105" s="4">
        <v>22.0</v>
      </c>
      <c r="D105" s="4">
        <f t="shared" si="7"/>
        <v>2</v>
      </c>
      <c r="E105" s="7" t="s">
        <v>318</v>
      </c>
      <c r="F105" s="8" t="s">
        <v>299</v>
      </c>
      <c r="G105" s="8"/>
      <c r="H105" s="8" t="s">
        <v>319</v>
      </c>
      <c r="I105" s="8" t="str">
        <f t="shared" si="8"/>
        <v>cheat summon AlphaArthro_Character_BP_C</v>
      </c>
      <c r="J105" s="8" t="str">
        <f t="shared" si="9"/>
        <v>admincheat GMSummon "AlphaArthro_Character_BP_C" 120</v>
      </c>
      <c r="K105" s="8" t="s">
        <v>320</v>
      </c>
      <c r="L105" s="8" t="str">
        <f t="shared" si="10"/>
        <v>cheat SpawnDino "Blueprint'/PrimalChaos/1Dinos/2Alpha/Arthropluera/AlphaArthro_Character_BP.AlphaArthro_Character_BP'" 150 0 0 35</v>
      </c>
      <c r="M105" s="8" t="str">
        <f t="shared" si="11"/>
        <v>NPCReplacements=(FromClassName="AlphaArthro_Character_BP_C",ToClassName="")</v>
      </c>
      <c r="N105" s="2"/>
    </row>
    <row r="106">
      <c r="B106" s="6"/>
      <c r="C106" s="4">
        <v>23.0</v>
      </c>
      <c r="D106" s="4">
        <f t="shared" si="7"/>
        <v>2</v>
      </c>
      <c r="E106" s="9" t="s">
        <v>321</v>
      </c>
      <c r="F106" s="10" t="s">
        <v>299</v>
      </c>
      <c r="G106" s="10"/>
      <c r="H106" s="10" t="s">
        <v>322</v>
      </c>
      <c r="I106" s="10" t="str">
        <f t="shared" si="8"/>
        <v>cheat summon AlphaBaryonyx_Character_BP_C</v>
      </c>
      <c r="J106" s="10" t="str">
        <f t="shared" si="9"/>
        <v>admincheat GMSummon "AlphaBaryonyx_Character_BP_C" 120</v>
      </c>
      <c r="K106" s="10" t="s">
        <v>323</v>
      </c>
      <c r="L106" s="10" t="str">
        <f t="shared" si="10"/>
        <v>cheat SpawnDino "Blueprint'/PrimalChaos/1Dinos/2Alpha/Baryonyx/AlphaBaryonyx_Character_BP.AlphaBaryonyx_Character_BP'" 150 0 0 35</v>
      </c>
      <c r="M106" s="10" t="str">
        <f t="shared" si="11"/>
        <v>NPCReplacements=(FromClassName="AlphaBaryonyx_Character_BP_C",ToClassName="")</v>
      </c>
      <c r="N106" s="2"/>
    </row>
    <row r="107">
      <c r="B107" s="6"/>
      <c r="C107" s="4">
        <v>1.0</v>
      </c>
      <c r="D107" s="4">
        <f t="shared" si="7"/>
        <v>2</v>
      </c>
      <c r="E107" s="7" t="s">
        <v>324</v>
      </c>
      <c r="F107" s="8" t="s">
        <v>299</v>
      </c>
      <c r="G107" s="8"/>
      <c r="H107" s="8" t="s">
        <v>325</v>
      </c>
      <c r="I107" s="8" t="str">
        <f t="shared" si="8"/>
        <v>cheat summon Alpha_Basilo_Character_BP_C</v>
      </c>
      <c r="J107" s="8" t="str">
        <f t="shared" si="9"/>
        <v>admincheat GMSummon "Alpha_Basilo_Character_BP_C" 120</v>
      </c>
      <c r="K107" s="8" t="s">
        <v>326</v>
      </c>
      <c r="L107" s="8" t="str">
        <f t="shared" si="10"/>
        <v>cheat SpawnDino "Blueprint'/PrimalChaos/1WaterDinos/2Alpha/Basilo/Alpha_Basilo_Character_BP.Alpha_Basilo_Character_BP'" 150 0 0 35</v>
      </c>
      <c r="M107" s="8" t="str">
        <f t="shared" si="11"/>
        <v>NPCReplacements=(FromClassName="Alpha_Basilo_Character_BP_C",ToClassName="")</v>
      </c>
      <c r="N107" s="2"/>
    </row>
    <row r="108">
      <c r="B108" s="6"/>
      <c r="C108" s="4">
        <v>24.0</v>
      </c>
      <c r="D108" s="4">
        <f t="shared" si="7"/>
        <v>2</v>
      </c>
      <c r="E108" s="9" t="s">
        <v>327</v>
      </c>
      <c r="F108" s="10" t="s">
        <v>299</v>
      </c>
      <c r="G108" s="10"/>
      <c r="H108" s="10" t="s">
        <v>328</v>
      </c>
      <c r="I108" s="10" t="str">
        <f t="shared" si="8"/>
        <v>cheat summon AlphaBeaver_Character_BP_C</v>
      </c>
      <c r="J108" s="10" t="str">
        <f t="shared" si="9"/>
        <v>admincheat GMSummon "AlphaBeaver_Character_BP_C" 120</v>
      </c>
      <c r="K108" s="10" t="s">
        <v>329</v>
      </c>
      <c r="L108" s="10" t="str">
        <f t="shared" si="10"/>
        <v>cheat SpawnDino "Blueprint'/PrimalChaos/1Dinos/2Alpha/Castoroides/AlphaBeaver_Character_BP.AlphaBeaver_Character_BP'" 150 0 0 35</v>
      </c>
      <c r="M108" s="10" t="str">
        <f t="shared" si="11"/>
        <v>NPCReplacements=(FromClassName="AlphaBeaver_Character_BP_C",ToClassName="")</v>
      </c>
      <c r="N108" s="2"/>
    </row>
    <row r="109">
      <c r="B109" s="6"/>
      <c r="C109" s="4">
        <v>25.0</v>
      </c>
      <c r="D109" s="4">
        <f t="shared" si="7"/>
        <v>2</v>
      </c>
      <c r="E109" s="7" t="s">
        <v>330</v>
      </c>
      <c r="F109" s="8" t="s">
        <v>299</v>
      </c>
      <c r="G109" s="8"/>
      <c r="H109" s="8" t="s">
        <v>331</v>
      </c>
      <c r="I109" s="8" t="str">
        <f t="shared" si="8"/>
        <v>cheat summon AlphaBigfoot_Character_BP_C</v>
      </c>
      <c r="J109" s="8" t="str">
        <f t="shared" si="9"/>
        <v>admincheat GMSummon "AlphaBigfoot_Character_BP_C" 120</v>
      </c>
      <c r="K109" s="8" t="s">
        <v>332</v>
      </c>
      <c r="L109" s="8" t="str">
        <f t="shared" si="10"/>
        <v>cheat SpawnDino "Blueprint'/PrimalChaos/1Dinos/2Alpha/Gigantopithecus/AlphaBigfoot_Character_BP.AlphaBigfoot_Character_BP'" 150 0 0 35</v>
      </c>
      <c r="M109" s="8" t="str">
        <f t="shared" si="11"/>
        <v>NPCReplacements=(FromClassName="AlphaBigfoot_Character_BP_C",ToClassName="")</v>
      </c>
      <c r="N109" s="2"/>
    </row>
    <row r="110">
      <c r="B110" s="6"/>
      <c r="C110" s="4">
        <v>26.0</v>
      </c>
      <c r="D110" s="4">
        <f t="shared" si="7"/>
        <v>2</v>
      </c>
      <c r="E110" s="9" t="s">
        <v>333</v>
      </c>
      <c r="F110" s="10" t="s">
        <v>299</v>
      </c>
      <c r="G110" s="10"/>
      <c r="H110" s="10" t="s">
        <v>334</v>
      </c>
      <c r="I110" s="10" t="str">
        <f t="shared" si="8"/>
        <v>cheat summon AlphaBoaFrill_Character_BP_C</v>
      </c>
      <c r="J110" s="10" t="str">
        <f t="shared" si="9"/>
        <v>admincheat GMSummon "AlphaBoaFrill_Character_BP_C" 120</v>
      </c>
      <c r="K110" s="10" t="s">
        <v>335</v>
      </c>
      <c r="L110" s="10" t="str">
        <f t="shared" si="10"/>
        <v>cheat SpawnDino "Blueprint'/PrimalChaos/1Dinos/2Alpha/Snake/AlphaBoaFrill_Character_BP.AlphaBoaFrill_Character_BP'" 150 0 0 35</v>
      </c>
      <c r="M110" s="10" t="str">
        <f t="shared" si="11"/>
        <v>NPCReplacements=(FromClassName="AlphaBoaFrill_Character_BP_C",ToClassName="")</v>
      </c>
      <c r="N110" s="2"/>
    </row>
    <row r="111">
      <c r="B111" s="6"/>
      <c r="C111" s="4">
        <v>28.0</v>
      </c>
      <c r="D111" s="4">
        <f t="shared" si="7"/>
        <v>2</v>
      </c>
      <c r="E111" s="7" t="s">
        <v>336</v>
      </c>
      <c r="F111" s="8" t="s">
        <v>299</v>
      </c>
      <c r="G111" s="8"/>
      <c r="H111" s="8" t="s">
        <v>337</v>
      </c>
      <c r="I111" s="8" t="str">
        <f t="shared" si="8"/>
        <v>cheat summon AlphaCarno_Character_BP_C</v>
      </c>
      <c r="J111" s="8" t="str">
        <f t="shared" si="9"/>
        <v>admincheat GMSummon "AlphaCarno_Character_BP_C" 120</v>
      </c>
      <c r="K111" s="8" t="s">
        <v>338</v>
      </c>
      <c r="L111" s="8" t="str">
        <f t="shared" si="10"/>
        <v>cheat SpawnDino "Blueprint'/PrimalChaos/1Dinos/2Alpha/Carno/AlphaCarno_Character_BP.AlphaCarno_Character_BP'" 150 0 0 35</v>
      </c>
      <c r="M111" s="8" t="str">
        <f t="shared" si="11"/>
        <v>NPCReplacements=(FromClassName="AlphaCarno_Character_BP_C",ToClassName="")</v>
      </c>
      <c r="N111" s="2"/>
    </row>
    <row r="112">
      <c r="B112" s="6"/>
      <c r="C112" s="4">
        <v>29.0</v>
      </c>
      <c r="D112" s="4">
        <f t="shared" si="7"/>
        <v>2</v>
      </c>
      <c r="E112" s="9" t="s">
        <v>339</v>
      </c>
      <c r="F112" s="10" t="s">
        <v>299</v>
      </c>
      <c r="G112" s="10"/>
      <c r="H112" s="10" t="s">
        <v>340</v>
      </c>
      <c r="I112" s="10" t="str">
        <f t="shared" si="8"/>
        <v>cheat summon AlphaChalico_Character_BP_C</v>
      </c>
      <c r="J112" s="10" t="str">
        <f t="shared" si="9"/>
        <v>admincheat GMSummon "AlphaChalico_Character_BP_C" 120</v>
      </c>
      <c r="K112" s="10" t="s">
        <v>341</v>
      </c>
      <c r="L112" s="10" t="str">
        <f t="shared" si="10"/>
        <v>cheat SpawnDino "Blueprint'/PrimalChaos/1Dinos/2Alpha/Chalicotherium/AlphaChalico_Character_BP.AlphaChalico_Character_BP'" 150 0 0 35</v>
      </c>
      <c r="M112" s="10" t="str">
        <f t="shared" si="11"/>
        <v>NPCReplacements=(FromClassName="AlphaChalico_Character_BP_C",ToClassName="")</v>
      </c>
      <c r="N112" s="2"/>
    </row>
    <row r="113">
      <c r="B113" s="6"/>
      <c r="C113" s="4">
        <v>2.0</v>
      </c>
      <c r="D113" s="4">
        <f t="shared" si="7"/>
        <v>2</v>
      </c>
      <c r="E113" s="7" t="s">
        <v>342</v>
      </c>
      <c r="F113" s="8" t="s">
        <v>299</v>
      </c>
      <c r="G113" s="8"/>
      <c r="H113" s="8" t="s">
        <v>343</v>
      </c>
      <c r="I113" s="8" t="str">
        <f t="shared" si="8"/>
        <v>cheat summon Alpha_Cnidaria_Character_BP_C</v>
      </c>
      <c r="J113" s="8" t="str">
        <f t="shared" si="9"/>
        <v>admincheat GMSummon "Alpha_Cnidaria_Character_BP_C" 120</v>
      </c>
      <c r="K113" s="8" t="s">
        <v>344</v>
      </c>
      <c r="L113" s="8" t="str">
        <f t="shared" si="10"/>
        <v>cheat SpawnDino "Blueprint'/PrimalChaos/1WaterDinos/2Alpha/Cnidaria/Alpha_Cnidaria_Character_BP.Alpha_Cnidaria_Character_BP'" 150 0 0 35</v>
      </c>
      <c r="M113" s="8" t="str">
        <f t="shared" si="11"/>
        <v>NPCReplacements=(FromClassName="Alpha_Cnidaria_Character_BP_C",ToClassName="")</v>
      </c>
      <c r="N113" s="2"/>
    </row>
    <row r="114">
      <c r="B114" s="6"/>
      <c r="C114" s="4">
        <v>30.0</v>
      </c>
      <c r="D114" s="4">
        <f t="shared" si="7"/>
        <v>2</v>
      </c>
      <c r="E114" s="9" t="s">
        <v>345</v>
      </c>
      <c r="F114" s="10" t="s">
        <v>299</v>
      </c>
      <c r="G114" s="10"/>
      <c r="H114" s="10" t="s">
        <v>346</v>
      </c>
      <c r="I114" s="10" t="str">
        <f t="shared" si="8"/>
        <v>cheat summon AlphaCompy_Character_BP_C</v>
      </c>
      <c r="J114" s="10" t="str">
        <f t="shared" si="9"/>
        <v>admincheat GMSummon "AlphaCompy_Character_BP_C" 120</v>
      </c>
      <c r="K114" s="10" t="s">
        <v>347</v>
      </c>
      <c r="L114" s="10" t="str">
        <f t="shared" si="10"/>
        <v>cheat SpawnDino "Blueprint'/PrimalChaos/1Dinos/2Alpha/Compy/AlphaCompy_Character_BP.AlphaCompy_Character_BP'" 150 0 0 35</v>
      </c>
      <c r="M114" s="10" t="str">
        <f t="shared" si="11"/>
        <v>NPCReplacements=(FromClassName="AlphaCompy_Character_BP_C",ToClassName="")</v>
      </c>
      <c r="N114" s="2"/>
    </row>
    <row r="115">
      <c r="B115" s="6"/>
      <c r="C115" s="4">
        <v>31.0</v>
      </c>
      <c r="D115" s="4">
        <f t="shared" si="7"/>
        <v>2</v>
      </c>
      <c r="E115" s="7" t="s">
        <v>348</v>
      </c>
      <c r="F115" s="8" t="s">
        <v>299</v>
      </c>
      <c r="G115" s="8"/>
      <c r="H115" s="8" t="s">
        <v>349</v>
      </c>
      <c r="I115" s="8" t="str">
        <f t="shared" si="8"/>
        <v>cheat summon AlphaDaeodon_Character_BP_C</v>
      </c>
      <c r="J115" s="8" t="str">
        <f t="shared" si="9"/>
        <v>admincheat GMSummon "AlphaDaeodon_Character_BP_C" 120</v>
      </c>
      <c r="K115" s="8" t="s">
        <v>350</v>
      </c>
      <c r="L115" s="8" t="str">
        <f t="shared" si="10"/>
        <v>cheat SpawnDino "Blueprint'/PrimalChaos/1Dinos/2Alpha/Daeodon/AlphaDaeodon_Character_BP.AlphaDaeodon_Character_BP'" 150 0 0 35</v>
      </c>
      <c r="M115" s="8" t="str">
        <f t="shared" si="11"/>
        <v>NPCReplacements=(FromClassName="AlphaDaeodon_Character_BP_C",ToClassName="")</v>
      </c>
      <c r="N115" s="2"/>
    </row>
    <row r="116">
      <c r="B116" s="6"/>
      <c r="C116" s="4">
        <v>32.0</v>
      </c>
      <c r="D116" s="4">
        <f t="shared" si="7"/>
        <v>2</v>
      </c>
      <c r="E116" s="9" t="s">
        <v>351</v>
      </c>
      <c r="F116" s="10" t="s">
        <v>299</v>
      </c>
      <c r="G116" s="10"/>
      <c r="H116" s="10" t="s">
        <v>352</v>
      </c>
      <c r="I116" s="10" t="str">
        <f t="shared" si="8"/>
        <v>cheat summon AlphaDilo_Character_BP_C</v>
      </c>
      <c r="J116" s="10" t="str">
        <f t="shared" si="9"/>
        <v>admincheat GMSummon "AlphaDilo_Character_BP_C" 120</v>
      </c>
      <c r="K116" s="10" t="s">
        <v>353</v>
      </c>
      <c r="L116" s="10" t="str">
        <f t="shared" si="10"/>
        <v>cheat SpawnDino "Blueprint'/PrimalChaos/1Dinos/2Alpha/Dilo/AlphaDilo_Character_BP.AlphaDilo_Character_BP'" 150 0 0 35</v>
      </c>
      <c r="M116" s="10" t="str">
        <f t="shared" si="11"/>
        <v>NPCReplacements=(FromClassName="AlphaDilo_Character_BP_C",ToClassName="")</v>
      </c>
      <c r="N116" s="2"/>
    </row>
    <row r="117">
      <c r="B117" s="6"/>
      <c r="C117" s="4">
        <v>33.0</v>
      </c>
      <c r="D117" s="4">
        <f t="shared" si="7"/>
        <v>2</v>
      </c>
      <c r="E117" s="7" t="s">
        <v>354</v>
      </c>
      <c r="F117" s="8" t="s">
        <v>299</v>
      </c>
      <c r="G117" s="8"/>
      <c r="H117" s="8" t="s">
        <v>355</v>
      </c>
      <c r="I117" s="8" t="str">
        <f t="shared" si="8"/>
        <v>cheat summon AlphaDimetro_Character_BP_C</v>
      </c>
      <c r="J117" s="8" t="str">
        <f t="shared" si="9"/>
        <v>admincheat GMSummon "AlphaDimetro_Character_BP_C" 120</v>
      </c>
      <c r="K117" s="8" t="s">
        <v>356</v>
      </c>
      <c r="L117" s="8" t="str">
        <f t="shared" si="10"/>
        <v>cheat SpawnDino "Blueprint'/PrimalChaos/1Dinos/2Alpha/Dimetrodon/AlphaDimetro_Character_BP.AlphaDimetro_Character_BP'" 150 0 0 35</v>
      </c>
      <c r="M117" s="8" t="str">
        <f t="shared" si="11"/>
        <v>NPCReplacements=(FromClassName="AlphaDimetro_Character_BP_C",ToClassName="")</v>
      </c>
      <c r="N117" s="2"/>
    </row>
    <row r="118">
      <c r="B118" s="6"/>
      <c r="C118" s="4">
        <v>34.0</v>
      </c>
      <c r="D118" s="4">
        <f t="shared" si="7"/>
        <v>2</v>
      </c>
      <c r="E118" s="9" t="s">
        <v>357</v>
      </c>
      <c r="F118" s="10" t="s">
        <v>299</v>
      </c>
      <c r="G118" s="10"/>
      <c r="H118" s="10" t="s">
        <v>358</v>
      </c>
      <c r="I118" s="10" t="str">
        <f t="shared" si="8"/>
        <v>cheat summon AlphaDimorph_Character_BP_C</v>
      </c>
      <c r="J118" s="10" t="str">
        <f t="shared" si="9"/>
        <v>admincheat GMSummon "AlphaDimorph_Character_BP_C" 120</v>
      </c>
      <c r="K118" s="10" t="s">
        <v>359</v>
      </c>
      <c r="L118" s="10" t="str">
        <f t="shared" si="10"/>
        <v>cheat SpawnDino "Blueprint'/PrimalChaos/1Dinos/2Alpha/Dimorphodon/AlphaDimorph_Character_BP.AlphaDimorph_Character_BP'" 150 0 0 35</v>
      </c>
      <c r="M118" s="10" t="str">
        <f t="shared" si="11"/>
        <v>NPCReplacements=(FromClassName="AlphaDimorph_Character_BP_C",ToClassName="")</v>
      </c>
      <c r="N118" s="2"/>
    </row>
    <row r="119">
      <c r="B119" s="6"/>
      <c r="C119" s="4">
        <v>3.0</v>
      </c>
      <c r="D119" s="4">
        <f t="shared" si="7"/>
        <v>2</v>
      </c>
      <c r="E119" s="7" t="s">
        <v>360</v>
      </c>
      <c r="F119" s="8" t="s">
        <v>299</v>
      </c>
      <c r="G119" s="8"/>
      <c r="H119" s="8" t="s">
        <v>361</v>
      </c>
      <c r="I119" s="8" t="str">
        <f t="shared" si="8"/>
        <v>cheat summon Alpha_Diplocaulus_Character_BP_C</v>
      </c>
      <c r="J119" s="8" t="str">
        <f t="shared" si="9"/>
        <v>admincheat GMSummon "Alpha_Diplocaulus_Character_BP_C" 120</v>
      </c>
      <c r="K119" s="8" t="s">
        <v>362</v>
      </c>
      <c r="L119" s="8" t="str">
        <f t="shared" si="10"/>
        <v>cheat SpawnDino "Blueprint'/PrimalChaos/1WaterDinos/2Alpha/Diplocaulus/Alpha_Diplocaulus_Character_BP.Alpha_Diplocaulus_Character_BP'" 150 0 0 35</v>
      </c>
      <c r="M119" s="8" t="str">
        <f t="shared" si="11"/>
        <v>NPCReplacements=(FromClassName="Alpha_Diplocaulus_Character_BP_C",ToClassName="")</v>
      </c>
      <c r="N119" s="2"/>
    </row>
    <row r="120">
      <c r="B120" s="6"/>
      <c r="C120" s="4">
        <v>35.0</v>
      </c>
      <c r="D120" s="4">
        <f t="shared" si="7"/>
        <v>2</v>
      </c>
      <c r="E120" s="9" t="s">
        <v>363</v>
      </c>
      <c r="F120" s="10" t="s">
        <v>299</v>
      </c>
      <c r="G120" s="10"/>
      <c r="H120" s="10" t="s">
        <v>364</v>
      </c>
      <c r="I120" s="10" t="str">
        <f t="shared" si="8"/>
        <v>cheat summon AlphaDiplodocus_Character_BP_C</v>
      </c>
      <c r="J120" s="10" t="str">
        <f t="shared" si="9"/>
        <v>admincheat GMSummon "AlphaDiplodocus_Character_BP_C" 120</v>
      </c>
      <c r="K120" s="10" t="s">
        <v>365</v>
      </c>
      <c r="L120" s="10" t="str">
        <f t="shared" si="10"/>
        <v>cheat SpawnDino "Blueprint'/PrimalChaos/1Dinos/2Alpha/Diplodocus/AlphaDiplodocus_Character_BP.AlphaDiplodocus_Character_BP'" 150 0 0 35</v>
      </c>
      <c r="M120" s="10" t="str">
        <f t="shared" si="11"/>
        <v>NPCReplacements=(FromClassName="AlphaDiplodocus_Character_BP_C",ToClassName="")</v>
      </c>
      <c r="N120" s="2"/>
    </row>
    <row r="121">
      <c r="B121" s="6"/>
      <c r="C121" s="4">
        <v>36.0</v>
      </c>
      <c r="D121" s="4">
        <f t="shared" si="7"/>
        <v>2</v>
      </c>
      <c r="E121" s="7" t="s">
        <v>366</v>
      </c>
      <c r="F121" s="8" t="s">
        <v>299</v>
      </c>
      <c r="G121" s="8"/>
      <c r="H121" s="8" t="s">
        <v>367</v>
      </c>
      <c r="I121" s="8" t="str">
        <f t="shared" si="8"/>
        <v>cheat summon AlphaDirebear_Character_BP_C</v>
      </c>
      <c r="J121" s="8" t="str">
        <f t="shared" si="9"/>
        <v>admincheat GMSummon "AlphaDirebear_Character_BP_C" 120</v>
      </c>
      <c r="K121" s="8" t="s">
        <v>368</v>
      </c>
      <c r="L121" s="8" t="str">
        <f t="shared" si="10"/>
        <v>cheat SpawnDino "Blueprint'/PrimalChaos/1Dinos/2Alpha/Direbear/AlphaDirebear_Character_BP.AlphaDirebear_Character_BP'" 150 0 0 35</v>
      </c>
      <c r="M121" s="8" t="str">
        <f t="shared" si="11"/>
        <v>NPCReplacements=(FromClassName="AlphaDirebear_Character_BP_C",ToClassName="")</v>
      </c>
      <c r="N121" s="2"/>
    </row>
    <row r="122">
      <c r="B122" s="6"/>
      <c r="C122" s="4">
        <v>37.0</v>
      </c>
      <c r="D122" s="4">
        <f t="shared" si="7"/>
        <v>2</v>
      </c>
      <c r="E122" s="9" t="s">
        <v>369</v>
      </c>
      <c r="F122" s="10" t="s">
        <v>299</v>
      </c>
      <c r="G122" s="10"/>
      <c r="H122" s="10" t="s">
        <v>370</v>
      </c>
      <c r="I122" s="10" t="str">
        <f t="shared" si="8"/>
        <v>cheat summon AlphaDirewolf_Character_BP_C</v>
      </c>
      <c r="J122" s="10" t="str">
        <f t="shared" si="9"/>
        <v>admincheat GMSummon "AlphaDirewolf_Character_BP_C" 120</v>
      </c>
      <c r="K122" s="10" t="s">
        <v>371</v>
      </c>
      <c r="L122" s="10" t="str">
        <f t="shared" si="10"/>
        <v>cheat SpawnDino "Blueprint'/PrimalChaos/1Dinos/2Alpha/Direwolf/AlphaDirewolf_Character_BP.AlphaDirewolf_Character_BP'" 150 0 0 35</v>
      </c>
      <c r="M122" s="10" t="str">
        <f t="shared" si="11"/>
        <v>NPCReplacements=(FromClassName="AlphaDirewolf_Character_BP_C",ToClassName="")</v>
      </c>
      <c r="N122" s="2"/>
    </row>
    <row r="123">
      <c r="B123" s="6"/>
      <c r="C123" s="4">
        <v>38.0</v>
      </c>
      <c r="D123" s="4">
        <f t="shared" si="7"/>
        <v>2</v>
      </c>
      <c r="E123" s="7" t="s">
        <v>372</v>
      </c>
      <c r="F123" s="8" t="s">
        <v>299</v>
      </c>
      <c r="G123" s="8"/>
      <c r="H123" s="8" t="s">
        <v>373</v>
      </c>
      <c r="I123" s="8" t="str">
        <f t="shared" si="8"/>
        <v>cheat summon AlphaDodo_Character_BP_C</v>
      </c>
      <c r="J123" s="8" t="str">
        <f t="shared" si="9"/>
        <v>admincheat GMSummon "AlphaDodo_Character_BP_C" 120</v>
      </c>
      <c r="K123" s="8" t="s">
        <v>374</v>
      </c>
      <c r="L123" s="8" t="str">
        <f t="shared" si="10"/>
        <v>cheat SpawnDino "Blueprint'/PrimalChaos/1Dinos/2Alpha/Dodo/AlphaDodo_Character_BP.AlphaDodo_Character_BP'" 150 0 0 35</v>
      </c>
      <c r="M123" s="8" t="str">
        <f t="shared" si="11"/>
        <v>NPCReplacements=(FromClassName="AlphaDodo_Character_BP_C",ToClassName="")</v>
      </c>
      <c r="N123" s="2"/>
    </row>
    <row r="124">
      <c r="B124" s="6"/>
      <c r="C124" s="4">
        <v>39.0</v>
      </c>
      <c r="D124" s="4">
        <f t="shared" si="7"/>
        <v>2</v>
      </c>
      <c r="E124" s="9" t="s">
        <v>375</v>
      </c>
      <c r="F124" s="10" t="s">
        <v>299</v>
      </c>
      <c r="G124" s="10"/>
      <c r="H124" s="10" t="s">
        <v>376</v>
      </c>
      <c r="I124" s="10" t="str">
        <f t="shared" si="8"/>
        <v>cheat summon AlphaDoed_Character_BP_C</v>
      </c>
      <c r="J124" s="10" t="str">
        <f t="shared" si="9"/>
        <v>admincheat GMSummon "AlphaDoed_Character_BP_C" 120</v>
      </c>
      <c r="K124" s="10" t="s">
        <v>377</v>
      </c>
      <c r="L124" s="10" t="str">
        <f t="shared" si="10"/>
        <v>cheat SpawnDino "Blueprint'/PrimalChaos/1Dinos/2Alpha/Doedicurus/AlphaDoed_Character_BP.AlphaDoed_Character_BP'" 150 0 0 35</v>
      </c>
      <c r="M124" s="10" t="str">
        <f t="shared" si="11"/>
        <v>NPCReplacements=(FromClassName="AlphaDoed_Character_BP_C",ToClassName="")</v>
      </c>
      <c r="N124" s="2"/>
    </row>
    <row r="125">
      <c r="B125" s="6"/>
      <c r="C125" s="4">
        <v>40.0</v>
      </c>
      <c r="D125" s="4">
        <f t="shared" si="7"/>
        <v>2</v>
      </c>
      <c r="E125" s="7" t="s">
        <v>378</v>
      </c>
      <c r="F125" s="8" t="s">
        <v>299</v>
      </c>
      <c r="G125" s="8"/>
      <c r="H125" s="8" t="s">
        <v>379</v>
      </c>
      <c r="I125" s="8" t="str">
        <f t="shared" si="8"/>
        <v>cheat summon AlphaDragonfly_Character_BP_C</v>
      </c>
      <c r="J125" s="8" t="str">
        <f t="shared" si="9"/>
        <v>admincheat GMSummon "AlphaDragonfly_Character_BP_C" 120</v>
      </c>
      <c r="K125" s="8" t="s">
        <v>380</v>
      </c>
      <c r="L125" s="8" t="str">
        <f t="shared" si="10"/>
        <v>cheat SpawnDino "Blueprint'/PrimalChaos/1Dinos/2Alpha/Dragonfly/AlphaDragonfly_Character_BP.AlphaDragonfly_Character_BP'" 150 0 0 35</v>
      </c>
      <c r="M125" s="8" t="str">
        <f t="shared" si="11"/>
        <v>NPCReplacements=(FromClassName="AlphaDragonfly_Character_BP_C",ToClassName="")</v>
      </c>
      <c r="N125" s="2"/>
    </row>
    <row r="126">
      <c r="B126" s="6"/>
      <c r="C126" s="4">
        <v>41.0</v>
      </c>
      <c r="D126" s="4">
        <f t="shared" si="7"/>
        <v>2</v>
      </c>
      <c r="E126" s="9" t="s">
        <v>381</v>
      </c>
      <c r="F126" s="10" t="s">
        <v>299</v>
      </c>
      <c r="G126" s="10"/>
      <c r="H126" s="10" t="s">
        <v>382</v>
      </c>
      <c r="I126" s="10" t="str">
        <f t="shared" si="8"/>
        <v>cheat summon AlphaDungBeetle_Character_BP_C</v>
      </c>
      <c r="J126" s="10" t="str">
        <f t="shared" si="9"/>
        <v>admincheat GMSummon "AlphaDungBeetle_Character_BP_C" 120</v>
      </c>
      <c r="K126" s="10" t="s">
        <v>383</v>
      </c>
      <c r="L126" s="10" t="str">
        <f t="shared" si="10"/>
        <v>cheat SpawnDino "Blueprint'/PrimalChaos/1Dinos/2Alpha/Dungbeetle/AlphaDungBeetle_Character_BP.AlphaDungBeetle_Character_BP'" 150 0 0 35</v>
      </c>
      <c r="M126" s="10" t="str">
        <f t="shared" si="11"/>
        <v>NPCReplacements=(FromClassName="AlphaDungBeetle_Character_BP_C",ToClassName="")</v>
      </c>
      <c r="N126" s="2"/>
    </row>
    <row r="127">
      <c r="B127" s="6"/>
      <c r="C127" s="4">
        <v>4.0</v>
      </c>
      <c r="D127" s="4">
        <f t="shared" si="7"/>
        <v>2</v>
      </c>
      <c r="E127" s="7" t="s">
        <v>384</v>
      </c>
      <c r="F127" s="8" t="s">
        <v>299</v>
      </c>
      <c r="G127" s="8"/>
      <c r="H127" s="8" t="s">
        <v>385</v>
      </c>
      <c r="I127" s="8" t="str">
        <f t="shared" si="8"/>
        <v>cheat summon Alpha_Dunkleo_Character_BP_C</v>
      </c>
      <c r="J127" s="8" t="str">
        <f t="shared" si="9"/>
        <v>admincheat GMSummon "Alpha_Dunkleo_Character_BP_C" 120</v>
      </c>
      <c r="K127" s="8" t="s">
        <v>386</v>
      </c>
      <c r="L127" s="8" t="str">
        <f t="shared" si="10"/>
        <v>cheat SpawnDino "Blueprint'/PrimalChaos/1WaterDinos/2Alpha/Dunkleo/Alpha_Dunkleo_Character_BP.Alpha_Dunkleo_Character_BP'" 150 0 0 35</v>
      </c>
      <c r="M127" s="8" t="str">
        <f t="shared" si="11"/>
        <v>NPCReplacements=(FromClassName="Alpha_Dunkleo_Character_BP_C",ToClassName="")</v>
      </c>
      <c r="N127" s="2"/>
    </row>
    <row r="128">
      <c r="B128" s="6"/>
      <c r="C128" s="4">
        <v>5.0</v>
      </c>
      <c r="D128" s="4">
        <f t="shared" si="7"/>
        <v>2</v>
      </c>
      <c r="E128" s="9" t="s">
        <v>387</v>
      </c>
      <c r="F128" s="10" t="s">
        <v>299</v>
      </c>
      <c r="G128" s="10"/>
      <c r="H128" s="10" t="s">
        <v>388</v>
      </c>
      <c r="I128" s="10" t="str">
        <f t="shared" si="8"/>
        <v>cheat summon Alpha_Electrophorus_Character_BP_C</v>
      </c>
      <c r="J128" s="10" t="str">
        <f t="shared" si="9"/>
        <v>admincheat GMSummon "Alpha_Electrophorus_Character_BP_C" 120</v>
      </c>
      <c r="K128" s="10" t="s">
        <v>389</v>
      </c>
      <c r="L128" s="10" t="str">
        <f t="shared" si="10"/>
        <v>cheat SpawnDino "Blueprint'/PrimalChaos/1WaterDinos/2Alpha/Electrophorus/Alpha_Electrophorus_Character_BP.Alpha_Electrophorus_Character_BP'" 150 0 0 35</v>
      </c>
      <c r="M128" s="10" t="str">
        <f t="shared" si="11"/>
        <v>NPCReplacements=(FromClassName="Alpha_Electrophorus_Character_BP_C",ToClassName="")</v>
      </c>
      <c r="N128" s="2"/>
    </row>
    <row r="129">
      <c r="B129" s="6"/>
      <c r="C129" s="4">
        <v>42.0</v>
      </c>
      <c r="D129" s="4">
        <f t="shared" si="7"/>
        <v>2</v>
      </c>
      <c r="E129" s="7" t="s">
        <v>390</v>
      </c>
      <c r="F129" s="8" t="s">
        <v>299</v>
      </c>
      <c r="G129" s="8"/>
      <c r="H129" s="8" t="s">
        <v>391</v>
      </c>
      <c r="I129" s="8" t="str">
        <f t="shared" si="8"/>
        <v>cheat summon AlphaEquus_Character_BP_C</v>
      </c>
      <c r="J129" s="8" t="str">
        <f t="shared" si="9"/>
        <v>admincheat GMSummon "AlphaEquus_Character_BP_C" 120</v>
      </c>
      <c r="K129" s="8" t="s">
        <v>392</v>
      </c>
      <c r="L129" s="8" t="str">
        <f t="shared" si="10"/>
        <v>cheat SpawnDino "Blueprint'/PrimalChaos/1Dinos/2Alpha/Equus/AlphaEquus_Character_BP.AlphaEquus_Character_BP'" 150 0 0 35</v>
      </c>
      <c r="M129" s="8" t="str">
        <f t="shared" si="11"/>
        <v>NPCReplacements=(FromClassName="AlphaEquus_Character_BP_C",ToClassName="")</v>
      </c>
      <c r="N129" s="2"/>
    </row>
    <row r="130">
      <c r="B130" s="6"/>
      <c r="C130" s="4">
        <v>6.0</v>
      </c>
      <c r="D130" s="4">
        <f t="shared" si="7"/>
        <v>2</v>
      </c>
      <c r="E130" s="9" t="s">
        <v>393</v>
      </c>
      <c r="F130" s="10" t="s">
        <v>299</v>
      </c>
      <c r="G130" s="10"/>
      <c r="H130" s="10" t="s">
        <v>394</v>
      </c>
      <c r="I130" s="10" t="str">
        <f t="shared" si="8"/>
        <v>cheat summon Alpha_Eurypterid_Character_BP_C</v>
      </c>
      <c r="J130" s="10" t="str">
        <f t="shared" si="9"/>
        <v>admincheat GMSummon "Alpha_Eurypterid_Character_BP_C" 120</v>
      </c>
      <c r="K130" s="10" t="s">
        <v>395</v>
      </c>
      <c r="L130" s="10" t="str">
        <f t="shared" si="10"/>
        <v>cheat SpawnDino "Blueprint'/PrimalChaos/1WaterDinos/2Alpha/eurypterid/Alpha_Eurypterid_Character_BP.Alpha_Eurypterid_Character_BP'" 150 0 0 35</v>
      </c>
      <c r="M130" s="10" t="str">
        <f t="shared" si="11"/>
        <v>NPCReplacements=(FromClassName="Alpha_Eurypterid_Character_BP_C",ToClassName="")</v>
      </c>
      <c r="N130" s="2"/>
    </row>
    <row r="131">
      <c r="B131" s="6"/>
      <c r="C131" s="4">
        <v>43.0</v>
      </c>
      <c r="D131" s="4">
        <f t="shared" si="7"/>
        <v>2</v>
      </c>
      <c r="E131" s="7" t="s">
        <v>396</v>
      </c>
      <c r="F131" s="8" t="s">
        <v>299</v>
      </c>
      <c r="G131" s="8"/>
      <c r="H131" s="8" t="s">
        <v>397</v>
      </c>
      <c r="I131" s="8" t="str">
        <f t="shared" si="8"/>
        <v>cheat summon AlphaGalli_Character_BP_C</v>
      </c>
      <c r="J131" s="8" t="str">
        <f t="shared" si="9"/>
        <v>admincheat GMSummon "AlphaGalli_Character_BP_C" 120</v>
      </c>
      <c r="K131" s="8" t="s">
        <v>398</v>
      </c>
      <c r="L131" s="8" t="str">
        <f t="shared" si="10"/>
        <v>cheat SpawnDino "Blueprint'/PrimalChaos/1Dinos/2Alpha/Gallimimus/AlphaGalli_Character_BP.AlphaGalli_Character_BP'" 150 0 0 35</v>
      </c>
      <c r="M131" s="8" t="str">
        <f t="shared" si="11"/>
        <v>NPCReplacements=(FromClassName="AlphaGalli_Character_BP_C",ToClassName="")</v>
      </c>
      <c r="N131" s="2"/>
    </row>
    <row r="132">
      <c r="B132" s="6"/>
      <c r="C132" s="4">
        <v>44.0</v>
      </c>
      <c r="D132" s="4">
        <f t="shared" si="7"/>
        <v>2</v>
      </c>
      <c r="E132" s="9" t="s">
        <v>399</v>
      </c>
      <c r="F132" s="10" t="s">
        <v>299</v>
      </c>
      <c r="G132" s="10"/>
      <c r="H132" s="10" t="s">
        <v>400</v>
      </c>
      <c r="I132" s="10" t="str">
        <f t="shared" si="8"/>
        <v>cheat summon AlphaGigant_Character_BP_C</v>
      </c>
      <c r="J132" s="10" t="str">
        <f t="shared" si="9"/>
        <v>admincheat GMSummon "AlphaGigant_Character_BP_C" 120</v>
      </c>
      <c r="K132" s="10" t="s">
        <v>401</v>
      </c>
      <c r="L132" s="10" t="str">
        <f t="shared" si="10"/>
        <v>cheat SpawnDino "Blueprint'/PrimalChaos/1Dinos/2Alpha/Giga/AlphaGigant_Character_BP.AlphaGigant_Character_BP'" 150 0 0 35</v>
      </c>
      <c r="M132" s="10" t="str">
        <f t="shared" si="11"/>
        <v>NPCReplacements=(FromClassName="AlphaGigant_Character_BP_C",ToClassName="")</v>
      </c>
      <c r="N132" s="2"/>
    </row>
    <row r="133">
      <c r="B133" s="6"/>
      <c r="C133" s="4">
        <v>45.0</v>
      </c>
      <c r="D133" s="4">
        <f t="shared" si="7"/>
        <v>2</v>
      </c>
      <c r="E133" s="7" t="s">
        <v>402</v>
      </c>
      <c r="F133" s="8" t="s">
        <v>299</v>
      </c>
      <c r="G133" s="8"/>
      <c r="H133" s="8" t="s">
        <v>403</v>
      </c>
      <c r="I133" s="8" t="str">
        <f t="shared" si="8"/>
        <v>cheat summon AlphaHesperornis_Character_BP_C</v>
      </c>
      <c r="J133" s="8" t="str">
        <f t="shared" si="9"/>
        <v>admincheat GMSummon "AlphaHesperornis_Character_BP_C" 120</v>
      </c>
      <c r="K133" s="8" t="s">
        <v>404</v>
      </c>
      <c r="L133" s="8" t="str">
        <f t="shared" si="10"/>
        <v>cheat SpawnDino "Blueprint'/PrimalChaos/1Dinos/2Alpha/Hesperornis/AlphaHesperornis_Character_BP.AlphaHesperornis_Character_BP'" 150 0 0 35</v>
      </c>
      <c r="M133" s="8" t="str">
        <f t="shared" si="11"/>
        <v>NPCReplacements=(FromClassName="AlphaHesperornis_Character_BP_C",ToClassName="")</v>
      </c>
      <c r="N133" s="2"/>
    </row>
    <row r="134">
      <c r="B134" s="6"/>
      <c r="C134" s="4">
        <v>46.0</v>
      </c>
      <c r="D134" s="4">
        <f t="shared" si="7"/>
        <v>2</v>
      </c>
      <c r="E134" s="9" t="s">
        <v>405</v>
      </c>
      <c r="F134" s="10" t="s">
        <v>299</v>
      </c>
      <c r="G134" s="10"/>
      <c r="H134" s="10" t="s">
        <v>406</v>
      </c>
      <c r="I134" s="10" t="str">
        <f t="shared" si="8"/>
        <v>cheat summon AlphaHyaenodon_Character_BP_C</v>
      </c>
      <c r="J134" s="10" t="str">
        <f t="shared" si="9"/>
        <v>admincheat GMSummon "AlphaHyaenodon_Character_BP_C" 120</v>
      </c>
      <c r="K134" s="10" t="s">
        <v>407</v>
      </c>
      <c r="L134" s="10" t="str">
        <f t="shared" si="10"/>
        <v>cheat SpawnDino "Blueprint'/PrimalChaos/1Dinos/2Alpha/Hyena/AlphaHyaenodon_Character_BP.AlphaHyaenodon_Character_BP'" 150 0 0 35</v>
      </c>
      <c r="M134" s="10" t="str">
        <f t="shared" si="11"/>
        <v>NPCReplacements=(FromClassName="AlphaHyaenodon_Character_BP_C",ToClassName="")</v>
      </c>
      <c r="N134" s="2"/>
    </row>
    <row r="135">
      <c r="B135" s="6"/>
      <c r="C135" s="4">
        <v>47.0</v>
      </c>
      <c r="D135" s="4">
        <f t="shared" si="7"/>
        <v>2</v>
      </c>
      <c r="E135" s="7" t="s">
        <v>408</v>
      </c>
      <c r="F135" s="8" t="s">
        <v>299</v>
      </c>
      <c r="G135" s="8"/>
      <c r="H135" s="8" t="s">
        <v>409</v>
      </c>
      <c r="I135" s="8" t="str">
        <f t="shared" si="8"/>
        <v>cheat summon AlphaIguanodon_Character_BP_C</v>
      </c>
      <c r="J135" s="8" t="str">
        <f t="shared" si="9"/>
        <v>admincheat GMSummon "AlphaIguanodon_Character_BP_C" 120</v>
      </c>
      <c r="K135" s="8" t="s">
        <v>410</v>
      </c>
      <c r="L135" s="8" t="str">
        <f t="shared" si="10"/>
        <v>cheat SpawnDino "Blueprint'/PrimalChaos/1Dinos/2Alpha/Iguanodon/AlphaIguanodon_Character_BP.AlphaIguanodon_Character_BP'" 150 0 0 35</v>
      </c>
      <c r="M135" s="8" t="str">
        <f t="shared" si="11"/>
        <v>NPCReplacements=(FromClassName="AlphaIguanodon_Character_BP_C",ToClassName="")</v>
      </c>
      <c r="N135" s="2"/>
    </row>
    <row r="136">
      <c r="B136" s="6"/>
      <c r="C136" s="4">
        <v>48.0</v>
      </c>
      <c r="D136" s="4">
        <f t="shared" si="7"/>
        <v>2</v>
      </c>
      <c r="E136" s="9" t="s">
        <v>411</v>
      </c>
      <c r="F136" s="10" t="s">
        <v>299</v>
      </c>
      <c r="G136" s="10"/>
      <c r="H136" s="10" t="s">
        <v>412</v>
      </c>
      <c r="I136" s="10" t="str">
        <f t="shared" si="8"/>
        <v>cheat summon AlphaKairuku_Character_BP_C</v>
      </c>
      <c r="J136" s="10" t="str">
        <f t="shared" si="9"/>
        <v>admincheat GMSummon "AlphaKairuku_Character_BP_C" 120</v>
      </c>
      <c r="K136" s="10" t="s">
        <v>413</v>
      </c>
      <c r="L136" s="10" t="str">
        <f t="shared" si="10"/>
        <v>cheat SpawnDino "Blueprint'/PrimalChaos/1Dinos/2Alpha/Kairuku/AlphaKairuku_Character_BP.AlphaKairuku_Character_BP'" 150 0 0 35</v>
      </c>
      <c r="M136" s="10" t="str">
        <f t="shared" si="11"/>
        <v>NPCReplacements=(FromClassName="AlphaKairuku_Character_BP_C",ToClassName="")</v>
      </c>
      <c r="N136" s="2"/>
    </row>
    <row r="137">
      <c r="B137" s="6"/>
      <c r="C137" s="4">
        <v>49.0</v>
      </c>
      <c r="D137" s="4">
        <f t="shared" si="7"/>
        <v>2</v>
      </c>
      <c r="E137" s="7" t="s">
        <v>414</v>
      </c>
      <c r="F137" s="8" t="s">
        <v>299</v>
      </c>
      <c r="G137" s="8"/>
      <c r="H137" s="8" t="s">
        <v>415</v>
      </c>
      <c r="I137" s="8" t="str">
        <f t="shared" si="8"/>
        <v>cheat summon AlphaKaprosuchus_Character_BP_C</v>
      </c>
      <c r="J137" s="8" t="str">
        <f t="shared" si="9"/>
        <v>admincheat GMSummon "AlphaKaprosuchus_Character_BP_C" 120</v>
      </c>
      <c r="K137" s="8" t="s">
        <v>416</v>
      </c>
      <c r="L137" s="8" t="str">
        <f t="shared" si="10"/>
        <v>cheat SpawnDino "Blueprint'/PrimalChaos/1Dinos/2Alpha/Kaprosuchus/AlphaKaprosuchus_Character_BP.AlphaKaprosuchus_Character_BP'" 150 0 0 35</v>
      </c>
      <c r="M137" s="8" t="str">
        <f t="shared" si="11"/>
        <v>NPCReplacements=(FromClassName="AlphaKaprosuchus_Character_BP_C",ToClassName="")</v>
      </c>
      <c r="N137" s="2"/>
    </row>
    <row r="138">
      <c r="B138" s="6"/>
      <c r="C138" s="4">
        <v>50.0</v>
      </c>
      <c r="D138" s="4">
        <f t="shared" si="7"/>
        <v>2</v>
      </c>
      <c r="E138" s="9" t="s">
        <v>417</v>
      </c>
      <c r="F138" s="10" t="s">
        <v>299</v>
      </c>
      <c r="G138" s="10"/>
      <c r="H138" s="10" t="s">
        <v>418</v>
      </c>
      <c r="I138" s="10" t="str">
        <f t="shared" si="8"/>
        <v>cheat summon AlphaKentro_Character_BP_C</v>
      </c>
      <c r="J138" s="10" t="str">
        <f t="shared" si="9"/>
        <v>admincheat GMSummon "AlphaKentro_Character_BP_C" 120</v>
      </c>
      <c r="K138" s="10" t="s">
        <v>419</v>
      </c>
      <c r="L138" s="10" t="str">
        <f t="shared" si="10"/>
        <v>cheat SpawnDino "Blueprint'/PrimalChaos/1Dinos/2Alpha/Kentro/AlphaKentro_Character_BP.AlphaKentro_Character_BP'" 150 0 0 35</v>
      </c>
      <c r="M138" s="10" t="str">
        <f t="shared" si="11"/>
        <v>NPCReplacements=(FromClassName="AlphaKentro_Character_BP_C",ToClassName="")</v>
      </c>
      <c r="N138" s="2"/>
    </row>
    <row r="139">
      <c r="B139" s="6"/>
      <c r="C139" s="4">
        <v>7.0</v>
      </c>
      <c r="D139" s="4">
        <f t="shared" si="7"/>
        <v>2</v>
      </c>
      <c r="E139" s="7" t="s">
        <v>420</v>
      </c>
      <c r="F139" s="8" t="s">
        <v>299</v>
      </c>
      <c r="G139" s="8"/>
      <c r="H139" s="8" t="s">
        <v>421</v>
      </c>
      <c r="I139" s="8" t="str">
        <f t="shared" si="8"/>
        <v>cheat summon Alpha_Leech_Character_BP_C</v>
      </c>
      <c r="J139" s="8" t="str">
        <f t="shared" si="9"/>
        <v>admincheat GMSummon "Alpha_Leech_Character_BP_C" 120</v>
      </c>
      <c r="K139" s="8" t="s">
        <v>422</v>
      </c>
      <c r="L139" s="8" t="str">
        <f t="shared" si="10"/>
        <v>cheat SpawnDino "Blueprint'/PrimalChaos/1WaterDinos/2Alpha/leech/Alpha_Leech_Character_BP.Alpha_Leech_Character_BP'" 150 0 0 35</v>
      </c>
      <c r="M139" s="8" t="str">
        <f t="shared" si="11"/>
        <v>NPCReplacements=(FromClassName="Alpha_Leech_Character_BP_C",ToClassName="")</v>
      </c>
      <c r="N139" s="2"/>
    </row>
    <row r="140">
      <c r="B140" s="6"/>
      <c r="C140" s="4">
        <v>8.0</v>
      </c>
      <c r="D140" s="4">
        <f t="shared" si="7"/>
        <v>2</v>
      </c>
      <c r="E140" s="9" t="s">
        <v>423</v>
      </c>
      <c r="F140" s="10" t="s">
        <v>299</v>
      </c>
      <c r="G140" s="10"/>
      <c r="H140" s="10" t="s">
        <v>424</v>
      </c>
      <c r="I140" s="10" t="str">
        <f t="shared" si="8"/>
        <v>cheat summon Alpha_Liopleurodon_Character_BP_C</v>
      </c>
      <c r="J140" s="10" t="str">
        <f t="shared" si="9"/>
        <v>admincheat GMSummon "Alpha_Liopleurodon_Character_BP_C" 120</v>
      </c>
      <c r="K140" s="10" t="s">
        <v>425</v>
      </c>
      <c r="L140" s="10" t="str">
        <f t="shared" si="10"/>
        <v>cheat SpawnDino "Blueprint'/PrimalChaos/1WaterDinos/2Alpha/liopleurodon/Alpha_Liopleurodon_Character_BP.Alpha_Liopleurodon_Character_BP'" 150 0 0 35</v>
      </c>
      <c r="M140" s="10" t="str">
        <f t="shared" si="11"/>
        <v>NPCReplacements=(FromClassName="Alpha_Liopleurodon_Character_BP_C",ToClassName="")</v>
      </c>
      <c r="N140" s="2"/>
    </row>
    <row r="141">
      <c r="B141" s="6"/>
      <c r="C141" s="4">
        <v>51.0</v>
      </c>
      <c r="D141" s="4">
        <f t="shared" si="7"/>
        <v>2</v>
      </c>
      <c r="E141" s="7" t="s">
        <v>426</v>
      </c>
      <c r="F141" s="8" t="s">
        <v>299</v>
      </c>
      <c r="G141" s="8"/>
      <c r="H141" s="8" t="s">
        <v>427</v>
      </c>
      <c r="I141" s="8" t="str">
        <f t="shared" si="8"/>
        <v>cheat summon AlphaLystro_Character_BP_C</v>
      </c>
      <c r="J141" s="8" t="str">
        <f t="shared" si="9"/>
        <v>admincheat GMSummon "AlphaLystro_Character_BP_C" 120</v>
      </c>
      <c r="K141" s="8" t="s">
        <v>428</v>
      </c>
      <c r="L141" s="8" t="str">
        <f t="shared" si="10"/>
        <v>cheat SpawnDino "Blueprint'/PrimalChaos/1Dinos/2Alpha/Lystro/AlphaLystro_Character_BP.AlphaLystro_Character_BP'" 150 0 0 35</v>
      </c>
      <c r="M141" s="8" t="str">
        <f t="shared" si="11"/>
        <v>NPCReplacements=(FromClassName="AlphaLystro_Character_BP_C",ToClassName="")</v>
      </c>
      <c r="N141" s="2"/>
    </row>
    <row r="142">
      <c r="B142" s="6"/>
      <c r="C142" s="4">
        <v>52.0</v>
      </c>
      <c r="D142" s="4">
        <f t="shared" si="7"/>
        <v>2</v>
      </c>
      <c r="E142" s="9" t="s">
        <v>429</v>
      </c>
      <c r="F142" s="10" t="s">
        <v>299</v>
      </c>
      <c r="G142" s="10"/>
      <c r="H142" s="10" t="s">
        <v>430</v>
      </c>
      <c r="I142" s="10" t="str">
        <f t="shared" si="8"/>
        <v>cheat summon AlphaMammoth_Character_BP_C</v>
      </c>
      <c r="J142" s="10" t="str">
        <f t="shared" si="9"/>
        <v>admincheat GMSummon "AlphaMammoth_Character_BP_C" 120</v>
      </c>
      <c r="K142" s="10" t="s">
        <v>431</v>
      </c>
      <c r="L142" s="10" t="str">
        <f t="shared" si="10"/>
        <v>cheat SpawnDino "Blueprint'/PrimalChaos/1Dinos/2Alpha/Mammoth/AlphaMammoth_Character_BP.AlphaMammoth_Character_BP'" 150 0 0 35</v>
      </c>
      <c r="M142" s="10" t="str">
        <f t="shared" si="11"/>
        <v>NPCReplacements=(FromClassName="AlphaMammoth_Character_BP_C",ToClassName="")</v>
      </c>
      <c r="N142" s="2"/>
    </row>
    <row r="143">
      <c r="B143" s="6"/>
      <c r="C143" s="4">
        <v>9.0</v>
      </c>
      <c r="D143" s="4">
        <f t="shared" si="7"/>
        <v>2</v>
      </c>
      <c r="E143" s="7" t="s">
        <v>432</v>
      </c>
      <c r="F143" s="8" t="s">
        <v>299</v>
      </c>
      <c r="G143" s="8"/>
      <c r="H143" s="8" t="s">
        <v>433</v>
      </c>
      <c r="I143" s="8" t="str">
        <f t="shared" si="8"/>
        <v>cheat summon Alpha_Manta_Character_BP_C</v>
      </c>
      <c r="J143" s="8" t="str">
        <f t="shared" si="9"/>
        <v>admincheat GMSummon "Alpha_Manta_Character_BP_C" 120</v>
      </c>
      <c r="K143" s="8" t="s">
        <v>434</v>
      </c>
      <c r="L143" s="8" t="str">
        <f t="shared" si="10"/>
        <v>cheat SpawnDino "Blueprint'/PrimalChaos/1WaterDinos/2Alpha/manta/Alpha_Manta_Character_BP.Alpha_Manta_Character_BP'" 150 0 0 35</v>
      </c>
      <c r="M143" s="8" t="str">
        <f t="shared" si="11"/>
        <v>NPCReplacements=(FromClassName="Alpha_Manta_Character_BP_C",ToClassName="")</v>
      </c>
      <c r="N143" s="2"/>
    </row>
    <row r="144">
      <c r="B144" s="6"/>
      <c r="C144" s="4">
        <v>53.0</v>
      </c>
      <c r="D144" s="4">
        <f t="shared" si="7"/>
        <v>2</v>
      </c>
      <c r="E144" s="9" t="s">
        <v>435</v>
      </c>
      <c r="F144" s="10" t="s">
        <v>299</v>
      </c>
      <c r="G144" s="10"/>
      <c r="H144" s="10" t="s">
        <v>436</v>
      </c>
      <c r="I144" s="10" t="str">
        <f t="shared" si="8"/>
        <v>cheat summon AlphaMegalania_Character_BP_C</v>
      </c>
      <c r="J144" s="10" t="str">
        <f t="shared" si="9"/>
        <v>admincheat GMSummon "AlphaMegalania_Character_BP_C" 120</v>
      </c>
      <c r="K144" s="10" t="s">
        <v>437</v>
      </c>
      <c r="L144" s="10" t="str">
        <f t="shared" si="10"/>
        <v>cheat SpawnDino "Blueprint'/PrimalChaos/1Dinos/2Alpha/Megalania/AlphaMegalania_Character_BP.AlphaMegalania_Character_BP'" 150 0 0 35</v>
      </c>
      <c r="M144" s="10" t="str">
        <f t="shared" si="11"/>
        <v>NPCReplacements=(FromClassName="AlphaMegalania_Character_BP_C",ToClassName="")</v>
      </c>
      <c r="N144" s="2"/>
    </row>
    <row r="145">
      <c r="B145" s="6"/>
      <c r="C145" s="4">
        <v>10.0</v>
      </c>
      <c r="D145" s="4">
        <f t="shared" si="7"/>
        <v>2</v>
      </c>
      <c r="E145" s="7" t="s">
        <v>438</v>
      </c>
      <c r="F145" s="8" t="s">
        <v>299</v>
      </c>
      <c r="G145" s="8"/>
      <c r="H145" s="8" t="s">
        <v>439</v>
      </c>
      <c r="I145" s="8" t="str">
        <f t="shared" si="8"/>
        <v>cheat summon Alpha_Megalodon_Character_BP_C</v>
      </c>
      <c r="J145" s="8" t="str">
        <f t="shared" si="9"/>
        <v>admincheat GMSummon "Alpha_Megalodon_Character_BP_C" 120</v>
      </c>
      <c r="K145" s="8" t="s">
        <v>440</v>
      </c>
      <c r="L145" s="8" t="str">
        <f t="shared" si="10"/>
        <v>cheat SpawnDino "Blueprint'/PrimalChaos/1WaterDinos/2Alpha/megalodon/Alpha_Megalodon_Character_BP.Alpha_Megalodon_Character_BP'" 150 0 0 35</v>
      </c>
      <c r="M145" s="8" t="str">
        <f t="shared" si="11"/>
        <v>NPCReplacements=(FromClassName="Alpha_Megalodon_Character_BP_C",ToClassName="")</v>
      </c>
      <c r="N145" s="2"/>
    </row>
    <row r="146">
      <c r="B146" s="6"/>
      <c r="C146" s="4">
        <v>54.0</v>
      </c>
      <c r="D146" s="4">
        <f t="shared" si="7"/>
        <v>2</v>
      </c>
      <c r="E146" s="9" t="s">
        <v>441</v>
      </c>
      <c r="F146" s="10" t="s">
        <v>299</v>
      </c>
      <c r="G146" s="10"/>
      <c r="H146" s="10" t="s">
        <v>442</v>
      </c>
      <c r="I146" s="10" t="str">
        <f t="shared" si="8"/>
        <v>cheat summon AlphaMegalosaurus_Character_BP_C</v>
      </c>
      <c r="J146" s="10" t="str">
        <f t="shared" si="9"/>
        <v>admincheat GMSummon "AlphaMegalosaurus_Character_BP_C" 120</v>
      </c>
      <c r="K146" s="10" t="s">
        <v>443</v>
      </c>
      <c r="L146" s="10" t="str">
        <f t="shared" si="10"/>
        <v>cheat SpawnDino "Blueprint'/PrimalChaos/1Dinos/2Alpha/Megalo/AlphaMegalosaurus_Character_BP.AlphaMegalosaurus_Character_BP'" 150 0 0 35</v>
      </c>
      <c r="M146" s="10" t="str">
        <f t="shared" si="11"/>
        <v>NPCReplacements=(FromClassName="AlphaMegalosaurus_Character_BP_C",ToClassName="")</v>
      </c>
      <c r="N146" s="2"/>
    </row>
    <row r="147">
      <c r="B147" s="6"/>
      <c r="C147" s="4">
        <v>55.0</v>
      </c>
      <c r="D147" s="4">
        <f t="shared" si="7"/>
        <v>2</v>
      </c>
      <c r="E147" s="7" t="s">
        <v>444</v>
      </c>
      <c r="F147" s="8" t="s">
        <v>299</v>
      </c>
      <c r="G147" s="8"/>
      <c r="H147" s="8" t="s">
        <v>445</v>
      </c>
      <c r="I147" s="8" t="str">
        <f t="shared" si="8"/>
        <v>cheat summon AlphaMegatherium_Character_BP_C</v>
      </c>
      <c r="J147" s="8" t="str">
        <f t="shared" si="9"/>
        <v>admincheat GMSummon "AlphaMegatherium_Character_BP_C" 120</v>
      </c>
      <c r="K147" s="8" t="s">
        <v>446</v>
      </c>
      <c r="L147" s="8" t="str">
        <f t="shared" si="10"/>
        <v>cheat SpawnDino "Blueprint'/PrimalChaos/1Dinos/2Alpha/Megatherium/AlphaMegatherium_Character_BP.AlphaMegatherium_Character_BP'" 150 0 0 35</v>
      </c>
      <c r="M147" s="8" t="str">
        <f t="shared" si="11"/>
        <v>NPCReplacements=(FromClassName="AlphaMegatherium_Character_BP_C",ToClassName="")</v>
      </c>
      <c r="N147" s="2"/>
    </row>
    <row r="148">
      <c r="B148" s="6"/>
      <c r="C148" s="4">
        <v>56.0</v>
      </c>
      <c r="D148" s="4">
        <f t="shared" si="7"/>
        <v>2</v>
      </c>
      <c r="E148" s="9" t="s">
        <v>447</v>
      </c>
      <c r="F148" s="10" t="s">
        <v>299</v>
      </c>
      <c r="G148" s="10"/>
      <c r="H148" s="10" t="s">
        <v>448</v>
      </c>
      <c r="I148" s="10" t="str">
        <f t="shared" si="8"/>
        <v>cheat summon AlphaMonkey_Character_BP_C</v>
      </c>
      <c r="J148" s="10" t="str">
        <f t="shared" si="9"/>
        <v>admincheat GMSummon "AlphaMonkey_Character_BP_C" 120</v>
      </c>
      <c r="K148" s="10" t="s">
        <v>449</v>
      </c>
      <c r="L148" s="10" t="str">
        <f t="shared" si="10"/>
        <v>cheat SpawnDino "Blueprint'/PrimalChaos/1Dinos/2Alpha/Monkey/AlphaMonkey_Character_BP.AlphaMonkey_Character_BP'" 150 0 0 35</v>
      </c>
      <c r="M148" s="10" t="str">
        <f t="shared" si="11"/>
        <v>NPCReplacements=(FromClassName="AlphaMonkey_Character_BP_C",ToClassName="")</v>
      </c>
      <c r="N148" s="2"/>
    </row>
    <row r="149">
      <c r="B149" s="6"/>
      <c r="C149" s="4">
        <v>11.0</v>
      </c>
      <c r="D149" s="4">
        <f t="shared" si="7"/>
        <v>2</v>
      </c>
      <c r="E149" s="7" t="s">
        <v>450</v>
      </c>
      <c r="F149" s="8" t="s">
        <v>299</v>
      </c>
      <c r="G149" s="8"/>
      <c r="H149" s="8" t="s">
        <v>451</v>
      </c>
      <c r="I149" s="8" t="str">
        <f t="shared" si="8"/>
        <v>cheat summon Alpha_Mosa_Character_BP_C</v>
      </c>
      <c r="J149" s="8" t="str">
        <f t="shared" si="9"/>
        <v>admincheat GMSummon "Alpha_Mosa_Character_BP_C" 120</v>
      </c>
      <c r="K149" s="8" t="s">
        <v>452</v>
      </c>
      <c r="L149" s="8" t="str">
        <f t="shared" si="10"/>
        <v>cheat SpawnDino "Blueprint'/PrimalChaos/1WaterDinos/2Alpha/mosa/Alpha_Mosa_Character_BP.Alpha_Mosa_Character_BP'" 150 0 0 35</v>
      </c>
      <c r="M149" s="8" t="str">
        <f t="shared" si="11"/>
        <v>NPCReplacements=(FromClassName="Alpha_Mosa_Character_BP_C",ToClassName="")</v>
      </c>
      <c r="N149" s="2"/>
    </row>
    <row r="150">
      <c r="B150" s="6"/>
      <c r="C150" s="4">
        <v>57.0</v>
      </c>
      <c r="D150" s="4">
        <f t="shared" si="7"/>
        <v>2</v>
      </c>
      <c r="E150" s="9" t="s">
        <v>453</v>
      </c>
      <c r="F150" s="10" t="s">
        <v>299</v>
      </c>
      <c r="G150" s="10"/>
      <c r="H150" s="10" t="s">
        <v>454</v>
      </c>
      <c r="I150" s="10" t="str">
        <f t="shared" si="8"/>
        <v>cheat summon AlphaMoschops_Character_BP_C</v>
      </c>
      <c r="J150" s="10" t="str">
        <f t="shared" si="9"/>
        <v>admincheat GMSummon "AlphaMoschops_Character_BP_C" 120</v>
      </c>
      <c r="K150" s="10" t="s">
        <v>455</v>
      </c>
      <c r="L150" s="10" t="str">
        <f t="shared" si="10"/>
        <v>cheat SpawnDino "Blueprint'/PrimalChaos/1Dinos/2Alpha/Moschops/AlphaMoschops_Character_BP.AlphaMoschops_Character_BP'" 150 0 0 35</v>
      </c>
      <c r="M150" s="10" t="str">
        <f t="shared" si="11"/>
        <v>NPCReplacements=(FromClassName="AlphaMoschops_Character_BP_C",ToClassName="")</v>
      </c>
      <c r="N150" s="2"/>
    </row>
    <row r="151">
      <c r="B151" s="6"/>
      <c r="C151" s="4">
        <v>58.0</v>
      </c>
      <c r="D151" s="4">
        <f t="shared" si="7"/>
        <v>2</v>
      </c>
      <c r="E151" s="7" t="s">
        <v>456</v>
      </c>
      <c r="F151" s="8" t="s">
        <v>299</v>
      </c>
      <c r="G151" s="8"/>
      <c r="H151" s="8" t="s">
        <v>457</v>
      </c>
      <c r="I151" s="8" t="str">
        <f t="shared" si="8"/>
        <v>cheat summon AlphaOnyc_Character_BP_C</v>
      </c>
      <c r="J151" s="8" t="str">
        <f t="shared" si="9"/>
        <v>admincheat GMSummon "AlphaOnyc_Character_BP_C" 120</v>
      </c>
      <c r="K151" s="8" t="s">
        <v>458</v>
      </c>
      <c r="L151" s="8" t="str">
        <f t="shared" si="10"/>
        <v>cheat SpawnDino "Blueprint'/PrimalChaos/1Dinos/2Alpha/Onyc/AlphaOnyc_Character_BP.AlphaOnyc_Character_BP'" 150 0 0 35</v>
      </c>
      <c r="M151" s="8" t="str">
        <f t="shared" si="11"/>
        <v>NPCReplacements=(FromClassName="AlphaOnyc_Character_BP_C",ToClassName="")</v>
      </c>
      <c r="N151" s="2"/>
    </row>
    <row r="152">
      <c r="B152" s="6"/>
      <c r="C152" s="4">
        <v>59.0</v>
      </c>
      <c r="D152" s="4">
        <f t="shared" si="7"/>
        <v>2</v>
      </c>
      <c r="E152" s="9" t="s">
        <v>459</v>
      </c>
      <c r="F152" s="10" t="s">
        <v>299</v>
      </c>
      <c r="G152" s="10"/>
      <c r="H152" s="10" t="s">
        <v>460</v>
      </c>
      <c r="I152" s="10" t="str">
        <f t="shared" si="8"/>
        <v>cheat summon AlphaOtter_Character_BP_C</v>
      </c>
      <c r="J152" s="10" t="str">
        <f t="shared" si="9"/>
        <v>admincheat GMSummon "AlphaOtter_Character_BP_C" 120</v>
      </c>
      <c r="K152" s="10" t="s">
        <v>461</v>
      </c>
      <c r="L152" s="10" t="str">
        <f t="shared" si="10"/>
        <v>cheat SpawnDino "Blueprint'/PrimalChaos/1Dinos/2Alpha/Otter/AlphaOtter_Character_BP.AlphaOtter_Character_BP'" 150 0 0 35</v>
      </c>
      <c r="M152" s="10" t="str">
        <f t="shared" si="11"/>
        <v>NPCReplacements=(FromClassName="AlphaOtter_Character_BP_C",ToClassName="")</v>
      </c>
      <c r="N152" s="2"/>
    </row>
    <row r="153">
      <c r="B153" s="6"/>
      <c r="C153" s="4">
        <v>60.0</v>
      </c>
      <c r="D153" s="4">
        <f t="shared" si="7"/>
        <v>2</v>
      </c>
      <c r="E153" s="7" t="s">
        <v>462</v>
      </c>
      <c r="F153" s="8" t="s">
        <v>299</v>
      </c>
      <c r="G153" s="8"/>
      <c r="H153" s="8" t="s">
        <v>463</v>
      </c>
      <c r="I153" s="8" t="str">
        <f t="shared" si="8"/>
        <v>cheat summon AlphaOviraptor_Character_BP_C</v>
      </c>
      <c r="J153" s="8" t="str">
        <f t="shared" si="9"/>
        <v>admincheat GMSummon "AlphaOviraptor_Character_BP_C" 120</v>
      </c>
      <c r="K153" s="8" t="s">
        <v>464</v>
      </c>
      <c r="L153" s="8" t="str">
        <f t="shared" si="10"/>
        <v>cheat SpawnDino "Blueprint'/PrimalChaos/1Dinos/2Alpha/Oviraptor/AlphaOviraptor_Character_BP.AlphaOviraptor_Character_BP'" 150 0 0 35</v>
      </c>
      <c r="M153" s="8" t="str">
        <f t="shared" si="11"/>
        <v>NPCReplacements=(FromClassName="AlphaOviraptor_Character_BP_C",ToClassName="")</v>
      </c>
      <c r="N153" s="2"/>
    </row>
    <row r="154">
      <c r="B154" s="6"/>
      <c r="C154" s="4">
        <v>61.0</v>
      </c>
      <c r="D154" s="4">
        <f t="shared" si="7"/>
        <v>2</v>
      </c>
      <c r="E154" s="9" t="s">
        <v>465</v>
      </c>
      <c r="F154" s="10" t="s">
        <v>299</v>
      </c>
      <c r="G154" s="10"/>
      <c r="H154" s="10" t="s">
        <v>466</v>
      </c>
      <c r="I154" s="10" t="str">
        <f t="shared" si="8"/>
        <v>cheat summon AlphaOvis_Character_BP_C</v>
      </c>
      <c r="J154" s="10" t="str">
        <f t="shared" si="9"/>
        <v>admincheat GMSummon "AlphaOvis_Character_BP_C" 120</v>
      </c>
      <c r="K154" s="10" t="s">
        <v>467</v>
      </c>
      <c r="L154" s="10" t="str">
        <f t="shared" si="10"/>
        <v>cheat SpawnDino "Blueprint'/PrimalChaos/1Dinos/2Alpha/Ovis/AlphaOvis_Character_BP.AlphaOvis_Character_BP'" 150 0 0 35</v>
      </c>
      <c r="M154" s="10" t="str">
        <f t="shared" si="11"/>
        <v>NPCReplacements=(FromClassName="AlphaOvis_Character_BP_C",ToClassName="")</v>
      </c>
      <c r="N154" s="2"/>
    </row>
    <row r="155">
      <c r="B155" s="6"/>
      <c r="C155" s="4">
        <v>62.0</v>
      </c>
      <c r="D155" s="4">
        <f t="shared" si="7"/>
        <v>2</v>
      </c>
      <c r="E155" s="7" t="s">
        <v>468</v>
      </c>
      <c r="F155" s="8" t="s">
        <v>299</v>
      </c>
      <c r="G155" s="8"/>
      <c r="H155" s="8" t="s">
        <v>469</v>
      </c>
      <c r="I155" s="8" t="str">
        <f t="shared" si="8"/>
        <v>cheat summon AlphaPachy_Character_BP_C</v>
      </c>
      <c r="J155" s="8" t="str">
        <f t="shared" si="9"/>
        <v>admincheat GMSummon "AlphaPachy_Character_BP_C" 120</v>
      </c>
      <c r="K155" s="8" t="s">
        <v>470</v>
      </c>
      <c r="L155" s="8" t="str">
        <f t="shared" si="10"/>
        <v>cheat SpawnDino "Blueprint'/PrimalChaos/1Dinos/2Alpha/Pachy/AlphaPachy_Character_BP.AlphaPachy_Character_BP'" 150 0 0 35</v>
      </c>
      <c r="M155" s="8" t="str">
        <f t="shared" si="11"/>
        <v>NPCReplacements=(FromClassName="AlphaPachy_Character_BP_C",ToClassName="")</v>
      </c>
      <c r="N155" s="2"/>
    </row>
    <row r="156">
      <c r="B156" s="6"/>
      <c r="C156" s="4">
        <v>63.0</v>
      </c>
      <c r="D156" s="4">
        <f t="shared" si="7"/>
        <v>2</v>
      </c>
      <c r="E156" s="9" t="s">
        <v>471</v>
      </c>
      <c r="F156" s="10" t="s">
        <v>299</v>
      </c>
      <c r="G156" s="10"/>
      <c r="H156" s="10" t="s">
        <v>472</v>
      </c>
      <c r="I156" s="10" t="str">
        <f t="shared" si="8"/>
        <v>cheat summon AlphaPachyrhino_Character_BP_C</v>
      </c>
      <c r="J156" s="10" t="str">
        <f t="shared" si="9"/>
        <v>admincheat GMSummon "AlphaPachyrhino_Character_BP_C" 120</v>
      </c>
      <c r="K156" s="10" t="s">
        <v>473</v>
      </c>
      <c r="L156" s="10" t="str">
        <f t="shared" si="10"/>
        <v>cheat SpawnDino "Blueprint'/PrimalChaos/1Dinos/2Alpha/Pachyrhino/AlphaPachyrhino_Character_BP.AlphaPachyrhino_Character_BP'" 150 0 0 35</v>
      </c>
      <c r="M156" s="10" t="str">
        <f t="shared" si="11"/>
        <v>NPCReplacements=(FromClassName="AlphaPachyrhino_Character_BP_C",ToClassName="")</v>
      </c>
      <c r="N156" s="2"/>
    </row>
    <row r="157">
      <c r="B157" s="6"/>
      <c r="C157" s="4">
        <v>64.0</v>
      </c>
      <c r="D157" s="4">
        <f t="shared" si="7"/>
        <v>2</v>
      </c>
      <c r="E157" s="7" t="s">
        <v>474</v>
      </c>
      <c r="F157" s="8" t="s">
        <v>299</v>
      </c>
      <c r="G157" s="8"/>
      <c r="H157" s="8" t="s">
        <v>475</v>
      </c>
      <c r="I157" s="8" t="str">
        <f t="shared" si="8"/>
        <v>cheat summon AlphaPara_Character_BP_C</v>
      </c>
      <c r="J157" s="8" t="str">
        <f t="shared" si="9"/>
        <v>admincheat GMSummon "AlphaPara_Character_BP_C" 120</v>
      </c>
      <c r="K157" s="8" t="s">
        <v>476</v>
      </c>
      <c r="L157" s="8" t="str">
        <f t="shared" si="10"/>
        <v>cheat SpawnDino "Blueprint'/PrimalChaos/1Dinos/2Alpha/Parasaur/AlphaPara_Character_BP.AlphaPara_Character_BP'" 150 0 0 35</v>
      </c>
      <c r="M157" s="8" t="str">
        <f t="shared" si="11"/>
        <v>NPCReplacements=(FromClassName="AlphaPara_Character_BP_C",ToClassName="")</v>
      </c>
      <c r="N157" s="2"/>
    </row>
    <row r="158">
      <c r="B158" s="6"/>
      <c r="C158" s="4">
        <v>65.0</v>
      </c>
      <c r="D158" s="4">
        <f t="shared" si="7"/>
        <v>2</v>
      </c>
      <c r="E158" s="9" t="s">
        <v>477</v>
      </c>
      <c r="F158" s="10" t="s">
        <v>299</v>
      </c>
      <c r="G158" s="10"/>
      <c r="H158" s="10" t="s">
        <v>478</v>
      </c>
      <c r="I158" s="10" t="str">
        <f t="shared" si="8"/>
        <v>cheat summon AlphaParacer_Character_BP_C</v>
      </c>
      <c r="J158" s="10" t="str">
        <f t="shared" si="9"/>
        <v>admincheat GMSummon "AlphaParacer_Character_BP_C" 120</v>
      </c>
      <c r="K158" s="10" t="s">
        <v>479</v>
      </c>
      <c r="L158" s="10" t="str">
        <f t="shared" si="10"/>
        <v>cheat SpawnDino "Blueprint'/PrimalChaos/1Dinos/2Alpha/Paraceratherium/AlphaParacer_Character_BP.AlphaParacer_Character_BP'" 150 0 0 35</v>
      </c>
      <c r="M158" s="10" t="str">
        <f t="shared" si="11"/>
        <v>NPCReplacements=(FromClassName="AlphaParacer_Character_BP_C",ToClassName="")</v>
      </c>
      <c r="N158" s="2"/>
    </row>
    <row r="159">
      <c r="B159" s="6"/>
      <c r="C159" s="4">
        <v>66.0</v>
      </c>
      <c r="D159" s="4">
        <f t="shared" si="7"/>
        <v>2</v>
      </c>
      <c r="E159" s="7" t="s">
        <v>480</v>
      </c>
      <c r="F159" s="8" t="s">
        <v>299</v>
      </c>
      <c r="G159" s="8"/>
      <c r="H159" s="8" t="s">
        <v>481</v>
      </c>
      <c r="I159" s="8" t="str">
        <f t="shared" si="8"/>
        <v>cheat summon AlphaPegomastax_Character_BP_C</v>
      </c>
      <c r="J159" s="8" t="str">
        <f t="shared" si="9"/>
        <v>admincheat GMSummon "AlphaPegomastax_Character_BP_C" 120</v>
      </c>
      <c r="K159" s="8" t="s">
        <v>482</v>
      </c>
      <c r="L159" s="8" t="str">
        <f t="shared" si="10"/>
        <v>cheat SpawnDino "Blueprint'/PrimalChaos/1Dinos/2Alpha/Pegomastax/AlphaPegomastax_Character_BP.AlphaPegomastax_Character_BP'" 150 0 0 35</v>
      </c>
      <c r="M159" s="8" t="str">
        <f t="shared" si="11"/>
        <v>NPCReplacements=(FromClassName="AlphaPegomastax_Character_BP_C",ToClassName="")</v>
      </c>
      <c r="N159" s="2"/>
    </row>
    <row r="160">
      <c r="B160" s="6"/>
      <c r="C160" s="4">
        <v>67.0</v>
      </c>
      <c r="D160" s="4">
        <f t="shared" si="7"/>
        <v>2</v>
      </c>
      <c r="E160" s="9" t="s">
        <v>483</v>
      </c>
      <c r="F160" s="10" t="s">
        <v>299</v>
      </c>
      <c r="G160" s="10"/>
      <c r="H160" s="10" t="s">
        <v>484</v>
      </c>
      <c r="I160" s="10" t="str">
        <f t="shared" si="8"/>
        <v>cheat summon AlphaPela_Character_BP_C</v>
      </c>
      <c r="J160" s="10" t="str">
        <f t="shared" si="9"/>
        <v>admincheat GMSummon "AlphaPela_Character_BP_C" 120</v>
      </c>
      <c r="K160" s="10" t="s">
        <v>485</v>
      </c>
      <c r="L160" s="10" t="str">
        <f t="shared" si="10"/>
        <v>cheat SpawnDino "Blueprint'/PrimalChaos/1Dinos/2Alpha/Pelagornis/AlphaPela_Character_BP.AlphaPela_Character_BP'" 150 0 0 35</v>
      </c>
      <c r="M160" s="10" t="str">
        <f t="shared" si="11"/>
        <v>NPCReplacements=(FromClassName="AlphaPela_Character_BP_C",ToClassName="")</v>
      </c>
      <c r="N160" s="2"/>
    </row>
    <row r="161">
      <c r="B161" s="6"/>
      <c r="C161" s="4">
        <v>68.0</v>
      </c>
      <c r="D161" s="4">
        <f t="shared" si="7"/>
        <v>2</v>
      </c>
      <c r="E161" s="7" t="s">
        <v>486</v>
      </c>
      <c r="F161" s="8" t="s">
        <v>299</v>
      </c>
      <c r="G161" s="8"/>
      <c r="H161" s="8" t="s">
        <v>487</v>
      </c>
      <c r="I161" s="8" t="str">
        <f t="shared" si="8"/>
        <v>cheat summon AlphaPhiomia_Character_BP_C</v>
      </c>
      <c r="J161" s="8" t="str">
        <f t="shared" si="9"/>
        <v>admincheat GMSummon "AlphaPhiomia_Character_BP_C" 120</v>
      </c>
      <c r="K161" s="8" t="s">
        <v>488</v>
      </c>
      <c r="L161" s="8" t="str">
        <f t="shared" si="10"/>
        <v>cheat SpawnDino "Blueprint'/PrimalChaos/1Dinos/2Alpha/Phiomia/AlphaPhiomia_Character_BP.AlphaPhiomia_Character_BP'" 150 0 0 35</v>
      </c>
      <c r="M161" s="8" t="str">
        <f t="shared" si="11"/>
        <v>NPCReplacements=(FromClassName="AlphaPhiomia_Character_BP_C",ToClassName="")</v>
      </c>
      <c r="N161" s="2"/>
    </row>
    <row r="162">
      <c r="B162" s="6"/>
      <c r="C162" s="4">
        <v>12.0</v>
      </c>
      <c r="D162" s="4">
        <f t="shared" si="7"/>
        <v>2</v>
      </c>
      <c r="E162" s="9" t="s">
        <v>489</v>
      </c>
      <c r="F162" s="10" t="s">
        <v>299</v>
      </c>
      <c r="G162" s="10"/>
      <c r="H162" s="10" t="s">
        <v>490</v>
      </c>
      <c r="I162" s="10" t="str">
        <f t="shared" si="8"/>
        <v>cheat summon Alpha_Piranha_Character_BP_C</v>
      </c>
      <c r="J162" s="10" t="str">
        <f t="shared" si="9"/>
        <v>admincheat GMSummon "Alpha_Piranha_Character_BP_C" 120</v>
      </c>
      <c r="K162" s="10" t="s">
        <v>491</v>
      </c>
      <c r="L162" s="10" t="str">
        <f t="shared" si="10"/>
        <v>cheat SpawnDino "Blueprint'/PrimalChaos/1WaterDinos/2Alpha/piranha/Alpha_Piranha_Character_BP.Alpha_Piranha_Character_BP'" 150 0 0 35</v>
      </c>
      <c r="M162" s="10" t="str">
        <f t="shared" si="11"/>
        <v>NPCReplacements=(FromClassName="Alpha_Piranha_Character_BP_C",ToClassName="")</v>
      </c>
      <c r="N162" s="2"/>
    </row>
    <row r="163">
      <c r="B163" s="6"/>
      <c r="C163" s="4">
        <v>13.0</v>
      </c>
      <c r="D163" s="4">
        <f t="shared" si="7"/>
        <v>2</v>
      </c>
      <c r="E163" s="7" t="s">
        <v>492</v>
      </c>
      <c r="F163" s="8" t="s">
        <v>299</v>
      </c>
      <c r="G163" s="8"/>
      <c r="H163" s="8" t="s">
        <v>493</v>
      </c>
      <c r="I163" s="8" t="str">
        <f t="shared" si="8"/>
        <v>cheat summon Alpha_Plesiosaur_Character_BP_C</v>
      </c>
      <c r="J163" s="8" t="str">
        <f t="shared" si="9"/>
        <v>admincheat GMSummon "Alpha_Plesiosaur_Character_BP_C" 120</v>
      </c>
      <c r="K163" s="8" t="s">
        <v>494</v>
      </c>
      <c r="L163" s="8" t="str">
        <f t="shared" si="10"/>
        <v>cheat SpawnDino "Blueprint'/PrimalChaos/1WaterDinos/2Alpha/plesio/Alpha_Plesiosaur_Character_BP.Alpha_Plesiosaur_Character_BP'" 150 0 0 35</v>
      </c>
      <c r="M163" s="8" t="str">
        <f t="shared" si="11"/>
        <v>NPCReplacements=(FromClassName="Alpha_Plesiosaur_Character_BP_C",ToClassName="")</v>
      </c>
      <c r="N163" s="2"/>
    </row>
    <row r="164">
      <c r="B164" s="6"/>
      <c r="C164" s="4">
        <v>69.0</v>
      </c>
      <c r="D164" s="4">
        <f t="shared" si="7"/>
        <v>2</v>
      </c>
      <c r="E164" s="9" t="s">
        <v>495</v>
      </c>
      <c r="F164" s="10" t="s">
        <v>299</v>
      </c>
      <c r="G164" s="10"/>
      <c r="H164" s="10" t="s">
        <v>496</v>
      </c>
      <c r="I164" s="10" t="str">
        <f t="shared" si="8"/>
        <v>cheat summon AlphaProcoptodon_Character_BP_C</v>
      </c>
      <c r="J164" s="10" t="str">
        <f t="shared" si="9"/>
        <v>admincheat GMSummon "AlphaProcoptodon_Character_BP_C" 120</v>
      </c>
      <c r="K164" s="10" t="s">
        <v>497</v>
      </c>
      <c r="L164" s="10" t="str">
        <f t="shared" si="10"/>
        <v>cheat SpawnDino "Blueprint'/PrimalChaos/1Dinos/2Alpha/Procoptodon/AlphaProcoptodon_Character_BP.AlphaProcoptodon_Character_BP'" 150 0 0 35</v>
      </c>
      <c r="M164" s="10" t="str">
        <f t="shared" si="11"/>
        <v>NPCReplacements=(FromClassName="AlphaProcoptodon_Character_BP_C",ToClassName="")</v>
      </c>
      <c r="N164" s="2"/>
    </row>
    <row r="165">
      <c r="B165" s="6"/>
      <c r="C165" s="4">
        <v>70.0</v>
      </c>
      <c r="D165" s="4">
        <f t="shared" si="7"/>
        <v>2</v>
      </c>
      <c r="E165" s="7" t="s">
        <v>498</v>
      </c>
      <c r="F165" s="8" t="s">
        <v>299</v>
      </c>
      <c r="G165" s="8"/>
      <c r="H165" s="8" t="s">
        <v>499</v>
      </c>
      <c r="I165" s="8" t="str">
        <f t="shared" si="8"/>
        <v>cheat summon AlphaPtero_Character_BP_C</v>
      </c>
      <c r="J165" s="8" t="str">
        <f t="shared" si="9"/>
        <v>admincheat GMSummon "AlphaPtero_Character_BP_C" 120</v>
      </c>
      <c r="K165" s="8" t="s">
        <v>500</v>
      </c>
      <c r="L165" s="8" t="str">
        <f t="shared" si="10"/>
        <v>cheat SpawnDino "Blueprint'/PrimalChaos/1Dinos/2Alpha/Ptera/AlphaPtero_Character_BP.AlphaPtero_Character_BP'" 150 0 0 35</v>
      </c>
      <c r="M165" s="8" t="str">
        <f t="shared" si="11"/>
        <v>NPCReplacements=(FromClassName="AlphaPtero_Character_BP_C",ToClassName="")</v>
      </c>
      <c r="N165" s="2"/>
    </row>
    <row r="166">
      <c r="B166" s="6"/>
      <c r="C166" s="4">
        <v>71.0</v>
      </c>
      <c r="D166" s="4">
        <f t="shared" si="7"/>
        <v>2</v>
      </c>
      <c r="E166" s="9" t="s">
        <v>501</v>
      </c>
      <c r="F166" s="10" t="s">
        <v>299</v>
      </c>
      <c r="G166" s="10"/>
      <c r="H166" s="10" t="s">
        <v>502</v>
      </c>
      <c r="I166" s="10" t="str">
        <f t="shared" si="8"/>
        <v>cheat summon AlphaPurlovia_Character_BP_C</v>
      </c>
      <c r="J166" s="10" t="str">
        <f t="shared" si="9"/>
        <v>admincheat GMSummon "AlphaPurlovia_Character_BP_C" 120</v>
      </c>
      <c r="K166" s="10" t="s">
        <v>503</v>
      </c>
      <c r="L166" s="10" t="str">
        <f t="shared" si="10"/>
        <v>cheat SpawnDino "Blueprint'/PrimalChaos/1Dinos/2Alpha/Purlovia/AlphaPurlovia_Character_BP.AlphaPurlovia_Character_BP'" 150 0 0 35</v>
      </c>
      <c r="M166" s="10" t="str">
        <f t="shared" si="11"/>
        <v>NPCReplacements=(FromClassName="AlphaPurlovia_Character_BP_C",ToClassName="")</v>
      </c>
      <c r="N166" s="2"/>
    </row>
    <row r="167">
      <c r="B167" s="6"/>
      <c r="C167" s="4">
        <v>72.0</v>
      </c>
      <c r="D167" s="4">
        <f t="shared" si="7"/>
        <v>2</v>
      </c>
      <c r="E167" s="7" t="s">
        <v>504</v>
      </c>
      <c r="F167" s="8" t="s">
        <v>299</v>
      </c>
      <c r="G167" s="8"/>
      <c r="H167" s="8" t="s">
        <v>505</v>
      </c>
      <c r="I167" s="8" t="str">
        <f t="shared" si="8"/>
        <v>cheat summon AlphaQuetz_Character_BP_C</v>
      </c>
      <c r="J167" s="8" t="str">
        <f t="shared" si="9"/>
        <v>admincheat GMSummon "AlphaQuetz_Character_BP_C" 120</v>
      </c>
      <c r="K167" s="8" t="s">
        <v>506</v>
      </c>
      <c r="L167" s="8" t="str">
        <f t="shared" si="10"/>
        <v>cheat SpawnDino "Blueprint'/PrimalChaos/1Dinos/2Alpha/Quetzal/AlphaQuetz_Character_BP.AlphaQuetz_Character_BP'" 150 0 0 35</v>
      </c>
      <c r="M167" s="8" t="str">
        <f t="shared" si="11"/>
        <v>NPCReplacements=(FromClassName="AlphaQuetz_Character_BP_C",ToClassName="")</v>
      </c>
      <c r="N167" s="2"/>
    </row>
    <row r="168">
      <c r="B168" s="6"/>
      <c r="C168" s="4">
        <v>73.0</v>
      </c>
      <c r="D168" s="4">
        <f t="shared" si="7"/>
        <v>2</v>
      </c>
      <c r="E168" s="9" t="s">
        <v>507</v>
      </c>
      <c r="F168" s="10" t="s">
        <v>299</v>
      </c>
      <c r="G168" s="10"/>
      <c r="H168" s="10" t="s">
        <v>508</v>
      </c>
      <c r="I168" s="10" t="str">
        <f t="shared" si="8"/>
        <v>cheat summon AlphaRaptor_Character_BP_C</v>
      </c>
      <c r="J168" s="10" t="str">
        <f t="shared" si="9"/>
        <v>admincheat GMSummon "AlphaRaptor_Character_BP_C" 120</v>
      </c>
      <c r="K168" s="10" t="s">
        <v>509</v>
      </c>
      <c r="L168" s="10" t="str">
        <f t="shared" si="10"/>
        <v>cheat SpawnDino "Blueprint'/PrimalChaos/1Dinos/2Alpha/Raptor/AlphaRaptor_Character_BP.AlphaRaptor_Character_BP'" 150 0 0 35</v>
      </c>
      <c r="M168" s="10" t="str">
        <f t="shared" si="11"/>
        <v>NPCReplacements=(FromClassName="AlphaRaptor_Character_BP_C",ToClassName="")</v>
      </c>
      <c r="N168" s="2"/>
    </row>
    <row r="169">
      <c r="B169" s="6"/>
      <c r="C169" s="4">
        <v>74.0</v>
      </c>
      <c r="D169" s="4">
        <f t="shared" si="7"/>
        <v>2</v>
      </c>
      <c r="E169" s="7" t="s">
        <v>510</v>
      </c>
      <c r="F169" s="8" t="s">
        <v>299</v>
      </c>
      <c r="G169" s="8"/>
      <c r="H169" s="8" t="s">
        <v>511</v>
      </c>
      <c r="I169" s="8" t="str">
        <f t="shared" si="8"/>
        <v>cheat summon AlphaRex_Character_BP_C</v>
      </c>
      <c r="J169" s="8" t="str">
        <f t="shared" si="9"/>
        <v>admincheat GMSummon "AlphaRex_Character_BP_C" 120</v>
      </c>
      <c r="K169" s="8" t="s">
        <v>512</v>
      </c>
      <c r="L169" s="8" t="str">
        <f t="shared" si="10"/>
        <v>cheat SpawnDino "Blueprint'/PrimalChaos/1Dinos/2Alpha/Rex/AlphaRex_Character_BP.AlphaRex_Character_BP'" 150 0 0 35</v>
      </c>
      <c r="M169" s="8" t="str">
        <f t="shared" si="11"/>
        <v>NPCReplacements=(FromClassName="AlphaRex_Character_BP_C",ToClassName="")</v>
      </c>
      <c r="N169" s="2"/>
    </row>
    <row r="170">
      <c r="B170" s="6"/>
      <c r="C170" s="4">
        <v>75.0</v>
      </c>
      <c r="D170" s="4">
        <f t="shared" si="7"/>
        <v>2</v>
      </c>
      <c r="E170" s="9" t="s">
        <v>513</v>
      </c>
      <c r="F170" s="10" t="s">
        <v>299</v>
      </c>
      <c r="G170" s="10"/>
      <c r="H170" s="10" t="s">
        <v>514</v>
      </c>
      <c r="I170" s="10" t="str">
        <f t="shared" si="8"/>
        <v>cheat summon AlphaRhino_Character_BP_C</v>
      </c>
      <c r="J170" s="10" t="str">
        <f t="shared" si="9"/>
        <v>admincheat GMSummon "AlphaRhino_Character_BP_C" 120</v>
      </c>
      <c r="K170" s="10" t="s">
        <v>515</v>
      </c>
      <c r="L170" s="10" t="str">
        <f t="shared" si="10"/>
        <v>cheat SpawnDino "Blueprint'/PrimalChaos/1Dinos/2Alpha/WoollyRhino/AlphaRhino_Character_BP.AlphaRhino_Character_BP'" 150 0 0 35</v>
      </c>
      <c r="M170" s="10" t="str">
        <f t="shared" si="11"/>
        <v>NPCReplacements=(FromClassName="AlphaRhino_Character_BP_C",ToClassName="")</v>
      </c>
      <c r="N170" s="2"/>
    </row>
    <row r="171">
      <c r="B171" s="6"/>
      <c r="C171" s="4">
        <v>76.0</v>
      </c>
      <c r="D171" s="4">
        <f t="shared" si="7"/>
        <v>2</v>
      </c>
      <c r="E171" s="7" t="s">
        <v>516</v>
      </c>
      <c r="F171" s="8" t="s">
        <v>299</v>
      </c>
      <c r="G171" s="18"/>
      <c r="H171" s="8" t="s">
        <v>517</v>
      </c>
      <c r="I171" s="8" t="str">
        <f t="shared" si="8"/>
        <v>cheat summon AlphaRhynio_Character_BP_C</v>
      </c>
      <c r="J171" s="8" t="str">
        <f t="shared" si="9"/>
        <v>admincheat GMSummon "AlphaRhynio_Character_BP_C" 120</v>
      </c>
      <c r="K171" s="8" t="s">
        <v>518</v>
      </c>
      <c r="L171" s="8" t="str">
        <f t="shared" si="10"/>
        <v>cheat SpawnDino "Blueprint'/PrimalChaos/1Dinos/2Alpha/Rhynio/AlphaRhynio_Character_BP.AlphaRhynio_Character_BP'" 150 0 0 35</v>
      </c>
      <c r="M171" s="8" t="str">
        <f t="shared" si="11"/>
        <v>NPCReplacements=(FromClassName="AlphaRhynio_Character_BP_C",ToClassName="")</v>
      </c>
      <c r="N171" s="2"/>
    </row>
    <row r="172">
      <c r="B172" s="6"/>
      <c r="C172" s="4">
        <v>77.0</v>
      </c>
      <c r="D172" s="4">
        <f t="shared" si="7"/>
        <v>2</v>
      </c>
      <c r="E172" s="9" t="s">
        <v>519</v>
      </c>
      <c r="F172" s="10" t="s">
        <v>299</v>
      </c>
      <c r="G172" s="10"/>
      <c r="H172" s="10" t="s">
        <v>520</v>
      </c>
      <c r="I172" s="10" t="str">
        <f t="shared" si="8"/>
        <v>cheat summon AlphaSaber_Character_BP_C</v>
      </c>
      <c r="J172" s="10" t="str">
        <f t="shared" si="9"/>
        <v>admincheat GMSummon "AlphaSaber_Character_BP_C" 120</v>
      </c>
      <c r="K172" s="10" t="s">
        <v>521</v>
      </c>
      <c r="L172" s="10" t="str">
        <f t="shared" si="10"/>
        <v>cheat SpawnDino "Blueprint'/PrimalChaos/1Dinos/2Alpha/Sabertooth/AlphaSaber_Character_BP.AlphaSaber_Character_BP'" 150 0 0 35</v>
      </c>
      <c r="M172" s="10" t="str">
        <f t="shared" si="11"/>
        <v>NPCReplacements=(FromClassName="AlphaSaber_Character_BP_C",ToClassName="")</v>
      </c>
      <c r="N172" s="2"/>
    </row>
    <row r="173">
      <c r="B173" s="6"/>
      <c r="C173" s="4">
        <v>78.0</v>
      </c>
      <c r="D173" s="4">
        <f t="shared" si="7"/>
        <v>2</v>
      </c>
      <c r="E173" s="7" t="s">
        <v>522</v>
      </c>
      <c r="F173" s="8" t="s">
        <v>299</v>
      </c>
      <c r="G173" s="8"/>
      <c r="H173" s="8" t="s">
        <v>523</v>
      </c>
      <c r="I173" s="8" t="str">
        <f t="shared" si="8"/>
        <v>cheat summon AlphaSarco_Character_BP_C</v>
      </c>
      <c r="J173" s="8" t="str">
        <f t="shared" si="9"/>
        <v>admincheat GMSummon "AlphaSarco_Character_BP_C" 120</v>
      </c>
      <c r="K173" s="8" t="s">
        <v>524</v>
      </c>
      <c r="L173" s="8" t="str">
        <f t="shared" si="10"/>
        <v>cheat SpawnDino "Blueprint'/PrimalChaos/1Dinos/2Alpha/Sarco/AlphaSarco_Character_BP.AlphaSarco_Character_BP'" 150 0 0 35</v>
      </c>
      <c r="M173" s="8" t="str">
        <f t="shared" si="11"/>
        <v>NPCReplacements=(FromClassName="AlphaSarco_Character_BP_C",ToClassName="")</v>
      </c>
      <c r="N173" s="2"/>
    </row>
    <row r="174">
      <c r="B174" s="6"/>
      <c r="C174" s="4">
        <v>79.0</v>
      </c>
      <c r="D174" s="4">
        <f t="shared" si="7"/>
        <v>2</v>
      </c>
      <c r="E174" s="9" t="s">
        <v>525</v>
      </c>
      <c r="F174" s="10" t="s">
        <v>299</v>
      </c>
      <c r="G174" s="10"/>
      <c r="H174" s="10" t="s">
        <v>526</v>
      </c>
      <c r="I174" s="10" t="str">
        <f t="shared" si="8"/>
        <v>cheat summon AlphaSauropod_Character_BP_C</v>
      </c>
      <c r="J174" s="10" t="str">
        <f t="shared" si="9"/>
        <v>admincheat GMSummon "AlphaSauropod_Character_BP_C" 120</v>
      </c>
      <c r="K174" s="10" t="s">
        <v>527</v>
      </c>
      <c r="L174" s="10" t="str">
        <f t="shared" si="10"/>
        <v>cheat SpawnDino "Blueprint'/PrimalChaos/1Dinos/2Alpha/Brontosaurus/AlphaSauropod_Character_BP.AlphaSauropod_Character_BP'" 150 0 0 35</v>
      </c>
      <c r="M174" s="10" t="str">
        <f t="shared" si="11"/>
        <v>NPCReplacements=(FromClassName="AlphaSauropod_Character_BP_C",ToClassName="")</v>
      </c>
      <c r="N174" s="2"/>
    </row>
    <row r="175">
      <c r="B175" s="6"/>
      <c r="C175" s="4">
        <v>80.0</v>
      </c>
      <c r="D175" s="4">
        <f t="shared" si="7"/>
        <v>2</v>
      </c>
      <c r="E175" s="7" t="s">
        <v>528</v>
      </c>
      <c r="F175" s="8" t="s">
        <v>299</v>
      </c>
      <c r="G175" s="8"/>
      <c r="H175" s="8" t="s">
        <v>529</v>
      </c>
      <c r="I175" s="8" t="str">
        <f t="shared" si="8"/>
        <v>cheat summon AlphaScorpion_Character_BP_C</v>
      </c>
      <c r="J175" s="8" t="str">
        <f t="shared" si="9"/>
        <v>admincheat GMSummon "AlphaScorpion_Character_BP_C" 120</v>
      </c>
      <c r="K175" s="8" t="s">
        <v>530</v>
      </c>
      <c r="L175" s="8" t="str">
        <f t="shared" si="10"/>
        <v>cheat SpawnDino "Blueprint'/PrimalChaos/1Dinos/2Alpha/Pulmonoscorpius/AlphaScorpion_Character_BP.AlphaScorpion_Character_BP'" 150 0 0 35</v>
      </c>
      <c r="M175" s="8" t="str">
        <f t="shared" si="11"/>
        <v>NPCReplacements=(FromClassName="AlphaScorpion_Character_BP_C",ToClassName="")</v>
      </c>
      <c r="N175" s="2"/>
    </row>
    <row r="176">
      <c r="B176" s="6"/>
      <c r="C176" s="4">
        <v>81.0</v>
      </c>
      <c r="D176" s="4">
        <f t="shared" si="7"/>
        <v>2</v>
      </c>
      <c r="E176" s="9" t="s">
        <v>531</v>
      </c>
      <c r="F176" s="10" t="s">
        <v>299</v>
      </c>
      <c r="G176" s="10"/>
      <c r="H176" s="10" t="s">
        <v>532</v>
      </c>
      <c r="I176" s="10" t="str">
        <f t="shared" si="8"/>
        <v>cheat summon AlphaSpider_Character_BP_C</v>
      </c>
      <c r="J176" s="10" t="str">
        <f t="shared" si="9"/>
        <v>admincheat GMSummon "AlphaSpider_Character_BP_C" 120</v>
      </c>
      <c r="K176" s="10" t="s">
        <v>533</v>
      </c>
      <c r="L176" s="10" t="str">
        <f t="shared" si="10"/>
        <v>cheat SpawnDino "Blueprint'/PrimalChaos/1Dinos/2Alpha/Araneo/AlphaSpider_Character_BP.AlphaSpider_Character_BP'" 150 0 0 35</v>
      </c>
      <c r="M176" s="10" t="str">
        <f t="shared" si="11"/>
        <v>NPCReplacements=(FromClassName="AlphaSpider_Character_BP_C",ToClassName="")</v>
      </c>
      <c r="N176" s="2"/>
    </row>
    <row r="177">
      <c r="B177" s="6"/>
      <c r="C177" s="4">
        <v>82.0</v>
      </c>
      <c r="D177" s="4">
        <f t="shared" si="7"/>
        <v>2</v>
      </c>
      <c r="E177" s="7" t="s">
        <v>534</v>
      </c>
      <c r="F177" s="8" t="s">
        <v>299</v>
      </c>
      <c r="G177" s="8"/>
      <c r="H177" s="8" t="s">
        <v>535</v>
      </c>
      <c r="I177" s="8" t="str">
        <f t="shared" si="8"/>
        <v>cheat summon AlphaSpino_Character_BP_C</v>
      </c>
      <c r="J177" s="8" t="str">
        <f t="shared" si="9"/>
        <v>admincheat GMSummon "AlphaSpino_Character_BP_C" 120</v>
      </c>
      <c r="K177" s="8" t="s">
        <v>536</v>
      </c>
      <c r="L177" s="8" t="str">
        <f t="shared" si="10"/>
        <v>cheat SpawnDino "Blueprint'/PrimalChaos/1Dinos/2Alpha/Spinosaurus/AlphaSpino_Character_BP.AlphaSpino_Character_BP'" 150 0 0 35</v>
      </c>
      <c r="M177" s="8" t="str">
        <f t="shared" si="11"/>
        <v>NPCReplacements=(FromClassName="AlphaSpino_Character_BP_C",ToClassName="")</v>
      </c>
      <c r="N177" s="2"/>
    </row>
    <row r="178">
      <c r="B178" s="6"/>
      <c r="C178" s="4">
        <v>83.0</v>
      </c>
      <c r="D178" s="4">
        <f t="shared" si="7"/>
        <v>2</v>
      </c>
      <c r="E178" s="9" t="s">
        <v>537</v>
      </c>
      <c r="F178" s="10" t="s">
        <v>299</v>
      </c>
      <c r="G178" s="10"/>
      <c r="H178" s="10" t="s">
        <v>538</v>
      </c>
      <c r="I178" s="10" t="str">
        <f t="shared" si="8"/>
        <v>cheat summon AlphaStag_Character_BP_C</v>
      </c>
      <c r="J178" s="10" t="str">
        <f t="shared" si="9"/>
        <v>admincheat GMSummon "AlphaStag_Character_BP_C" 120</v>
      </c>
      <c r="K178" s="10" t="s">
        <v>539</v>
      </c>
      <c r="L178" s="10" t="str">
        <f t="shared" si="10"/>
        <v>cheat SpawnDino "Blueprint'/PrimalChaos/1Dinos/2Alpha/Megaloceros/AlphaStag_Character_BP.AlphaStag_Character_BP'" 150 0 0 35</v>
      </c>
      <c r="M178" s="10" t="str">
        <f t="shared" si="11"/>
        <v>NPCReplacements=(FromClassName="AlphaStag_Character_BP_C",ToClassName="")</v>
      </c>
      <c r="N178" s="2"/>
    </row>
    <row r="179">
      <c r="B179" s="6"/>
      <c r="C179" s="4">
        <v>84.0</v>
      </c>
      <c r="D179" s="4">
        <f t="shared" si="7"/>
        <v>2</v>
      </c>
      <c r="E179" s="7" t="s">
        <v>540</v>
      </c>
      <c r="F179" s="8" t="s">
        <v>299</v>
      </c>
      <c r="G179" s="8"/>
      <c r="H179" s="8" t="s">
        <v>541</v>
      </c>
      <c r="I179" s="8" t="str">
        <f t="shared" si="8"/>
        <v>cheat summon AlphaStego_Character_BP_C</v>
      </c>
      <c r="J179" s="8" t="str">
        <f t="shared" si="9"/>
        <v>admincheat GMSummon "AlphaStego_Character_BP_C" 120</v>
      </c>
      <c r="K179" s="8" t="s">
        <v>542</v>
      </c>
      <c r="L179" s="8" t="str">
        <f t="shared" si="10"/>
        <v>cheat SpawnDino "Blueprint'/PrimalChaos/1Dinos/2Alpha/Stego/AlphaStego_Character_BP.AlphaStego_Character_BP'" 150 0 0 35</v>
      </c>
      <c r="M179" s="8" t="str">
        <f t="shared" si="11"/>
        <v>NPCReplacements=(FromClassName="AlphaStego_Character_BP_C",ToClassName="")</v>
      </c>
      <c r="N179" s="2"/>
    </row>
    <row r="180">
      <c r="B180" s="6"/>
      <c r="C180" s="4">
        <v>85.0</v>
      </c>
      <c r="D180" s="4">
        <f t="shared" si="7"/>
        <v>2</v>
      </c>
      <c r="E180" s="9" t="s">
        <v>543</v>
      </c>
      <c r="F180" s="10" t="s">
        <v>299</v>
      </c>
      <c r="G180" s="10"/>
      <c r="H180" s="10" t="s">
        <v>544</v>
      </c>
      <c r="I180" s="10" t="str">
        <f t="shared" si="8"/>
        <v>cheat summon AlphaTapejara_Character_BP_C</v>
      </c>
      <c r="J180" s="10" t="str">
        <f t="shared" si="9"/>
        <v>admincheat GMSummon "AlphaTapejara_Character_BP_C" 120</v>
      </c>
      <c r="K180" s="10" t="s">
        <v>545</v>
      </c>
      <c r="L180" s="10" t="str">
        <f t="shared" si="10"/>
        <v>cheat SpawnDino "Blueprint'/PrimalChaos/1Dinos/2Alpha/Tapejara/AlphaTapejara_Character_BP.AlphaTapejara_Character_BP'" 150 0 0 35</v>
      </c>
      <c r="M180" s="10" t="str">
        <f t="shared" si="11"/>
        <v>NPCReplacements=(FromClassName="AlphaTapejara_Character_BP_C",ToClassName="")</v>
      </c>
      <c r="N180" s="2"/>
    </row>
    <row r="181">
      <c r="B181" s="6"/>
      <c r="C181" s="4">
        <v>86.0</v>
      </c>
      <c r="D181" s="4">
        <f t="shared" si="7"/>
        <v>2</v>
      </c>
      <c r="E181" s="7" t="s">
        <v>546</v>
      </c>
      <c r="F181" s="8" t="s">
        <v>299</v>
      </c>
      <c r="G181" s="8"/>
      <c r="H181" s="8" t="s">
        <v>547</v>
      </c>
      <c r="I181" s="8" t="str">
        <f t="shared" si="8"/>
        <v>cheat summon AlphaTerrorBird_Character_BP_C</v>
      </c>
      <c r="J181" s="8" t="str">
        <f t="shared" si="9"/>
        <v>admincheat GMSummon "AlphaTerrorBird_Character_BP_C" 120</v>
      </c>
      <c r="K181" s="8" t="s">
        <v>548</v>
      </c>
      <c r="L181" s="8" t="str">
        <f t="shared" si="10"/>
        <v>cheat SpawnDino "Blueprint'/PrimalChaos/1Dinos/2Alpha/TerrorBird/AlphaTerrorBird_Character_BP.AlphaTerrorBird_Character_BP'" 150 0 0 35</v>
      </c>
      <c r="M181" s="8" t="str">
        <f t="shared" si="11"/>
        <v>NPCReplacements=(FromClassName="AlphaTerrorBird_Character_BP_C",ToClassName="")</v>
      </c>
      <c r="N181" s="2"/>
    </row>
    <row r="182">
      <c r="B182" s="6"/>
      <c r="C182" s="4">
        <v>87.0</v>
      </c>
      <c r="D182" s="4">
        <f t="shared" si="7"/>
        <v>2</v>
      </c>
      <c r="E182" s="9" t="s">
        <v>549</v>
      </c>
      <c r="F182" s="10" t="s">
        <v>299</v>
      </c>
      <c r="G182" s="10"/>
      <c r="H182" s="10" t="s">
        <v>550</v>
      </c>
      <c r="I182" s="10" t="str">
        <f t="shared" si="8"/>
        <v>cheat summon AlphaTherizino_Character_BP_C</v>
      </c>
      <c r="J182" s="10" t="str">
        <f t="shared" si="9"/>
        <v>admincheat GMSummon "AlphaTherizino_Character_BP_C" 120</v>
      </c>
      <c r="K182" s="10" t="s">
        <v>551</v>
      </c>
      <c r="L182" s="10" t="str">
        <f t="shared" si="10"/>
        <v>cheat SpawnDino "Blueprint'/PrimalChaos/1Dinos/2Alpha/Therizinosaurus/AlphaTherizino_Character_BP.AlphaTherizino_Character_BP'" 150 0 0 35</v>
      </c>
      <c r="M182" s="10" t="str">
        <f t="shared" si="11"/>
        <v>NPCReplacements=(FromClassName="AlphaTherizino_Character_BP_C",ToClassName="")</v>
      </c>
      <c r="N182" s="2"/>
    </row>
    <row r="183">
      <c r="B183" s="6"/>
      <c r="C183" s="4">
        <v>88.0</v>
      </c>
      <c r="D183" s="4">
        <f t="shared" si="7"/>
        <v>2</v>
      </c>
      <c r="E183" s="7" t="s">
        <v>552</v>
      </c>
      <c r="F183" s="8" t="s">
        <v>299</v>
      </c>
      <c r="G183" s="8"/>
      <c r="H183" s="8" t="s">
        <v>553</v>
      </c>
      <c r="I183" s="8" t="str">
        <f t="shared" si="8"/>
        <v>cheat summon AlphaThylacoleo_Character_BP_C</v>
      </c>
      <c r="J183" s="8" t="str">
        <f t="shared" si="9"/>
        <v>admincheat GMSummon "AlphaThylacoleo_Character_BP_C" 120</v>
      </c>
      <c r="K183" s="8" t="s">
        <v>554</v>
      </c>
      <c r="L183" s="8" t="str">
        <f t="shared" si="10"/>
        <v>cheat SpawnDino "Blueprint'/PrimalChaos/1Dinos/2Alpha/Thyla/AlphaThylacoleo_Character_BP.AlphaThylacoleo_Character_BP'" 150 0 0 35</v>
      </c>
      <c r="M183" s="8" t="str">
        <f t="shared" si="11"/>
        <v>NPCReplacements=(FromClassName="AlphaThylacoleo_Character_BP_C",ToClassName="")</v>
      </c>
      <c r="N183" s="2"/>
    </row>
    <row r="184">
      <c r="B184" s="6"/>
      <c r="C184" s="4">
        <v>89.0</v>
      </c>
      <c r="D184" s="4">
        <f t="shared" si="7"/>
        <v>2</v>
      </c>
      <c r="E184" s="9" t="s">
        <v>555</v>
      </c>
      <c r="F184" s="10" t="s">
        <v>299</v>
      </c>
      <c r="G184" s="10"/>
      <c r="H184" s="10" t="s">
        <v>556</v>
      </c>
      <c r="I184" s="10" t="str">
        <f t="shared" si="8"/>
        <v>cheat summon AlphaTitanosaur_Character_BP_C</v>
      </c>
      <c r="J184" s="10" t="str">
        <f t="shared" si="9"/>
        <v>admincheat GMSummon "AlphaTitanosaur_Character_BP_C" 120</v>
      </c>
      <c r="K184" s="10" t="s">
        <v>557</v>
      </c>
      <c r="L184" s="10" t="str">
        <f t="shared" si="10"/>
        <v>cheat SpawnDino "Blueprint'/PrimalChaos/1Dinos/2Alpha/Titanosaur/AlphaTitanosaur_Character_BP.AlphaTitanosaur_Character_BP'" 150 0 0 35</v>
      </c>
      <c r="M184" s="10" t="str">
        <f t="shared" si="11"/>
        <v>NPCReplacements=(FromClassName="AlphaTitanosaur_Character_BP_C",ToClassName="")</v>
      </c>
      <c r="N184" s="2"/>
    </row>
    <row r="185">
      <c r="B185" s="6"/>
      <c r="C185" s="4">
        <v>90.0</v>
      </c>
      <c r="D185" s="4">
        <f t="shared" si="7"/>
        <v>2</v>
      </c>
      <c r="E185" s="7" t="s">
        <v>558</v>
      </c>
      <c r="F185" s="8" t="s">
        <v>299</v>
      </c>
      <c r="G185" s="8"/>
      <c r="H185" s="8" t="s">
        <v>559</v>
      </c>
      <c r="I185" s="8" t="str">
        <f t="shared" si="8"/>
        <v>cheat summon AlphaToad_Character_BP_C</v>
      </c>
      <c r="J185" s="8" t="str">
        <f t="shared" si="9"/>
        <v>admincheat GMSummon "AlphaToad_Character_BP_C" 120</v>
      </c>
      <c r="K185" s="8" t="s">
        <v>560</v>
      </c>
      <c r="L185" s="8" t="str">
        <f t="shared" si="10"/>
        <v>cheat SpawnDino "Blueprint'/PrimalChaos/1Dinos/2Alpha/Frog/AlphaToad_Character_BP.AlphaToad_Character_BP'" 150 0 0 35</v>
      </c>
      <c r="M185" s="8" t="str">
        <f t="shared" si="11"/>
        <v>NPCReplacements=(FromClassName="AlphaToad_Character_BP_C",ToClassName="")</v>
      </c>
      <c r="N185" s="2"/>
    </row>
    <row r="186">
      <c r="B186" s="6"/>
      <c r="C186" s="4">
        <v>91.0</v>
      </c>
      <c r="D186" s="4">
        <f t="shared" si="7"/>
        <v>2</v>
      </c>
      <c r="E186" s="9" t="s">
        <v>561</v>
      </c>
      <c r="F186" s="10" t="s">
        <v>299</v>
      </c>
      <c r="G186" s="10"/>
      <c r="H186" s="10" t="s">
        <v>562</v>
      </c>
      <c r="I186" s="10" t="str">
        <f t="shared" si="8"/>
        <v>cheat summon AlphaTrike_Character_BP_C</v>
      </c>
      <c r="J186" s="10" t="str">
        <f t="shared" si="9"/>
        <v>admincheat GMSummon "AlphaTrike_Character_BP_C" 120</v>
      </c>
      <c r="K186" s="10" t="s">
        <v>563</v>
      </c>
      <c r="L186" s="10" t="str">
        <f t="shared" si="10"/>
        <v>cheat SpawnDino "Blueprint'/PrimalChaos/1Dinos/2Alpha/Trike/AlphaTrike_Character_BP.AlphaTrike_Character_BP'" 150 0 0 35</v>
      </c>
      <c r="M186" s="10" t="str">
        <f t="shared" si="11"/>
        <v>NPCReplacements=(FromClassName="AlphaTrike_Character_BP_C",ToClassName="")</v>
      </c>
      <c r="N186" s="2"/>
    </row>
    <row r="187">
      <c r="B187" s="6"/>
      <c r="C187" s="4">
        <v>14.0</v>
      </c>
      <c r="D187" s="4">
        <f t="shared" si="7"/>
        <v>2</v>
      </c>
      <c r="E187" s="7" t="s">
        <v>564</v>
      </c>
      <c r="F187" s="8" t="s">
        <v>299</v>
      </c>
      <c r="G187" s="8"/>
      <c r="H187" s="8" t="s">
        <v>565</v>
      </c>
      <c r="I187" s="8" t="str">
        <f t="shared" si="8"/>
        <v>cheat summon Alpha_Trilobite_Character_BP_C</v>
      </c>
      <c r="J187" s="8" t="str">
        <f t="shared" si="9"/>
        <v>admincheat GMSummon "Alpha_Trilobite_Character_BP_C" 120</v>
      </c>
      <c r="K187" s="8" t="s">
        <v>566</v>
      </c>
      <c r="L187" s="8" t="str">
        <f t="shared" si="10"/>
        <v>cheat SpawnDino "Blueprint'/PrimalChaos/1WaterDinos/2Alpha/trilobite/Alpha_Trilobite_Character_BP.Alpha_Trilobite_Character_BP'" 150 0 0 35</v>
      </c>
      <c r="M187" s="8" t="str">
        <f t="shared" si="11"/>
        <v>NPCReplacements=(FromClassName="Alpha_Trilobite_Character_BP_C",ToClassName="")</v>
      </c>
      <c r="N187" s="2"/>
    </row>
    <row r="188">
      <c r="B188" s="6"/>
      <c r="C188" s="4">
        <v>92.0</v>
      </c>
      <c r="D188" s="4">
        <f t="shared" si="7"/>
        <v>2</v>
      </c>
      <c r="E188" s="9" t="s">
        <v>567</v>
      </c>
      <c r="F188" s="10" t="s">
        <v>299</v>
      </c>
      <c r="G188" s="10"/>
      <c r="H188" s="10" t="s">
        <v>568</v>
      </c>
      <c r="I188" s="10" t="str">
        <f t="shared" si="8"/>
        <v>cheat summon AlphaTroodon_Character_BP_C</v>
      </c>
      <c r="J188" s="10" t="str">
        <f t="shared" si="9"/>
        <v>admincheat GMSummon "AlphaTroodon_Character_BP_C" 120</v>
      </c>
      <c r="K188" s="10" t="s">
        <v>569</v>
      </c>
      <c r="L188" s="10" t="str">
        <f t="shared" si="10"/>
        <v>cheat SpawnDino "Blueprint'/PrimalChaos/1Dinos/2Alpha/Troodon/AlphaTroodon_Character_BP.AlphaTroodon_Character_BP'" 150 0 0 35</v>
      </c>
      <c r="M188" s="10" t="str">
        <f t="shared" si="11"/>
        <v>NPCReplacements=(FromClassName="AlphaTroodon_Character_BP_C",ToClassName="")</v>
      </c>
      <c r="N188" s="2"/>
    </row>
    <row r="189">
      <c r="B189" s="6"/>
      <c r="C189" s="4">
        <v>93.0</v>
      </c>
      <c r="D189" s="4">
        <f t="shared" si="7"/>
        <v>2</v>
      </c>
      <c r="E189" s="7" t="s">
        <v>570</v>
      </c>
      <c r="F189" s="8" t="s">
        <v>299</v>
      </c>
      <c r="G189" s="8"/>
      <c r="H189" s="8" t="s">
        <v>571</v>
      </c>
      <c r="I189" s="8" t="str">
        <f t="shared" si="8"/>
        <v>cheat summon AlphaTurkey_Character_BP_C</v>
      </c>
      <c r="J189" s="8" t="str">
        <f t="shared" si="9"/>
        <v>admincheat GMSummon "AlphaTurkey_Character_BP_C" 120</v>
      </c>
      <c r="K189" s="8" t="s">
        <v>572</v>
      </c>
      <c r="L189" s="8" t="str">
        <f t="shared" si="10"/>
        <v>cheat SpawnDino "Blueprint'/PrimalChaos/1Dinos/2Alpha/Turkey/AlphaTurkey_Character_BP.AlphaTurkey_Character_BP'" 150 0 0 35</v>
      </c>
      <c r="M189" s="8" t="str">
        <f t="shared" si="11"/>
        <v>NPCReplacements=(FromClassName="AlphaTurkey_Character_BP_C",ToClassName="")</v>
      </c>
      <c r="N189" s="2"/>
    </row>
    <row r="190">
      <c r="B190" s="6"/>
      <c r="C190" s="4">
        <v>94.0</v>
      </c>
      <c r="D190" s="4">
        <f t="shared" si="7"/>
        <v>2</v>
      </c>
      <c r="E190" s="9" t="s">
        <v>573</v>
      </c>
      <c r="F190" s="10" t="s">
        <v>299</v>
      </c>
      <c r="G190" s="10"/>
      <c r="H190" s="10" t="s">
        <v>574</v>
      </c>
      <c r="I190" s="10" t="str">
        <f t="shared" si="8"/>
        <v>cheat summon AlphaTurtle_Character_BP_C</v>
      </c>
      <c r="J190" s="10" t="str">
        <f t="shared" si="9"/>
        <v>admincheat GMSummon "AlphaTurtle_Character_BP_C" 120</v>
      </c>
      <c r="K190" s="10" t="s">
        <v>575</v>
      </c>
      <c r="L190" s="10" t="str">
        <f t="shared" si="10"/>
        <v>cheat SpawnDino "Blueprint'/PrimalChaos/1Dinos/2Alpha/Turtle/AlphaTurtle_Character_BP.AlphaTurtle_Character_BP'" 150 0 0 35</v>
      </c>
      <c r="M190" s="10" t="str">
        <f t="shared" si="11"/>
        <v>NPCReplacements=(FromClassName="AlphaTurtle_Character_BP_C",ToClassName="")</v>
      </c>
      <c r="N190" s="2"/>
    </row>
    <row r="191">
      <c r="B191" s="6"/>
      <c r="C191" s="4">
        <v>15.0</v>
      </c>
      <c r="D191" s="4">
        <f t="shared" si="7"/>
        <v>2</v>
      </c>
      <c r="E191" s="7" t="s">
        <v>576</v>
      </c>
      <c r="F191" s="8" t="s">
        <v>299</v>
      </c>
      <c r="G191" s="8"/>
      <c r="H191" s="8" t="s">
        <v>577</v>
      </c>
      <c r="I191" s="8" t="str">
        <f t="shared" si="8"/>
        <v>cheat summon Alpha_Tusoteuthis_Character_BP_C</v>
      </c>
      <c r="J191" s="8" t="str">
        <f t="shared" si="9"/>
        <v>admincheat GMSummon "Alpha_Tusoteuthis_Character_BP_C" 120</v>
      </c>
      <c r="K191" s="8" t="s">
        <v>578</v>
      </c>
      <c r="L191" s="8" t="str">
        <f t="shared" si="10"/>
        <v>cheat SpawnDino "Blueprint'/PrimalChaos/1WaterDinos/2Alpha/tusoteuthis/Alpha_Tusoteuthis_Character_BP.Alpha_Tusoteuthis_Character_BP'" 150 0 0 35</v>
      </c>
      <c r="M191" s="8" t="str">
        <f t="shared" si="11"/>
        <v>NPCReplacements=(FromClassName="Alpha_Tusoteuthis_Character_BP_C",ToClassName="")</v>
      </c>
      <c r="N191" s="2"/>
    </row>
    <row r="192">
      <c r="B192" s="13"/>
      <c r="C192" s="4">
        <v>95.0</v>
      </c>
      <c r="D192" s="4">
        <f t="shared" si="7"/>
        <v>2</v>
      </c>
      <c r="E192" s="9" t="s">
        <v>579</v>
      </c>
      <c r="F192" s="10" t="s">
        <v>299</v>
      </c>
      <c r="G192" s="10"/>
      <c r="H192" s="10" t="s">
        <v>580</v>
      </c>
      <c r="I192" s="10" t="str">
        <f t="shared" si="8"/>
        <v>cheat summon AlphaYutyrannus_Character_BP_C</v>
      </c>
      <c r="J192" s="10" t="str">
        <f t="shared" si="9"/>
        <v>admincheat GMSummon "AlphaYutyrannus_Character_BP_C" 120</v>
      </c>
      <c r="K192" s="10" t="s">
        <v>581</v>
      </c>
      <c r="L192" s="10" t="str">
        <f t="shared" si="10"/>
        <v>cheat SpawnDino "Blueprint'/PrimalChaos/1Dinos/2Alpha/Yuty/AlphaYutyrannus_Character_BP.AlphaYutyrannus_Character_BP'" 150 0 0 35</v>
      </c>
      <c r="M192" s="10" t="str">
        <f t="shared" si="11"/>
        <v>NPCReplacements=(FromClassName="AlphaYutyrannus_Character_BP_C",ToClassName="")</v>
      </c>
      <c r="N192" s="2"/>
    </row>
    <row r="193">
      <c r="B193" s="14"/>
      <c r="C193" s="15"/>
      <c r="D193" s="15"/>
      <c r="E193" s="16"/>
      <c r="F193" s="16"/>
      <c r="G193" s="16"/>
      <c r="H193" s="16"/>
      <c r="I193" s="16"/>
      <c r="J193" s="16"/>
      <c r="K193" s="16"/>
      <c r="L193" s="16"/>
      <c r="M193" s="16"/>
      <c r="N193" s="2"/>
    </row>
    <row r="194">
      <c r="B194" s="19" t="s">
        <v>582</v>
      </c>
      <c r="C194" s="4">
        <v>214.0</v>
      </c>
      <c r="D194" s="4">
        <f t="shared" ref="D194:D200" si="12">IF(F194="Beta",1)+IF(F194="Alpha",2)+IF(F194="Electric",3)+IF(F194="Volcanic",3)+IF(F194="Hydro",3)+IF(F194="Shadow",4)+IF(F194="Fairy",4)+IF(F194="Mythic",5)+IF(F194="Legendary",5)+IF(F194="Demonic",6)+IF(F194="Angelic",6)+IF(F194="Jester",7)+IF(F194="Nightmare",8)+IF(F194="Vanilla",9)+IF(F194="Boss",8)</f>
        <v>3</v>
      </c>
      <c r="E194" s="9" t="s">
        <v>583</v>
      </c>
      <c r="F194" s="10" t="s">
        <v>582</v>
      </c>
      <c r="G194" s="10"/>
      <c r="H194" s="10" t="s">
        <v>584</v>
      </c>
      <c r="I194" s="10" t="str">
        <f t="shared" ref="I194:I222" si="13">"cheat summon "&amp;H194</f>
        <v>cheat summon ElectricAllo_Character_BP_C</v>
      </c>
      <c r="J194" s="10" t="str">
        <f t="shared" ref="J194:J222" si="14"> "admincheat GMSummon " &amp;CHAR(34) &amp; H194&amp;CHAR(34)&amp; " 120"</f>
        <v>admincheat GMSummon "ElectricAllo_Character_BP_C" 120</v>
      </c>
      <c r="K194" s="10" t="s">
        <v>585</v>
      </c>
      <c r="L194" s="10" t="str">
        <f t="shared" ref="L194:L222" si="15">IF(K194&lt;&gt;"","cheat SpawnDino "&amp;CHAR(34)&amp;"Blueprint'"&amp;K194&amp;"'"&amp;CHAR(34)&amp;" 150 0 0 35","")</f>
        <v>cheat SpawnDino "Blueprint'/PrimalChaos/1Dinos/3Elemental/Electric/Allo/ElectricAllo_Character_BP.ElectricAllo_Character_BP'" 150 0 0 35</v>
      </c>
      <c r="M194" s="10" t="str">
        <f t="shared" ref="M194:M222" si="16">"NPCReplacements=(FromClassName="&amp;CHAR(34)&amp;H194&amp;""&amp;CHAR(34)&amp;",ToClassName="&amp;CHAR(34)&amp;CHAR(34)&amp;")"</f>
        <v>NPCReplacements=(FromClassName="ElectricAllo_Character_BP_C",ToClassName="")</v>
      </c>
      <c r="N194" s="2"/>
    </row>
    <row r="195">
      <c r="B195" s="6"/>
      <c r="C195" s="4">
        <v>215.0</v>
      </c>
      <c r="D195" s="4">
        <f t="shared" si="12"/>
        <v>3</v>
      </c>
      <c r="E195" s="7" t="s">
        <v>586</v>
      </c>
      <c r="F195" s="8" t="s">
        <v>582</v>
      </c>
      <c r="G195" s="8"/>
      <c r="H195" s="8" t="s">
        <v>587</v>
      </c>
      <c r="I195" s="8" t="str">
        <f t="shared" si="13"/>
        <v>cheat summon ElectricArgent_Character_BP_C</v>
      </c>
      <c r="J195" s="8" t="str">
        <f t="shared" si="14"/>
        <v>admincheat GMSummon "ElectricArgent_Character_BP_C" 120</v>
      </c>
      <c r="K195" s="8" t="s">
        <v>588</v>
      </c>
      <c r="L195" s="8" t="str">
        <f t="shared" si="15"/>
        <v>cheat SpawnDino "Blueprint'/PrimalChaos/1Dinos/3Elemental/Electric/Argent/ElectricArgent_Character_BP.ElectricArgent_Character_BP'" 150 0 0 35</v>
      </c>
      <c r="M195" s="8" t="str">
        <f t="shared" si="16"/>
        <v>NPCReplacements=(FromClassName="ElectricArgent_Character_BP_C",ToClassName="")</v>
      </c>
      <c r="N195" s="2"/>
    </row>
    <row r="196">
      <c r="B196" s="6"/>
      <c r="C196" s="4">
        <v>198.0</v>
      </c>
      <c r="D196" s="4">
        <f t="shared" si="12"/>
        <v>3</v>
      </c>
      <c r="E196" s="9" t="s">
        <v>589</v>
      </c>
      <c r="F196" s="10" t="s">
        <v>582</v>
      </c>
      <c r="G196" s="10"/>
      <c r="H196" s="10" t="s">
        <v>590</v>
      </c>
      <c r="I196" s="10" t="str">
        <f t="shared" si="13"/>
        <v>cheat summon Electric_Basilo_Character_BP_C</v>
      </c>
      <c r="J196" s="10" t="str">
        <f t="shared" si="14"/>
        <v>admincheat GMSummon "Electric_Basilo_Character_BP_C" 120</v>
      </c>
      <c r="K196" s="10" t="s">
        <v>591</v>
      </c>
      <c r="L196" s="10" t="str">
        <f t="shared" si="15"/>
        <v>cheat SpawnDino "Blueprint'/PrimalChaos/1WaterDinos/3Elemental/Electric/Basilo/Electric_Basilo_Character_BP.Electric_Basilo_Character_BP'" 150 0 0 35</v>
      </c>
      <c r="M196" s="10" t="str">
        <f t="shared" si="16"/>
        <v>NPCReplacements=(FromClassName="Electric_Basilo_Character_BP_C",ToClassName="")</v>
      </c>
      <c r="N196" s="2"/>
    </row>
    <row r="197">
      <c r="B197" s="6"/>
      <c r="C197" s="4">
        <v>199.0</v>
      </c>
      <c r="D197" s="4">
        <f t="shared" si="12"/>
        <v>3</v>
      </c>
      <c r="E197" s="7" t="s">
        <v>592</v>
      </c>
      <c r="F197" s="8" t="s">
        <v>582</v>
      </c>
      <c r="G197" s="8"/>
      <c r="H197" s="8" t="s">
        <v>593</v>
      </c>
      <c r="I197" s="8" t="str">
        <f t="shared" si="13"/>
        <v>cheat summon Electric_Cnidaria_Character_BP_C</v>
      </c>
      <c r="J197" s="8" t="str">
        <f t="shared" si="14"/>
        <v>admincheat GMSummon "Electric_Cnidaria_Character_BP_C" 120</v>
      </c>
      <c r="K197" s="8" t="s">
        <v>594</v>
      </c>
      <c r="L197" s="8" t="str">
        <f t="shared" si="15"/>
        <v>cheat SpawnDino "Blueprint'/PrimalChaos/1WaterDinos/3Elemental/Electric/Cnidaria/Electric_Cnidaria_Character_BP.Electric_Cnidaria_Character_BP'" 150 0 0 35</v>
      </c>
      <c r="M197" s="8" t="str">
        <f t="shared" si="16"/>
        <v>NPCReplacements=(FromClassName="Electric_Cnidaria_Character_BP_C",ToClassName="")</v>
      </c>
      <c r="N197" s="2"/>
    </row>
    <row r="198">
      <c r="B198" s="6"/>
      <c r="C198" s="4">
        <v>200.0</v>
      </c>
      <c r="D198" s="4">
        <f t="shared" si="12"/>
        <v>3</v>
      </c>
      <c r="E198" s="9" t="s">
        <v>595</v>
      </c>
      <c r="F198" s="10" t="s">
        <v>582</v>
      </c>
      <c r="G198" s="10"/>
      <c r="H198" s="10" t="s">
        <v>596</v>
      </c>
      <c r="I198" s="10" t="str">
        <f t="shared" si="13"/>
        <v>cheat summon Electric_Diplo_Character_BP_C</v>
      </c>
      <c r="J198" s="10" t="str">
        <f t="shared" si="14"/>
        <v>admincheat GMSummon "Electric_Diplo_Character_BP_C" 120</v>
      </c>
      <c r="K198" s="10" t="s">
        <v>597</v>
      </c>
      <c r="L198" s="10" t="str">
        <f t="shared" si="15"/>
        <v>cheat SpawnDino "Blueprint'/PrimalChaos/1WaterDinos/3Elemental/Electric/Diplocaulus/Electric_Diplo_Character_BP.Electric_Diplo_Character_BP'" 150 0 0 35</v>
      </c>
      <c r="M198" s="10" t="str">
        <f t="shared" si="16"/>
        <v>NPCReplacements=(FromClassName="Electric_Diplo_Character_BP_C",ToClassName="")</v>
      </c>
      <c r="N198" s="2"/>
    </row>
    <row r="199">
      <c r="B199" s="6"/>
      <c r="C199" s="4">
        <v>219.0</v>
      </c>
      <c r="D199" s="4">
        <f t="shared" si="12"/>
        <v>3</v>
      </c>
      <c r="E199" s="7" t="s">
        <v>598</v>
      </c>
      <c r="F199" s="8" t="s">
        <v>582</v>
      </c>
      <c r="G199" s="8"/>
      <c r="H199" s="8" t="s">
        <v>599</v>
      </c>
      <c r="I199" s="8" t="str">
        <f t="shared" si="13"/>
        <v>cheat summon ElectricDirebear_Character_BP_C</v>
      </c>
      <c r="J199" s="8" t="str">
        <f t="shared" si="14"/>
        <v>admincheat GMSummon "ElectricDirebear_Character_BP_C" 120</v>
      </c>
      <c r="K199" s="8" t="s">
        <v>600</v>
      </c>
      <c r="L199" s="8" t="str">
        <f t="shared" si="15"/>
        <v>cheat SpawnDino "Blueprint'/PrimalChaos/1Dinos/3Elemental/Electric/Bear/ElectricDirebear_Character_BP.ElectricDirebear_Character_BP'" 150 0 0 35</v>
      </c>
      <c r="M199" s="8" t="str">
        <f t="shared" si="16"/>
        <v>NPCReplacements=(FromClassName="ElectricDirebear_Character_BP_C",ToClassName="")</v>
      </c>
      <c r="N199" s="2"/>
    </row>
    <row r="200">
      <c r="B200" s="6"/>
      <c r="C200" s="4">
        <v>201.0</v>
      </c>
      <c r="D200" s="4">
        <f t="shared" si="12"/>
        <v>3</v>
      </c>
      <c r="E200" s="9" t="s">
        <v>601</v>
      </c>
      <c r="F200" s="10" t="s">
        <v>582</v>
      </c>
      <c r="G200" s="12"/>
      <c r="H200" s="10" t="s">
        <v>602</v>
      </c>
      <c r="I200" s="10" t="str">
        <f t="shared" si="13"/>
        <v>cheat summon Electric_DodoRex_Character_BP_C</v>
      </c>
      <c r="J200" s="10" t="str">
        <f t="shared" si="14"/>
        <v>admincheat GMSummon "Electric_DodoRex_Character_BP_C" 120</v>
      </c>
      <c r="K200" s="10" t="s">
        <v>603</v>
      </c>
      <c r="L200" s="10" t="str">
        <f t="shared" si="15"/>
        <v>cheat SpawnDino "Blueprint'/PrimalChaos/1Dinos/3Elemental/Electric/Dodorex/Electric_DodoRex_Character_BP.Electric_DodoRex_Character_BP'" 150 0 0 35</v>
      </c>
      <c r="M200" s="10" t="str">
        <f t="shared" si="16"/>
        <v>NPCReplacements=(FromClassName="Electric_DodoRex_Character_BP_C",ToClassName="")</v>
      </c>
      <c r="N200" s="2"/>
    </row>
    <row r="201">
      <c r="B201" s="6"/>
      <c r="C201" s="4">
        <v>202.0</v>
      </c>
      <c r="D201" s="4">
        <f>IF(F202="Beta",1)+IF(F202="Alpha",2)+IF(F202="Electric",3)+IF(F202="Volcanic",3)+IF(F202="Hydro",3)+IF(F202="Shadow",4)+IF(F202="Fairy",4)+IF(F202="Mythic",5)+IF(F202="Legendary",5)+IF(F202="Demonic",6)+IF(F202="Angelic",6)+IF(F202="Jester",7)+IF(F202="Nightmare",8)+IF(F202="Vanilla",9)+IF(F202="Boss",8)</f>
        <v>3</v>
      </c>
      <c r="E201" s="20" t="s">
        <v>604</v>
      </c>
      <c r="F201" s="20" t="s">
        <v>582</v>
      </c>
      <c r="G201" s="21"/>
      <c r="H201" s="7" t="s">
        <v>605</v>
      </c>
      <c r="I201" s="8" t="str">
        <f t="shared" si="13"/>
        <v>cheat summon ElectricDodoWyvern_Character_BP_PC_C</v>
      </c>
      <c r="J201" s="8" t="str">
        <f t="shared" si="14"/>
        <v>admincheat GMSummon "ElectricDodoWyvern_Character_BP_PC_C" 120</v>
      </c>
      <c r="K201" s="20" t="s">
        <v>606</v>
      </c>
      <c r="L201" s="8" t="str">
        <f t="shared" si="15"/>
        <v>cheat SpawnDino "Blueprint'/PrimalChaos/Content/1Dinos/3Elemental/Electric/dodowyvern/ElectricDodoWyvern_Character_BP_PC'" 150 0 0 35</v>
      </c>
      <c r="M201" s="8" t="str">
        <f t="shared" si="16"/>
        <v>NPCReplacements=(FromClassName="ElectricDodoWyvern_Character_BP_PC_C",ToClassName="")</v>
      </c>
      <c r="N201" s="2"/>
    </row>
    <row r="202">
      <c r="B202" s="6"/>
      <c r="C202" s="4"/>
      <c r="D202" s="4"/>
      <c r="E202" s="9" t="s">
        <v>607</v>
      </c>
      <c r="F202" s="10" t="s">
        <v>582</v>
      </c>
      <c r="G202" s="10"/>
      <c r="H202" s="10" t="s">
        <v>608</v>
      </c>
      <c r="I202" s="10" t="str">
        <f t="shared" si="13"/>
        <v>cheat summon Electric_Dolphin_Character_BP_C</v>
      </c>
      <c r="J202" s="10" t="str">
        <f t="shared" si="14"/>
        <v>admincheat GMSummon "Electric_Dolphin_Character_BP_C" 120</v>
      </c>
      <c r="K202" s="10" t="s">
        <v>609</v>
      </c>
      <c r="L202" s="10" t="str">
        <f t="shared" si="15"/>
        <v>cheat SpawnDino "Blueprint'/PrimalChaos/1WaterDinos/3Elemental/Electric/Ichtyo/Electric_Dolphin_Character_BP.Electric_Dolphin_Character_BP'" 150 0 0 35</v>
      </c>
      <c r="M202" s="10" t="str">
        <f t="shared" si="16"/>
        <v>NPCReplacements=(FromClassName="Electric_Dolphin_Character_BP_C",ToClassName="")</v>
      </c>
      <c r="N202" s="2"/>
    </row>
    <row r="203">
      <c r="B203" s="6"/>
      <c r="C203" s="4">
        <v>203.0</v>
      </c>
      <c r="D203" s="4">
        <f t="shared" ref="D203:D205" si="17">IF(F204="Beta",1)+IF(F204="Alpha",2)+IF(F204="Electric",3)+IF(F204="Volcanic",3)+IF(F204="Hydro",3)+IF(F204="Shadow",4)+IF(F204="Fairy",4)+IF(F204="Mythic",5)+IF(F204="Legendary",5)+IF(F204="Demonic",6)+IF(F204="Angelic",6)+IF(F204="Jester",7)+IF(F204="Nightmare",8)+IF(F204="Vanilla",9)+IF(F204="Boss",8)</f>
        <v>3</v>
      </c>
      <c r="E203" s="7" t="s">
        <v>610</v>
      </c>
      <c r="F203" s="7" t="s">
        <v>582</v>
      </c>
      <c r="G203" s="8"/>
      <c r="H203" s="7" t="s">
        <v>611</v>
      </c>
      <c r="I203" s="8" t="str">
        <f t="shared" si="13"/>
        <v>cheat summon ElectricDragon_Character_BP_C</v>
      </c>
      <c r="J203" s="8" t="str">
        <f t="shared" si="14"/>
        <v>admincheat GMSummon "ElectricDragon_Character_BP_C" 120</v>
      </c>
      <c r="K203" s="7" t="s">
        <v>612</v>
      </c>
      <c r="L203" s="8" t="str">
        <f t="shared" si="15"/>
        <v>cheat SpawnDino "Blueprint'/PrimalChaos/1Dinos/3Elemental/Electric/Dragon/ElectricDragon_Character_BP.ElectricDragon_Character_BP'" 150 0 0 35</v>
      </c>
      <c r="M203" s="8" t="str">
        <f t="shared" si="16"/>
        <v>NPCReplacements=(FromClassName="ElectricDragon_Character_BP_C",ToClassName="")</v>
      </c>
      <c r="N203" s="2"/>
    </row>
    <row r="204">
      <c r="B204" s="6"/>
      <c r="C204" s="4">
        <v>204.0</v>
      </c>
      <c r="D204" s="4">
        <f t="shared" si="17"/>
        <v>3</v>
      </c>
      <c r="E204" s="9" t="s">
        <v>613</v>
      </c>
      <c r="F204" s="10" t="s">
        <v>582</v>
      </c>
      <c r="G204" s="10"/>
      <c r="H204" s="10" t="s">
        <v>614</v>
      </c>
      <c r="I204" s="10" t="str">
        <f t="shared" si="13"/>
        <v>cheat summon Electric_Dunkleo_Character_BP_C</v>
      </c>
      <c r="J204" s="10" t="str">
        <f t="shared" si="14"/>
        <v>admincheat GMSummon "Electric_Dunkleo_Character_BP_C" 120</v>
      </c>
      <c r="K204" s="10" t="s">
        <v>615</v>
      </c>
      <c r="L204" s="10" t="str">
        <f t="shared" si="15"/>
        <v>cheat SpawnDino "Blueprint'/PrimalChaos/1WaterDinos/3Elemental/Electric/Dunkleo/Electric_Dunkleo_Character_BP.Electric_Dunkleo_Character_BP'" 150 0 0 35</v>
      </c>
      <c r="M204" s="10" t="str">
        <f t="shared" si="16"/>
        <v>NPCReplacements=(FromClassName="Electric_Dunkleo_Character_BP_C",ToClassName="")</v>
      </c>
      <c r="N204" s="2"/>
    </row>
    <row r="205">
      <c r="B205" s="6"/>
      <c r="C205" s="4">
        <v>205.0</v>
      </c>
      <c r="D205" s="4">
        <f t="shared" si="17"/>
        <v>3</v>
      </c>
      <c r="E205" s="7" t="s">
        <v>616</v>
      </c>
      <c r="F205" s="8" t="s">
        <v>582</v>
      </c>
      <c r="G205" s="8"/>
      <c r="H205" s="8" t="s">
        <v>617</v>
      </c>
      <c r="I205" s="8" t="str">
        <f t="shared" si="13"/>
        <v>cheat summon Electric_Electrophorus_Character_BP_C</v>
      </c>
      <c r="J205" s="8" t="str">
        <f t="shared" si="14"/>
        <v>admincheat GMSummon "Electric_Electrophorus_Character_BP_C" 120</v>
      </c>
      <c r="K205" s="8" t="s">
        <v>618</v>
      </c>
      <c r="L205" s="8" t="str">
        <f t="shared" si="15"/>
        <v>cheat SpawnDino "Blueprint'/PrimalChaos/1WaterDinos/3Elemental/Electric/Electrophorus/Electric_Electrophorus_Character_BP.Electric_Electrophorus_Character_BP'" 150 0 0 35</v>
      </c>
      <c r="M205" s="8" t="str">
        <f t="shared" si="16"/>
        <v>NPCReplacements=(FromClassName="Electric_Electrophorus_Character_BP_C",ToClassName="")</v>
      </c>
      <c r="N205" s="2"/>
    </row>
    <row r="206">
      <c r="B206" s="6"/>
      <c r="C206" s="4">
        <v>220.0</v>
      </c>
      <c r="D206" s="4">
        <f t="shared" ref="D206:D212" si="18">IF(F209="Beta",1)+IF(F209="Alpha",2)+IF(F209="Electric",3)+IF(F209="Volcanic",3)+IF(F209="Hydro",3)+IF(F209="Shadow",4)+IF(F209="Fairy",4)+IF(F209="Mythic",5)+IF(F209="Legendary",5)+IF(F209="Demonic",6)+IF(F209="Angelic",6)+IF(F209="Jester",7)+IF(F209="Nightmare",8)+IF(F209="Vanilla",9)+IF(F209="Boss",8)</f>
        <v>3</v>
      </c>
      <c r="E206" s="9" t="s">
        <v>619</v>
      </c>
      <c r="F206" s="10" t="s">
        <v>582</v>
      </c>
      <c r="G206" s="10"/>
      <c r="H206" s="10" t="s">
        <v>620</v>
      </c>
      <c r="I206" s="10" t="str">
        <f t="shared" si="13"/>
        <v>cheat summon Electric_Eurypterid_Character_BP_C</v>
      </c>
      <c r="J206" s="10" t="str">
        <f t="shared" si="14"/>
        <v>admincheat GMSummon "Electric_Eurypterid_Character_BP_C" 120</v>
      </c>
      <c r="K206" s="10" t="s">
        <v>621</v>
      </c>
      <c r="L206" s="10" t="str">
        <f t="shared" si="15"/>
        <v>cheat SpawnDino "Blueprint'/PrimalChaos/1WaterDinos/3Elemental/Electric/Eurypterid/Electric_Eurypterid_Character_BP.Electric_Eurypterid_Character_BP'" 150 0 0 35</v>
      </c>
      <c r="M206" s="10" t="str">
        <f t="shared" si="16"/>
        <v>NPCReplacements=(FromClassName="Electric_Eurypterid_Character_BP_C",ToClassName="")</v>
      </c>
      <c r="N206" s="2"/>
    </row>
    <row r="207">
      <c r="B207" s="6"/>
      <c r="C207" s="4">
        <v>206.0</v>
      </c>
      <c r="D207" s="4">
        <f t="shared" si="18"/>
        <v>3</v>
      </c>
      <c r="E207" s="20" t="s">
        <v>622</v>
      </c>
      <c r="F207" s="20" t="s">
        <v>582</v>
      </c>
      <c r="G207" s="21"/>
      <c r="H207" s="20" t="s">
        <v>623</v>
      </c>
      <c r="I207" s="8" t="str">
        <f t="shared" si="13"/>
        <v>cheat summon ElectricFasola_Character_BP_PC_C</v>
      </c>
      <c r="J207" s="8" t="str">
        <f t="shared" si="14"/>
        <v>admincheat GMSummon "ElectricFasola_Character_BP_PC_C" 120</v>
      </c>
      <c r="K207" s="20" t="s">
        <v>624</v>
      </c>
      <c r="L207" s="8" t="str">
        <f t="shared" si="15"/>
        <v>cheat SpawnDino "Blueprint'/PrimalChaos/Content/1Dinos/3Elemental/Electric/Fasola/ElectricFasola_Character_BP_PC'" 150 0 0 35</v>
      </c>
      <c r="M207" s="8" t="str">
        <f t="shared" si="16"/>
        <v>NPCReplacements=(FromClassName="ElectricFasola_Character_BP_PC_C",ToClassName="")</v>
      </c>
      <c r="N207" s="2"/>
    </row>
    <row r="208">
      <c r="B208" s="6"/>
      <c r="C208" s="4">
        <v>207.0</v>
      </c>
      <c r="D208" s="4">
        <f t="shared" si="18"/>
        <v>3</v>
      </c>
      <c r="E208" s="22" t="s">
        <v>625</v>
      </c>
      <c r="F208" s="22" t="s">
        <v>582</v>
      </c>
      <c r="G208" s="23"/>
      <c r="H208" s="22" t="s">
        <v>626</v>
      </c>
      <c r="I208" s="10" t="str">
        <f t="shared" si="13"/>
        <v>cheat summon ElectricGigantoraptor_Character_BP_PC_C</v>
      </c>
      <c r="J208" s="10" t="str">
        <f t="shared" si="14"/>
        <v>admincheat GMSummon "ElectricGigantoraptor_Character_BP_PC_C" 120</v>
      </c>
      <c r="K208" s="22" t="s">
        <v>627</v>
      </c>
      <c r="L208" s="10" t="str">
        <f t="shared" si="15"/>
        <v>cheat SpawnDino "Blueprint'/PrimalChaos/Content/1Dinos/3Elemental/Electric/Gigantoraptor/ElectricGigantoraptor_Character_BP_PC'" 150 0 0 35</v>
      </c>
      <c r="M208" s="10" t="str">
        <f t="shared" si="16"/>
        <v>NPCReplacements=(FromClassName="ElectricGigantoraptor_Character_BP_PC_C",ToClassName="")</v>
      </c>
      <c r="N208" s="2"/>
    </row>
    <row r="209">
      <c r="B209" s="6"/>
      <c r="C209" s="4">
        <v>208.0</v>
      </c>
      <c r="D209" s="4">
        <f t="shared" si="18"/>
        <v>3</v>
      </c>
      <c r="E209" s="7" t="s">
        <v>628</v>
      </c>
      <c r="F209" s="8" t="s">
        <v>582</v>
      </c>
      <c r="G209" s="8"/>
      <c r="H209" s="8" t="s">
        <v>629</v>
      </c>
      <c r="I209" s="8" t="str">
        <f t="shared" si="13"/>
        <v>cheat summon ElectricGriffin_Character_BP_C</v>
      </c>
      <c r="J209" s="8" t="str">
        <f t="shared" si="14"/>
        <v>admincheat GMSummon "ElectricGriffin_Character_BP_C" 120</v>
      </c>
      <c r="K209" s="8" t="s">
        <v>630</v>
      </c>
      <c r="L209" s="8" t="str">
        <f t="shared" si="15"/>
        <v>cheat SpawnDino "Blueprint'/PrimalChaos/1Dinos/3Elemental/Electric/Griffin/ElectricGriffin_Character_BP.ElectricGriffin_Character_BP'" 150 0 0 35</v>
      </c>
      <c r="M209" s="8" t="str">
        <f t="shared" si="16"/>
        <v>NPCReplacements=(FromClassName="ElectricGriffin_Character_BP_C",ToClassName="")</v>
      </c>
      <c r="N209" s="2"/>
    </row>
    <row r="210">
      <c r="B210" s="6"/>
      <c r="C210" s="4">
        <v>209.0</v>
      </c>
      <c r="D210" s="4">
        <f t="shared" si="18"/>
        <v>3</v>
      </c>
      <c r="E210" s="9" t="s">
        <v>631</v>
      </c>
      <c r="F210" s="10" t="s">
        <v>582</v>
      </c>
      <c r="G210" s="10"/>
      <c r="H210" s="10" t="s">
        <v>632</v>
      </c>
      <c r="I210" s="10" t="str">
        <f t="shared" si="13"/>
        <v>cheat summon Electric_Liopleurodon_Character_BP_C</v>
      </c>
      <c r="J210" s="10" t="str">
        <f t="shared" si="14"/>
        <v>admincheat GMSummon "Electric_Liopleurodon_Character_BP_C" 120</v>
      </c>
      <c r="K210" s="10" t="s">
        <v>633</v>
      </c>
      <c r="L210" s="10" t="str">
        <f t="shared" si="15"/>
        <v>cheat SpawnDino "Blueprint'/PrimalChaos/1WaterDinos/3Elemental/Electric/Liopleurodon/Electric_Liopleurodon_Character_BP.Electric_Liopleurodon_Character_BP'" 150 0 0 35</v>
      </c>
      <c r="M210" s="10" t="str">
        <f t="shared" si="16"/>
        <v>NPCReplacements=(FromClassName="Electric_Liopleurodon_Character_BP_C",ToClassName="")</v>
      </c>
      <c r="N210" s="2"/>
    </row>
    <row r="211">
      <c r="B211" s="6"/>
      <c r="C211" s="4">
        <v>210.0</v>
      </c>
      <c r="D211" s="4">
        <f t="shared" si="18"/>
        <v>3</v>
      </c>
      <c r="E211" s="7" t="s">
        <v>634</v>
      </c>
      <c r="F211" s="8" t="s">
        <v>582</v>
      </c>
      <c r="G211" s="8"/>
      <c r="H211" s="8" t="s">
        <v>635</v>
      </c>
      <c r="I211" s="8" t="str">
        <f t="shared" si="13"/>
        <v>cheat summon Electric_Manta_Character_BP_C</v>
      </c>
      <c r="J211" s="8" t="str">
        <f t="shared" si="14"/>
        <v>admincheat GMSummon "Electric_Manta_Character_BP_C" 120</v>
      </c>
      <c r="K211" s="8" t="s">
        <v>636</v>
      </c>
      <c r="L211" s="8" t="str">
        <f t="shared" si="15"/>
        <v>cheat SpawnDino "Blueprint'/PrimalChaos/1WaterDinos/3Elemental/Electric/Manta/Electric_Manta_Character_BP.Electric_Manta_Character_BP'" 150 0 0 35</v>
      </c>
      <c r="M211" s="8" t="str">
        <f t="shared" si="16"/>
        <v>NPCReplacements=(FromClassName="Electric_Manta_Character_BP_C",ToClassName="")</v>
      </c>
      <c r="N211" s="2"/>
    </row>
    <row r="212">
      <c r="B212" s="6"/>
      <c r="C212" s="4">
        <v>211.0</v>
      </c>
      <c r="D212" s="4">
        <f t="shared" si="18"/>
        <v>3</v>
      </c>
      <c r="E212" s="9" t="s">
        <v>637</v>
      </c>
      <c r="F212" s="10" t="s">
        <v>582</v>
      </c>
      <c r="G212" s="10"/>
      <c r="H212" s="10" t="s">
        <v>638</v>
      </c>
      <c r="I212" s="10" t="str">
        <f t="shared" si="13"/>
        <v>cheat summon Electric_Megalodon_Character_BP_C</v>
      </c>
      <c r="J212" s="10" t="str">
        <f t="shared" si="14"/>
        <v>admincheat GMSummon "Electric_Megalodon_Character_BP_C" 120</v>
      </c>
      <c r="K212" s="10" t="s">
        <v>639</v>
      </c>
      <c r="L212" s="10" t="str">
        <f t="shared" si="15"/>
        <v>cheat SpawnDino "Blueprint'/PrimalChaos/1WaterDinos/3Elemental/Electric/megalodon/Electric_Megalodon_Character_BP.Electric_Megalodon_Character_BP'" 150 0 0 35</v>
      </c>
      <c r="M212" s="10" t="str">
        <f t="shared" si="16"/>
        <v>NPCReplacements=(FromClassName="Electric_Megalodon_Character_BP_C",ToClassName="")</v>
      </c>
      <c r="N212" s="2"/>
    </row>
    <row r="213">
      <c r="B213" s="6"/>
      <c r="C213" s="4"/>
      <c r="D213" s="4"/>
      <c r="E213" s="7" t="s">
        <v>640</v>
      </c>
      <c r="F213" s="8" t="s">
        <v>582</v>
      </c>
      <c r="G213" s="8"/>
      <c r="H213" s="8" t="s">
        <v>641</v>
      </c>
      <c r="I213" s="8" t="str">
        <f t="shared" si="13"/>
        <v>cheat summon Electric_Mosa_Character_BP_C</v>
      </c>
      <c r="J213" s="8" t="str">
        <f t="shared" si="14"/>
        <v>admincheat GMSummon "Electric_Mosa_Character_BP_C" 120</v>
      </c>
      <c r="K213" s="8" t="s">
        <v>642</v>
      </c>
      <c r="L213" s="8" t="str">
        <f t="shared" si="15"/>
        <v>cheat SpawnDino "Blueprint'/PrimalChaos/1WaterDinos/3Elemental/Electric/mosa/Electric_Mosa_Character_BP.Electric_Mosa_Character_BP'" 150 0 0 35</v>
      </c>
      <c r="M213" s="8" t="str">
        <f t="shared" si="16"/>
        <v>NPCReplacements=(FromClassName="Electric_Mosa_Character_BP_C",ToClassName="")</v>
      </c>
      <c r="N213" s="2"/>
    </row>
    <row r="214">
      <c r="B214" s="6"/>
      <c r="C214" s="4"/>
      <c r="D214" s="4"/>
      <c r="E214" s="9" t="s">
        <v>643</v>
      </c>
      <c r="F214" s="10" t="s">
        <v>582</v>
      </c>
      <c r="G214" s="10"/>
      <c r="H214" s="10" t="s">
        <v>644</v>
      </c>
      <c r="I214" s="10" t="str">
        <f t="shared" si="13"/>
        <v>cheat summon Electric_Piranha_Character_BP_C</v>
      </c>
      <c r="J214" s="10" t="str">
        <f t="shared" si="14"/>
        <v>admincheat GMSummon "Electric_Piranha_Character_BP_C" 120</v>
      </c>
      <c r="K214" s="10" t="s">
        <v>645</v>
      </c>
      <c r="L214" s="10" t="str">
        <f t="shared" si="15"/>
        <v>cheat SpawnDino "Blueprint'/PrimalChaos/1WaterDinos/3Elemental/Electric/Piranha/Electric_Piranha_Character_BP.Electric_Piranha_Character_BP'" 150 0 0 35</v>
      </c>
      <c r="M214" s="10" t="str">
        <f t="shared" si="16"/>
        <v>NPCReplacements=(FromClassName="Electric_Piranha_Character_BP_C",ToClassName="")</v>
      </c>
      <c r="N214" s="2"/>
    </row>
    <row r="215">
      <c r="B215" s="6"/>
      <c r="C215" s="4"/>
      <c r="D215" s="4"/>
      <c r="E215" s="7" t="s">
        <v>646</v>
      </c>
      <c r="F215" s="8" t="s">
        <v>582</v>
      </c>
      <c r="G215" s="8"/>
      <c r="H215" s="8" t="s">
        <v>647</v>
      </c>
      <c r="I215" s="8" t="str">
        <f t="shared" si="13"/>
        <v>cheat summon Electric_Plesiosaur_Character_BP_C</v>
      </c>
      <c r="J215" s="8" t="str">
        <f t="shared" si="14"/>
        <v>admincheat GMSummon "Electric_Plesiosaur_Character_BP_C" 120</v>
      </c>
      <c r="K215" s="8" t="s">
        <v>648</v>
      </c>
      <c r="L215" s="8" t="str">
        <f t="shared" si="15"/>
        <v>cheat SpawnDino "Blueprint'/PrimalChaos/1WaterDinos/3Elemental/Electric/plesio/Electric_Plesiosaur_Character_BP.Electric_Plesiosaur_Character_BP'" 150 0 0 35</v>
      </c>
      <c r="M215" s="8" t="str">
        <f t="shared" si="16"/>
        <v>NPCReplacements=(FromClassName="Electric_Plesiosaur_Character_BP_C",ToClassName="")</v>
      </c>
      <c r="N215" s="2"/>
    </row>
    <row r="216">
      <c r="B216" s="6"/>
      <c r="C216" s="4"/>
      <c r="D216" s="4"/>
      <c r="E216" s="9" t="s">
        <v>649</v>
      </c>
      <c r="F216" s="9" t="s">
        <v>582</v>
      </c>
      <c r="G216" s="10"/>
      <c r="H216" s="9" t="s">
        <v>650</v>
      </c>
      <c r="I216" s="10" t="str">
        <f t="shared" si="13"/>
        <v>cheat summon ElectricCaveWolf_Character_BP_PC_C</v>
      </c>
      <c r="J216" s="10" t="str">
        <f t="shared" si="14"/>
        <v>admincheat GMSummon "ElectricCaveWolf_Character_BP_PC_C" 120</v>
      </c>
      <c r="K216" s="9" t="s">
        <v>651</v>
      </c>
      <c r="L216" s="10" t="str">
        <f t="shared" si="15"/>
        <v>cheat SpawnDino "Blueprint'/PrimalChaos/Content/1Dinos/3Elemental/Electric/Ravager/ElectricCaveWolf_Character_BP_PC'" 150 0 0 35</v>
      </c>
      <c r="M216" s="10" t="str">
        <f t="shared" si="16"/>
        <v>NPCReplacements=(FromClassName="ElectricCaveWolf_Character_BP_PC_C",ToClassName="")</v>
      </c>
      <c r="N216" s="2"/>
    </row>
    <row r="217">
      <c r="B217" s="6"/>
      <c r="C217" s="4"/>
      <c r="D217" s="4"/>
      <c r="E217" s="7" t="s">
        <v>652</v>
      </c>
      <c r="F217" s="8" t="s">
        <v>582</v>
      </c>
      <c r="G217" s="8"/>
      <c r="H217" s="8" t="s">
        <v>653</v>
      </c>
      <c r="I217" s="8" t="str">
        <f t="shared" si="13"/>
        <v>cheat summon ElectricRex_Character_BP_C</v>
      </c>
      <c r="J217" s="8" t="str">
        <f t="shared" si="14"/>
        <v>admincheat GMSummon "ElectricRex_Character_BP_C" 120</v>
      </c>
      <c r="K217" s="8" t="s">
        <v>654</v>
      </c>
      <c r="L217" s="8" t="str">
        <f t="shared" si="15"/>
        <v>cheat SpawnDino "Blueprint'/PrimalChaos/1Dinos/3Elemental/Electric/Rex/ElectricRex_Character_BP.ElectricRex_Character_BP'" 150 0 0 35</v>
      </c>
      <c r="M217" s="8" t="str">
        <f t="shared" si="16"/>
        <v>NPCReplacements=(FromClassName="ElectricRex_Character_BP_C",ToClassName="")</v>
      </c>
      <c r="N217" s="2"/>
    </row>
    <row r="218">
      <c r="B218" s="6"/>
      <c r="C218" s="4">
        <v>221.0</v>
      </c>
      <c r="D218" s="4">
        <f t="shared" ref="D218:D222" si="19">IF(F217="Beta",1)+IF(F217="Alpha",2)+IF(F217="Electric",3)+IF(F217="Volcanic",3)+IF(F217="Hydro",3)+IF(F217="Shadow",4)+IF(F217="Fairy",4)+IF(F217="Mythic",5)+IF(F217="Legendary",5)+IF(F217="Demonic",6)+IF(F217="Angelic",6)+IF(F217="Jester",7)+IF(F217="Nightmare",8)+IF(F217="Vanilla",9)+IF(F217="Boss",8)</f>
        <v>3</v>
      </c>
      <c r="E218" s="9" t="s">
        <v>655</v>
      </c>
      <c r="F218" s="10" t="s">
        <v>582</v>
      </c>
      <c r="G218" s="10"/>
      <c r="H218" s="10" t="s">
        <v>656</v>
      </c>
      <c r="I218" s="10" t="str">
        <f t="shared" si="13"/>
        <v>cheat summon ElectricSaber_Character_BP_C</v>
      </c>
      <c r="J218" s="10" t="str">
        <f t="shared" si="14"/>
        <v>admincheat GMSummon "ElectricSaber_Character_BP_C" 120</v>
      </c>
      <c r="K218" s="10" t="s">
        <v>657</v>
      </c>
      <c r="L218" s="10" t="str">
        <f t="shared" si="15"/>
        <v>cheat SpawnDino "Blueprint'/PrimalChaos/1Dinos/3Elemental/Electric/Saber/ElectricSaber_Character_BP.ElectricSaber_Character_BP'" 150 0 0 35</v>
      </c>
      <c r="M218" s="10" t="str">
        <f t="shared" si="16"/>
        <v>NPCReplacements=(FromClassName="ElectricSaber_Character_BP_C",ToClassName="")</v>
      </c>
      <c r="N218" s="2"/>
    </row>
    <row r="219">
      <c r="B219" s="6"/>
      <c r="C219" s="4">
        <v>222.0</v>
      </c>
      <c r="D219" s="4">
        <f t="shared" si="19"/>
        <v>3</v>
      </c>
      <c r="E219" s="7" t="s">
        <v>658</v>
      </c>
      <c r="F219" s="8" t="s">
        <v>582</v>
      </c>
      <c r="G219" s="8"/>
      <c r="H219" s="8" t="s">
        <v>659</v>
      </c>
      <c r="I219" s="8" t="str">
        <f t="shared" si="13"/>
        <v>cheat summon ElectricThylacoleo_Character_BP_C</v>
      </c>
      <c r="J219" s="8" t="str">
        <f t="shared" si="14"/>
        <v>admincheat GMSummon "ElectricThylacoleo_Character_BP_C" 120</v>
      </c>
      <c r="K219" s="8" t="s">
        <v>660</v>
      </c>
      <c r="L219" s="8" t="str">
        <f t="shared" si="15"/>
        <v>cheat SpawnDino "Blueprint'/PrimalChaos/1Dinos/3Elemental/Electric/Thyla/ElectricThylacoleo_Character_BP.ElectricThylacoleo_Character_BP'" 150 0 0 35</v>
      </c>
      <c r="M219" s="8" t="str">
        <f t="shared" si="16"/>
        <v>NPCReplacements=(FromClassName="ElectricThylacoleo_Character_BP_C",ToClassName="")</v>
      </c>
      <c r="N219" s="2"/>
    </row>
    <row r="220">
      <c r="B220" s="6"/>
      <c r="C220" s="4">
        <v>223.0</v>
      </c>
      <c r="D220" s="4">
        <f t="shared" si="19"/>
        <v>3</v>
      </c>
      <c r="E220" s="9" t="s">
        <v>661</v>
      </c>
      <c r="F220" s="10" t="s">
        <v>582</v>
      </c>
      <c r="G220" s="10"/>
      <c r="H220" s="10" t="s">
        <v>662</v>
      </c>
      <c r="I220" s="10" t="str">
        <f t="shared" si="13"/>
        <v>cheat summon Electric_Trilobite_Character_BP_C</v>
      </c>
      <c r="J220" s="10" t="str">
        <f t="shared" si="14"/>
        <v>admincheat GMSummon "Electric_Trilobite_Character_BP_C" 120</v>
      </c>
      <c r="K220" s="10" t="s">
        <v>663</v>
      </c>
      <c r="L220" s="10" t="str">
        <f t="shared" si="15"/>
        <v>cheat SpawnDino "Blueprint'/PrimalChaos/1WaterDinos/3Elemental/Electric/Trilobite/Electric_Trilobite_Character_BP.Electric_Trilobite_Character_BP'" 150 0 0 35</v>
      </c>
      <c r="M220" s="10" t="str">
        <f t="shared" si="16"/>
        <v>NPCReplacements=(FromClassName="Electric_Trilobite_Character_BP_C",ToClassName="")</v>
      </c>
      <c r="N220" s="2"/>
    </row>
    <row r="221">
      <c r="B221" s="6"/>
      <c r="C221" s="4">
        <v>212.0</v>
      </c>
      <c r="D221" s="4">
        <f t="shared" si="19"/>
        <v>3</v>
      </c>
      <c r="E221" s="7" t="s">
        <v>664</v>
      </c>
      <c r="F221" s="8" t="s">
        <v>582</v>
      </c>
      <c r="G221" s="8"/>
      <c r="H221" s="8" t="s">
        <v>665</v>
      </c>
      <c r="I221" s="8" t="str">
        <f t="shared" si="13"/>
        <v>cheat summon Electric_Tusoteuthis_Character_BP_C</v>
      </c>
      <c r="J221" s="8" t="str">
        <f t="shared" si="14"/>
        <v>admincheat GMSummon "Electric_Tusoteuthis_Character_BP_C" 120</v>
      </c>
      <c r="K221" s="8" t="s">
        <v>666</v>
      </c>
      <c r="L221" s="8" t="str">
        <f t="shared" si="15"/>
        <v>cheat SpawnDino "Blueprint'/PrimalChaos/1WaterDinos/3Elemental/Electric/Tusoteuthis/Electric_Tusoteuthis_Character_BP.Electric_Tusoteuthis_Character_BP'" 150 0 0 35</v>
      </c>
      <c r="M221" s="8" t="str">
        <f t="shared" si="16"/>
        <v>NPCReplacements=(FromClassName="Electric_Tusoteuthis_Character_BP_C",ToClassName="")</v>
      </c>
      <c r="N221" s="2"/>
    </row>
    <row r="222">
      <c r="B222" s="13"/>
      <c r="C222" s="4">
        <v>213.0</v>
      </c>
      <c r="D222" s="4">
        <f t="shared" si="19"/>
        <v>3</v>
      </c>
      <c r="E222" s="22" t="s">
        <v>667</v>
      </c>
      <c r="F222" s="22" t="s">
        <v>582</v>
      </c>
      <c r="G222" s="23"/>
      <c r="H222" s="22" t="s">
        <v>668</v>
      </c>
      <c r="I222" s="10" t="str">
        <f t="shared" si="13"/>
        <v>cheat summon ElectricYiLing_Character_BP_PC_C</v>
      </c>
      <c r="J222" s="10" t="str">
        <f t="shared" si="14"/>
        <v>admincheat GMSummon "ElectricYiLing_Character_BP_PC_C" 120</v>
      </c>
      <c r="K222" s="22" t="s">
        <v>669</v>
      </c>
      <c r="L222" s="10" t="str">
        <f t="shared" si="15"/>
        <v>cheat SpawnDino "Blueprint'/PrimalChaos/Content/1Dinos/3Elemental/Electric/YiLing/ElectricYiLing_Character_BP_PC'" 150 0 0 35</v>
      </c>
      <c r="M222" s="10" t="str">
        <f t="shared" si="16"/>
        <v>NPCReplacements=(FromClassName="ElectricYiLing_Character_BP_PC_C",ToClassName="")</v>
      </c>
      <c r="N222" s="2"/>
    </row>
    <row r="223">
      <c r="B223" s="14"/>
      <c r="C223" s="15"/>
      <c r="D223" s="15"/>
      <c r="E223" s="16"/>
      <c r="F223" s="16"/>
      <c r="G223" s="16"/>
      <c r="H223" s="16"/>
      <c r="I223" s="16"/>
      <c r="J223" s="16"/>
      <c r="K223" s="16"/>
      <c r="L223" s="16"/>
      <c r="M223" s="16"/>
      <c r="N223" s="2"/>
    </row>
    <row r="224">
      <c r="B224" s="24" t="s">
        <v>670</v>
      </c>
      <c r="C224" s="4">
        <v>252.0</v>
      </c>
      <c r="D224" s="4">
        <f t="shared" ref="D224:D230" si="20">IF(F224="Beta",1)+IF(F224="Alpha",2)+IF(F224="Electric",3)+IF(F224="Volcanic",3)+IF(F224="Hydro",3)+IF(F224="Shadow",4)+IF(F224="Fairy",4)+IF(F224="Mythic",5)+IF(F224="Legendary",5)+IF(F224="Demonic",6)+IF(F224="Angelic",6)+IF(F224="Jester",7)+IF(F224="Nightmare",8)+IF(F224="Vanilla",9)+IF(F224="Boss",8)</f>
        <v>3</v>
      </c>
      <c r="E224" s="9" t="s">
        <v>671</v>
      </c>
      <c r="F224" s="10" t="s">
        <v>670</v>
      </c>
      <c r="G224" s="10"/>
      <c r="H224" s="9" t="s">
        <v>672</v>
      </c>
      <c r="I224" s="10" t="str">
        <f t="shared" ref="I224:I251" si="21">"cheat summon "&amp;H224</f>
        <v>cheat summon HydroAllo_Character_BP_PC_C</v>
      </c>
      <c r="J224" s="10" t="str">
        <f t="shared" ref="J224:J251" si="22"> "admincheat GMSummon " &amp;CHAR(34) &amp; H224&amp;CHAR(34)&amp; " 120"</f>
        <v>admincheat GMSummon "HydroAllo_Character_BP_PC_C" 120</v>
      </c>
      <c r="K224" s="9" t="s">
        <v>673</v>
      </c>
      <c r="L224" s="10" t="str">
        <f t="shared" ref="L224:L251" si="23">IF(K224&lt;&gt;"","cheat SpawnDino "&amp;CHAR(34)&amp;"Blueprint'"&amp;K224&amp;"'"&amp;CHAR(34)&amp;" 150 0 0 35","")</f>
        <v>cheat SpawnDino "Blueprint'/PrimalChaos/1Dinos/3Elemental/Hydro/Allo/HydroAllo_Character_BP_PC.HydroAllo_Character_BP_PC'" 150 0 0 35</v>
      </c>
      <c r="M224" s="10" t="str">
        <f t="shared" ref="M224:M251" si="24">"NPCReplacements=(FromClassName="&amp;CHAR(34)&amp;H224&amp;""&amp;CHAR(34)&amp;",ToClassName="&amp;CHAR(34)&amp;CHAR(34)&amp;")"</f>
        <v>NPCReplacements=(FromClassName="HydroAllo_Character_BP_PC_C",ToClassName="")</v>
      </c>
      <c r="N224" s="2"/>
    </row>
    <row r="225">
      <c r="B225" s="6"/>
      <c r="C225" s="4">
        <v>229.0</v>
      </c>
      <c r="D225" s="4">
        <f t="shared" si="20"/>
        <v>3</v>
      </c>
      <c r="E225" s="7" t="s">
        <v>674</v>
      </c>
      <c r="F225" s="8" t="s">
        <v>670</v>
      </c>
      <c r="G225" s="8"/>
      <c r="H225" s="7" t="s">
        <v>675</v>
      </c>
      <c r="I225" s="8" t="str">
        <f t="shared" si="21"/>
        <v>cheat summon Hydro_Baryonyx_Character_BP_PC_C</v>
      </c>
      <c r="J225" s="8" t="str">
        <f t="shared" si="22"/>
        <v>admincheat GMSummon "Hydro_Baryonyx_Character_BP_PC_C" 120</v>
      </c>
      <c r="K225" s="7" t="s">
        <v>676</v>
      </c>
      <c r="L225" s="8" t="str">
        <f t="shared" si="23"/>
        <v>cheat SpawnDino "Blueprint'/PrimalChaos/1Dinos/3Elemental/Hydro/Bary/Hydro_Baryonyx_Character_BP_PC.Hydro_Baryonyx_Character_BP_PC'" 150 0 0 35</v>
      </c>
      <c r="M225" s="8" t="str">
        <f t="shared" si="24"/>
        <v>NPCReplacements=(FromClassName="Hydro_Baryonyx_Character_BP_PC_C",ToClassName="")</v>
      </c>
      <c r="N225" s="2"/>
    </row>
    <row r="226">
      <c r="B226" s="6"/>
      <c r="C226" s="4">
        <v>230.0</v>
      </c>
      <c r="D226" s="4">
        <f t="shared" si="20"/>
        <v>3</v>
      </c>
      <c r="E226" s="9" t="s">
        <v>677</v>
      </c>
      <c r="F226" s="10" t="s">
        <v>670</v>
      </c>
      <c r="G226" s="10"/>
      <c r="H226" s="9" t="s">
        <v>678</v>
      </c>
      <c r="I226" s="10" t="str">
        <f t="shared" si="21"/>
        <v>cheat summon Hydro_Basilo_Character_BP_C</v>
      </c>
      <c r="J226" s="10" t="str">
        <f t="shared" si="22"/>
        <v>admincheat GMSummon "Hydro_Basilo_Character_BP_C" 120</v>
      </c>
      <c r="K226" s="9" t="s">
        <v>679</v>
      </c>
      <c r="L226" s="10" t="str">
        <f t="shared" si="23"/>
        <v>cheat SpawnDino "Blueprint'/PrimalChaos/1WaterDinos/3Elemental/Hydro/Basilo/Hydro_Basilo_Character_BP.Hydro_Basilo_Character_BP'" 150 0 0 35</v>
      </c>
      <c r="M226" s="10" t="str">
        <f t="shared" si="24"/>
        <v>NPCReplacements=(FromClassName="Hydro_Basilo_Character_BP_C",ToClassName="")</v>
      </c>
      <c r="N226" s="2"/>
    </row>
    <row r="227">
      <c r="B227" s="6"/>
      <c r="C227" s="4">
        <v>231.0</v>
      </c>
      <c r="D227" s="4">
        <f t="shared" si="20"/>
        <v>3</v>
      </c>
      <c r="E227" s="7" t="s">
        <v>680</v>
      </c>
      <c r="F227" s="8" t="s">
        <v>670</v>
      </c>
      <c r="G227" s="8"/>
      <c r="H227" s="7" t="s">
        <v>681</v>
      </c>
      <c r="I227" s="8" t="str">
        <f t="shared" si="21"/>
        <v>cheat summon Hydro_Beaver_Character_BP_PC_C</v>
      </c>
      <c r="J227" s="8" t="str">
        <f t="shared" si="22"/>
        <v>admincheat GMSummon "Hydro_Beaver_Character_BP_PC_C" 120</v>
      </c>
      <c r="K227" s="7" t="s">
        <v>682</v>
      </c>
      <c r="L227" s="8" t="str">
        <f t="shared" si="23"/>
        <v>cheat SpawnDino "Blueprint'/PrimalChaos/1Dinos/3Elemental/Hydro/Beaver/Hydro_Beaver_Character_BP_PC.Hydro_Beaver_Character_BP_PC'" 150 0 0 35</v>
      </c>
      <c r="M227" s="8" t="str">
        <f t="shared" si="24"/>
        <v>NPCReplacements=(FromClassName="Hydro_Beaver_Character_BP_PC_C",ToClassName="")</v>
      </c>
      <c r="N227" s="2"/>
    </row>
    <row r="228">
      <c r="B228" s="6"/>
      <c r="C228" s="4">
        <v>232.0</v>
      </c>
      <c r="D228" s="4">
        <f t="shared" si="20"/>
        <v>3</v>
      </c>
      <c r="E228" s="9" t="s">
        <v>683</v>
      </c>
      <c r="F228" s="10" t="s">
        <v>670</v>
      </c>
      <c r="G228" s="10"/>
      <c r="H228" s="9" t="s">
        <v>684</v>
      </c>
      <c r="I228" s="10" t="str">
        <f t="shared" si="21"/>
        <v>cheat summon Hydro_Cnidaria_Character_BP_C</v>
      </c>
      <c r="J228" s="10" t="str">
        <f t="shared" si="22"/>
        <v>admincheat GMSummon "Hydro_Cnidaria_Character_BP_C" 120</v>
      </c>
      <c r="K228" s="9" t="s">
        <v>685</v>
      </c>
      <c r="L228" s="10" t="str">
        <f t="shared" si="23"/>
        <v>cheat SpawnDino "Blueprint'/PrimalChaos/1WaterDinos/3Elemental/Hydro/Cnidaria/Hydro_Cnidaria_Character_BP.Hydro_Cnidaria_Character_BP'" 150 0 0 35</v>
      </c>
      <c r="M228" s="10" t="str">
        <f t="shared" si="24"/>
        <v>NPCReplacements=(FromClassName="Hydro_Cnidaria_Character_BP_C",ToClassName="")</v>
      </c>
      <c r="N228" s="2"/>
    </row>
    <row r="229">
      <c r="B229" s="6"/>
      <c r="C229" s="4">
        <v>233.0</v>
      </c>
      <c r="D229" s="4">
        <f t="shared" si="20"/>
        <v>3</v>
      </c>
      <c r="E229" s="7" t="s">
        <v>686</v>
      </c>
      <c r="F229" s="8" t="s">
        <v>670</v>
      </c>
      <c r="G229" s="8"/>
      <c r="H229" s="7" t="s">
        <v>687</v>
      </c>
      <c r="I229" s="8" t="str">
        <f t="shared" si="21"/>
        <v>cheat summon Hydro_Diplocaulus_Character_BP_PC_C</v>
      </c>
      <c r="J229" s="8" t="str">
        <f t="shared" si="22"/>
        <v>admincheat GMSummon "Hydro_Diplocaulus_Character_BP_PC_C" 120</v>
      </c>
      <c r="K229" s="7" t="s">
        <v>688</v>
      </c>
      <c r="L229" s="8" t="str">
        <f t="shared" si="23"/>
        <v>cheat SpawnDino "Blueprint'/PrimalChaos/1Dinos/3Elemental/Hydro/Diplocaulus/Hydro_Diplocaulus_Character_BP_PC.Hydro_Diplocaulus_Character_BP_PC'" 150 0 0 35</v>
      </c>
      <c r="M229" s="8" t="str">
        <f t="shared" si="24"/>
        <v>NPCReplacements=(FromClassName="Hydro_Diplocaulus_Character_BP_PC_C",ToClassName="")</v>
      </c>
      <c r="N229" s="2"/>
    </row>
    <row r="230" hidden="1">
      <c r="B230" s="6"/>
      <c r="C230" s="4">
        <v>234.0</v>
      </c>
      <c r="D230" s="4">
        <f t="shared" si="20"/>
        <v>3</v>
      </c>
      <c r="E230" s="9" t="s">
        <v>689</v>
      </c>
      <c r="F230" s="10" t="s">
        <v>670</v>
      </c>
      <c r="G230" s="25" t="s">
        <v>690</v>
      </c>
      <c r="H230" s="10" t="s">
        <v>691</v>
      </c>
      <c r="I230" s="10" t="str">
        <f t="shared" si="21"/>
        <v>cheat summon Hydro_DodoRex_Character_BP_C</v>
      </c>
      <c r="J230" s="10" t="str">
        <f t="shared" si="22"/>
        <v>admincheat GMSummon "Hydro_DodoRex_Character_BP_C" 120</v>
      </c>
      <c r="K230" s="10" t="s">
        <v>692</v>
      </c>
      <c r="L230" s="10" t="str">
        <f t="shared" si="23"/>
        <v>cheat SpawnDino "Blueprint'/PrimalChaos/1Dinos/3Elemental/Hydro/Dodorex/Hydro_DodoRex_Character_BP.Hydro_DodoRex_Character_BP'" 150 0 0 35</v>
      </c>
      <c r="M230" s="10" t="str">
        <f t="shared" si="24"/>
        <v>NPCReplacements=(FromClassName="Hydro_DodoRex_Character_BP_C",ToClassName="")</v>
      </c>
      <c r="N230" s="2"/>
    </row>
    <row r="231">
      <c r="B231" s="6"/>
      <c r="C231" s="4"/>
      <c r="D231" s="4"/>
      <c r="E231" s="7" t="s">
        <v>689</v>
      </c>
      <c r="F231" s="8" t="s">
        <v>670</v>
      </c>
      <c r="G231" s="26" t="s">
        <v>693</v>
      </c>
      <c r="H231" s="7" t="s">
        <v>694</v>
      </c>
      <c r="I231" s="8" t="str">
        <f t="shared" si="21"/>
        <v>cheat summon Hydro_DodoRex_Character_BP_PC_C</v>
      </c>
      <c r="J231" s="8" t="str">
        <f t="shared" si="22"/>
        <v>admincheat GMSummon "Hydro_DodoRex_Character_BP_PC_C" 120</v>
      </c>
      <c r="K231" s="7" t="s">
        <v>695</v>
      </c>
      <c r="L231" s="8" t="str">
        <f t="shared" si="23"/>
        <v>cheat SpawnDino "Blueprint'/PrimalChaos/1Dinos/3Elemental/Hydro/Dodorex/Hydro_DodoRex_Character_BP_PC.Hydro_DodoRex_Character_BP_PC'" 150 0 0 35</v>
      </c>
      <c r="M231" s="8" t="str">
        <f t="shared" si="24"/>
        <v>NPCReplacements=(FromClassName="Hydro_DodoRex_Character_BP_PC_C",ToClassName="")</v>
      </c>
      <c r="N231" s="2"/>
    </row>
    <row r="232">
      <c r="B232" s="6"/>
      <c r="C232" s="4"/>
      <c r="D232" s="4"/>
      <c r="E232" s="9" t="s">
        <v>696</v>
      </c>
      <c r="F232" s="10"/>
      <c r="G232" s="10"/>
      <c r="H232" s="9" t="s">
        <v>697</v>
      </c>
      <c r="I232" s="10" t="str">
        <f t="shared" si="21"/>
        <v>cheat summon HydroDragon_Character_BP_PC_C</v>
      </c>
      <c r="J232" s="10" t="str">
        <f t="shared" si="22"/>
        <v>admincheat GMSummon "HydroDragon_Character_BP_PC_C" 120</v>
      </c>
      <c r="K232" s="9" t="s">
        <v>698</v>
      </c>
      <c r="L232" s="10" t="str">
        <f t="shared" si="23"/>
        <v>cheat SpawnDino "Blueprint'/PrimalChaos/Content/1Dinos/3Elemental/Hydro/Dragon/HydroDragon_Character_BP_PC'" 150 0 0 35</v>
      </c>
      <c r="M232" s="10" t="str">
        <f t="shared" si="24"/>
        <v>NPCReplacements=(FromClassName="HydroDragon_Character_BP_PC_C",ToClassName="")</v>
      </c>
      <c r="N232" s="2"/>
    </row>
    <row r="233">
      <c r="B233" s="6"/>
      <c r="C233" s="4">
        <v>235.0</v>
      </c>
      <c r="D233" s="4">
        <f t="shared" ref="D233:D251" si="25">IF(F233="Beta",1)+IF(F233="Alpha",2)+IF(F233="Electric",3)+IF(F233="Volcanic",3)+IF(F233="Hydro",3)+IF(F233="Shadow",4)+IF(F233="Fairy",4)+IF(F233="Mythic",5)+IF(F233="Legendary",5)+IF(F233="Demonic",6)+IF(F233="Angelic",6)+IF(F233="Jester",7)+IF(F233="Nightmare",8)+IF(F233="Vanilla",9)+IF(F233="Boss",8)</f>
        <v>3</v>
      </c>
      <c r="E233" s="7" t="s">
        <v>699</v>
      </c>
      <c r="F233" s="8" t="s">
        <v>670</v>
      </c>
      <c r="G233" s="8"/>
      <c r="H233" s="7" t="s">
        <v>700</v>
      </c>
      <c r="I233" s="8" t="str">
        <f t="shared" si="21"/>
        <v>cheat summon Hydro_Dunkleo_Character_BP_C</v>
      </c>
      <c r="J233" s="8" t="str">
        <f t="shared" si="22"/>
        <v>admincheat GMSummon "Hydro_Dunkleo_Character_BP_C" 120</v>
      </c>
      <c r="K233" s="7" t="s">
        <v>701</v>
      </c>
      <c r="L233" s="8" t="str">
        <f t="shared" si="23"/>
        <v>cheat SpawnDino "Blueprint'/PrimalChaos/1WaterDinos/3Elemental/Hydro/Dunkleo/Hydro_Dunkleo_Character_BP.Hydro_Dunkleo_Character_BP'" 150 0 0 35</v>
      </c>
      <c r="M233" s="8" t="str">
        <f t="shared" si="24"/>
        <v>NPCReplacements=(FromClassName="Hydro_Dunkleo_Character_BP_C",ToClassName="")</v>
      </c>
      <c r="N233" s="2"/>
    </row>
    <row r="234">
      <c r="B234" s="6"/>
      <c r="C234" s="4">
        <v>236.0</v>
      </c>
      <c r="D234" s="4">
        <f t="shared" si="25"/>
        <v>3</v>
      </c>
      <c r="E234" s="9" t="s">
        <v>702</v>
      </c>
      <c r="F234" s="10" t="s">
        <v>670</v>
      </c>
      <c r="G234" s="10"/>
      <c r="H234" s="9" t="s">
        <v>703</v>
      </c>
      <c r="I234" s="10" t="str">
        <f t="shared" si="21"/>
        <v>cheat summon Hydro_Electrophorus_Character_BP_C</v>
      </c>
      <c r="J234" s="10" t="str">
        <f t="shared" si="22"/>
        <v>admincheat GMSummon "Hydro_Electrophorus_Character_BP_C" 120</v>
      </c>
      <c r="K234" s="9" t="s">
        <v>704</v>
      </c>
      <c r="L234" s="10" t="str">
        <f t="shared" si="23"/>
        <v>cheat SpawnDino "Blueprint'/PrimalChaos/1WaterDinos/3Elemental/Hydro/Electrophorus/Hydro_Electrophorus_Character_BP.Hydro_Electrophorus_Character_BP'" 150 0 0 35</v>
      </c>
      <c r="M234" s="10" t="str">
        <f t="shared" si="24"/>
        <v>NPCReplacements=(FromClassName="Hydro_Electrophorus_Character_BP_C",ToClassName="")</v>
      </c>
      <c r="N234" s="2"/>
    </row>
    <row r="235">
      <c r="B235" s="6"/>
      <c r="C235" s="4">
        <v>237.0</v>
      </c>
      <c r="D235" s="4">
        <f t="shared" si="25"/>
        <v>3</v>
      </c>
      <c r="E235" s="7" t="s">
        <v>705</v>
      </c>
      <c r="F235" s="8" t="s">
        <v>670</v>
      </c>
      <c r="G235" s="8"/>
      <c r="H235" s="7" t="s">
        <v>706</v>
      </c>
      <c r="I235" s="8" t="str">
        <f t="shared" si="21"/>
        <v>cheat summon Hydro_Eurypterid_Character_BP_C</v>
      </c>
      <c r="J235" s="8" t="str">
        <f t="shared" si="22"/>
        <v>admincheat GMSummon "Hydro_Eurypterid_Character_BP_C" 120</v>
      </c>
      <c r="K235" s="7" t="s">
        <v>707</v>
      </c>
      <c r="L235" s="8" t="str">
        <f t="shared" si="23"/>
        <v>cheat SpawnDino "Blueprint'/PrimalChaos/1WaterDinos/3Elemental/Hydro/Eurypterid/Hydro_Eurypterid_Character_BP.Hydro_Eurypterid_Character_BP'" 150 0 0 35</v>
      </c>
      <c r="M235" s="8" t="str">
        <f t="shared" si="24"/>
        <v>NPCReplacements=(FromClassName="Hydro_Eurypterid_Character_BP_C",ToClassName="")</v>
      </c>
      <c r="N235" s="2"/>
    </row>
    <row r="236">
      <c r="B236" s="6"/>
      <c r="C236" s="4">
        <v>238.0</v>
      </c>
      <c r="D236" s="4">
        <f t="shared" si="25"/>
        <v>3</v>
      </c>
      <c r="E236" s="9" t="s">
        <v>708</v>
      </c>
      <c r="F236" s="10" t="s">
        <v>670</v>
      </c>
      <c r="G236" s="10"/>
      <c r="H236" s="9" t="s">
        <v>709</v>
      </c>
      <c r="I236" s="10" t="str">
        <f t="shared" si="21"/>
        <v>cheat summon Hydro_Frog_Character_BP_PC_C</v>
      </c>
      <c r="J236" s="10" t="str">
        <f t="shared" si="22"/>
        <v>admincheat GMSummon "Hydro_Frog_Character_BP_PC_C" 120</v>
      </c>
      <c r="K236" s="9" t="s">
        <v>710</v>
      </c>
      <c r="L236" s="10" t="str">
        <f t="shared" si="23"/>
        <v>cheat SpawnDino "Blueprint'/PrimalChaos/1Dinos/3Elemental/Hydro/Frog/Hydro_Frog_Character_BP_PC.Hydro_Frog_Character_BP_PC'" 150 0 0 35</v>
      </c>
      <c r="M236" s="10" t="str">
        <f t="shared" si="24"/>
        <v>NPCReplacements=(FromClassName="Hydro_Frog_Character_BP_PC_C",ToClassName="")</v>
      </c>
      <c r="N236" s="2"/>
    </row>
    <row r="237">
      <c r="B237" s="6"/>
      <c r="C237" s="4">
        <v>239.0</v>
      </c>
      <c r="D237" s="4">
        <f t="shared" si="25"/>
        <v>3</v>
      </c>
      <c r="E237" s="7" t="s">
        <v>711</v>
      </c>
      <c r="F237" s="8" t="s">
        <v>670</v>
      </c>
      <c r="G237" s="8"/>
      <c r="H237" s="7" t="s">
        <v>712</v>
      </c>
      <c r="I237" s="8" t="str">
        <f t="shared" si="21"/>
        <v>cheat summon Hydro_Kairuku_Character_BP_PC_C</v>
      </c>
      <c r="J237" s="8" t="str">
        <f t="shared" si="22"/>
        <v>admincheat GMSummon "Hydro_Kairuku_Character_BP_PC_C" 120</v>
      </c>
      <c r="K237" s="7" t="s">
        <v>713</v>
      </c>
      <c r="L237" s="8" t="str">
        <f t="shared" si="23"/>
        <v>cheat SpawnDino "Blueprint'/PrimalChaos/1Dinos/3Elemental/Hydro/Kairuku/Hydro_Kairuku_Character_BP_PC.Hydro_Kairuku_Character_BP_PC'" 150 0 0 35</v>
      </c>
      <c r="M237" s="8" t="str">
        <f t="shared" si="24"/>
        <v>NPCReplacements=(FromClassName="Hydro_Kairuku_Character_BP_PC_C",ToClassName="")</v>
      </c>
      <c r="N237" s="2"/>
    </row>
    <row r="238">
      <c r="B238" s="6"/>
      <c r="C238" s="4">
        <v>240.0</v>
      </c>
      <c r="D238" s="4">
        <f t="shared" si="25"/>
        <v>3</v>
      </c>
      <c r="E238" s="9" t="s">
        <v>714</v>
      </c>
      <c r="F238" s="10" t="s">
        <v>670</v>
      </c>
      <c r="G238" s="10"/>
      <c r="H238" s="9" t="s">
        <v>715</v>
      </c>
      <c r="I238" s="10" t="str">
        <f t="shared" si="21"/>
        <v>cheat summon Hydro_Kapro_Character_BP_PC_C</v>
      </c>
      <c r="J238" s="10" t="str">
        <f t="shared" si="22"/>
        <v>admincheat GMSummon "Hydro_Kapro_Character_BP_PC_C" 120</v>
      </c>
      <c r="K238" s="9" t="s">
        <v>716</v>
      </c>
      <c r="L238" s="10" t="str">
        <f t="shared" si="23"/>
        <v>cheat SpawnDino "Blueprint'/PrimalChaos/1Dinos/3Elemental/Hydro/Kapro/Hydro_Kapro_Character_BP_PC.Hydro_Kapro_Character_BP_PC'" 150 0 0 35</v>
      </c>
      <c r="M238" s="10" t="str">
        <f t="shared" si="24"/>
        <v>NPCReplacements=(FromClassName="Hydro_Kapro_Character_BP_PC_C",ToClassName="")</v>
      </c>
      <c r="N238" s="2"/>
    </row>
    <row r="239">
      <c r="B239" s="6"/>
      <c r="C239" s="4">
        <v>241.0</v>
      </c>
      <c r="D239" s="4">
        <f t="shared" si="25"/>
        <v>3</v>
      </c>
      <c r="E239" s="7" t="s">
        <v>717</v>
      </c>
      <c r="F239" s="8" t="s">
        <v>670</v>
      </c>
      <c r="G239" s="8"/>
      <c r="H239" s="7" t="s">
        <v>718</v>
      </c>
      <c r="I239" s="8" t="str">
        <f t="shared" si="21"/>
        <v>cheat summon Hydro_Liopleurodon_Character_BP_C</v>
      </c>
      <c r="J239" s="8" t="str">
        <f t="shared" si="22"/>
        <v>admincheat GMSummon "Hydro_Liopleurodon_Character_BP_C" 120</v>
      </c>
      <c r="K239" s="7" t="s">
        <v>719</v>
      </c>
      <c r="L239" s="8" t="str">
        <f t="shared" si="23"/>
        <v>cheat SpawnDino "Blueprint'/PrimalChaos/1WaterDinos/3Elemental/Hydro/liopleurodon/Hydro_Liopleurodon_Character_BP.Hydro_Liopleurodon_Character_BP'" 150 0 0 35</v>
      </c>
      <c r="M239" s="8" t="str">
        <f t="shared" si="24"/>
        <v>NPCReplacements=(FromClassName="Hydro_Liopleurodon_Character_BP_C",ToClassName="")</v>
      </c>
      <c r="N239" s="2"/>
    </row>
    <row r="240">
      <c r="B240" s="6"/>
      <c r="C240" s="4">
        <v>242.0</v>
      </c>
      <c r="D240" s="4">
        <f t="shared" si="25"/>
        <v>3</v>
      </c>
      <c r="E240" s="9" t="s">
        <v>720</v>
      </c>
      <c r="F240" s="10" t="s">
        <v>670</v>
      </c>
      <c r="G240" s="10"/>
      <c r="H240" s="9" t="s">
        <v>721</v>
      </c>
      <c r="I240" s="10" t="str">
        <f t="shared" si="21"/>
        <v>cheat summon Hydro_Manta_Character_BP_C</v>
      </c>
      <c r="J240" s="10" t="str">
        <f t="shared" si="22"/>
        <v>admincheat GMSummon "Hydro_Manta_Character_BP_C" 120</v>
      </c>
      <c r="K240" s="9" t="s">
        <v>722</v>
      </c>
      <c r="L240" s="10" t="str">
        <f t="shared" si="23"/>
        <v>cheat SpawnDino "Blueprint'/PrimalChaos/1WaterDinos/3Elemental/Hydro/manta/Hydro_Manta_Character_BP.Hydro_Manta_Character_BP'" 150 0 0 35</v>
      </c>
      <c r="M240" s="10" t="str">
        <f t="shared" si="24"/>
        <v>NPCReplacements=(FromClassName="Hydro_Manta_Character_BP_C",ToClassName="")</v>
      </c>
      <c r="N240" s="2"/>
    </row>
    <row r="241">
      <c r="B241" s="6"/>
      <c r="C241" s="4">
        <v>243.0</v>
      </c>
      <c r="D241" s="4">
        <f t="shared" si="25"/>
        <v>3</v>
      </c>
      <c r="E241" s="7" t="s">
        <v>723</v>
      </c>
      <c r="F241" s="8" t="s">
        <v>670</v>
      </c>
      <c r="G241" s="8"/>
      <c r="H241" s="7" t="s">
        <v>724</v>
      </c>
      <c r="I241" s="8" t="str">
        <f t="shared" si="21"/>
        <v>cheat summon Hydro_Megalodon_Character_BP_C</v>
      </c>
      <c r="J241" s="8" t="str">
        <f t="shared" si="22"/>
        <v>admincheat GMSummon "Hydro_Megalodon_Character_BP_C" 120</v>
      </c>
      <c r="K241" s="7" t="s">
        <v>725</v>
      </c>
      <c r="L241" s="8" t="str">
        <f t="shared" si="23"/>
        <v>cheat SpawnDino "Blueprint'/PrimalChaos/1WaterDinos/3Elemental/Hydro/megalodon/Hydro_Megalodon_Character_BP.Hydro_Megalodon_Character_BP'" 150 0 0 35</v>
      </c>
      <c r="M241" s="8" t="str">
        <f t="shared" si="24"/>
        <v>NPCReplacements=(FromClassName="Hydro_Megalodon_Character_BP_C",ToClassName="")</v>
      </c>
      <c r="N241" s="2"/>
    </row>
    <row r="242">
      <c r="B242" s="6"/>
      <c r="C242" s="4">
        <v>244.0</v>
      </c>
      <c r="D242" s="4">
        <f t="shared" si="25"/>
        <v>3</v>
      </c>
      <c r="E242" s="9" t="s">
        <v>726</v>
      </c>
      <c r="F242" s="10" t="s">
        <v>670</v>
      </c>
      <c r="G242" s="10"/>
      <c r="H242" s="9" t="s">
        <v>727</v>
      </c>
      <c r="I242" s="10" t="str">
        <f t="shared" si="21"/>
        <v>cheat summon Hydro_Mosa_Character_BP_C</v>
      </c>
      <c r="J242" s="10" t="str">
        <f t="shared" si="22"/>
        <v>admincheat GMSummon "Hydro_Mosa_Character_BP_C" 120</v>
      </c>
      <c r="K242" s="9" t="s">
        <v>728</v>
      </c>
      <c r="L242" s="10" t="str">
        <f t="shared" si="23"/>
        <v>cheat SpawnDino "Blueprint'/PrimalChaos/1WaterDinos/3Elemental/Hydro/mosa/Hydro_Mosa_Character_BP.Hydro_Mosa_Character_BP'" 150 0 0 35</v>
      </c>
      <c r="M242" s="10" t="str">
        <f t="shared" si="24"/>
        <v>NPCReplacements=(FromClassName="Hydro_Mosa_Character_BP_C",ToClassName="")</v>
      </c>
      <c r="N242" s="2"/>
    </row>
    <row r="243">
      <c r="B243" s="6"/>
      <c r="C243" s="4">
        <v>245.0</v>
      </c>
      <c r="D243" s="4">
        <f t="shared" si="25"/>
        <v>3</v>
      </c>
      <c r="E243" s="7" t="s">
        <v>729</v>
      </c>
      <c r="F243" s="8" t="s">
        <v>670</v>
      </c>
      <c r="G243" s="8"/>
      <c r="H243" s="7" t="s">
        <v>730</v>
      </c>
      <c r="I243" s="8" t="str">
        <f t="shared" si="21"/>
        <v>cheat summon Hydro_Otter_Character_BP_PC_C</v>
      </c>
      <c r="J243" s="8" t="str">
        <f t="shared" si="22"/>
        <v>admincheat GMSummon "Hydro_Otter_Character_BP_PC_C" 120</v>
      </c>
      <c r="K243" s="7" t="s">
        <v>731</v>
      </c>
      <c r="L243" s="8" t="str">
        <f t="shared" si="23"/>
        <v>cheat SpawnDino "Blueprint'/PrimalChaos/1Dinos/3Elemental/Hydro/Otter/Hydro_Otter_Character_BP_PC.Hydro_Otter_Character_BP_PC'" 150 0 0 35</v>
      </c>
      <c r="M243" s="8" t="str">
        <f t="shared" si="24"/>
        <v>NPCReplacements=(FromClassName="Hydro_Otter_Character_BP_PC_C",ToClassName="")</v>
      </c>
      <c r="N243" s="2"/>
    </row>
    <row r="244">
      <c r="B244" s="6"/>
      <c r="C244" s="4">
        <v>246.0</v>
      </c>
      <c r="D244" s="4">
        <f t="shared" si="25"/>
        <v>3</v>
      </c>
      <c r="E244" s="9" t="s">
        <v>732</v>
      </c>
      <c r="F244" s="10" t="s">
        <v>670</v>
      </c>
      <c r="G244" s="10"/>
      <c r="H244" s="9" t="s">
        <v>733</v>
      </c>
      <c r="I244" s="10" t="str">
        <f t="shared" si="21"/>
        <v>cheat summon Hydro_Piranha_Character_BP_C</v>
      </c>
      <c r="J244" s="10" t="str">
        <f t="shared" si="22"/>
        <v>admincheat GMSummon "Hydro_Piranha_Character_BP_C" 120</v>
      </c>
      <c r="K244" s="9" t="s">
        <v>734</v>
      </c>
      <c r="L244" s="10" t="str">
        <f t="shared" si="23"/>
        <v>cheat SpawnDino "Blueprint'/PrimalChaos/1WaterDinos/3Elemental/Hydro/Piranha/Hydro_Piranha_Character_BP.Hydro_Piranha_Character_BP'" 150 0 0 35</v>
      </c>
      <c r="M244" s="10" t="str">
        <f t="shared" si="24"/>
        <v>NPCReplacements=(FromClassName="Hydro_Piranha_Character_BP_C",ToClassName="")</v>
      </c>
      <c r="N244" s="2"/>
    </row>
    <row r="245">
      <c r="B245" s="6"/>
      <c r="C245" s="4">
        <v>247.0</v>
      </c>
      <c r="D245" s="4">
        <f t="shared" si="25"/>
        <v>3</v>
      </c>
      <c r="E245" s="7" t="s">
        <v>735</v>
      </c>
      <c r="F245" s="8" t="s">
        <v>670</v>
      </c>
      <c r="G245" s="8"/>
      <c r="H245" s="7" t="s">
        <v>736</v>
      </c>
      <c r="I245" s="8" t="str">
        <f t="shared" si="21"/>
        <v>cheat summon Hydro_Plesiosaur_Character_BP_C</v>
      </c>
      <c r="J245" s="8" t="str">
        <f t="shared" si="22"/>
        <v>admincheat GMSummon "Hydro_Plesiosaur_Character_BP_C" 120</v>
      </c>
      <c r="K245" s="7" t="s">
        <v>737</v>
      </c>
      <c r="L245" s="8" t="str">
        <f t="shared" si="23"/>
        <v>cheat SpawnDino "Blueprint'/PrimalChaos/1WaterDinos/3Elemental/Hydro/Plesio/Hydro_Plesiosaur_Character_BP.Hydro_Plesiosaur_Character_BP'" 150 0 0 35</v>
      </c>
      <c r="M245" s="8" t="str">
        <f t="shared" si="24"/>
        <v>NPCReplacements=(FromClassName="Hydro_Plesiosaur_Character_BP_C",ToClassName="")</v>
      </c>
      <c r="N245" s="2"/>
    </row>
    <row r="246">
      <c r="B246" s="6"/>
      <c r="C246" s="4">
        <v>257.0</v>
      </c>
      <c r="D246" s="4">
        <f t="shared" si="25"/>
        <v>3</v>
      </c>
      <c r="E246" s="9" t="s">
        <v>738</v>
      </c>
      <c r="F246" s="10" t="s">
        <v>670</v>
      </c>
      <c r="G246" s="10"/>
      <c r="H246" s="9" t="s">
        <v>739</v>
      </c>
      <c r="I246" s="10" t="str">
        <f t="shared" si="21"/>
        <v>cheat summon HydroRex_Character_BP_PC_C</v>
      </c>
      <c r="J246" s="10" t="str">
        <f t="shared" si="22"/>
        <v>admincheat GMSummon "HydroRex_Character_BP_PC_C" 120</v>
      </c>
      <c r="K246" s="9" t="s">
        <v>740</v>
      </c>
      <c r="L246" s="10" t="str">
        <f t="shared" si="23"/>
        <v>cheat SpawnDino "Blueprint'/PrimalChaos/1Dinos/3Elemental/Hydro/Rex/HydroRex_Character_BP_PC.HydroRex_Character_BP_PC'" 150 0 0 35</v>
      </c>
      <c r="M246" s="10" t="str">
        <f t="shared" si="24"/>
        <v>NPCReplacements=(FromClassName="HydroRex_Character_BP_PC_C",ToClassName="")</v>
      </c>
      <c r="N246" s="2"/>
    </row>
    <row r="247">
      <c r="B247" s="6"/>
      <c r="C247" s="4">
        <v>248.0</v>
      </c>
      <c r="D247" s="4">
        <f t="shared" si="25"/>
        <v>3</v>
      </c>
      <c r="E247" s="7" t="s">
        <v>741</v>
      </c>
      <c r="F247" s="8" t="s">
        <v>670</v>
      </c>
      <c r="G247" s="8"/>
      <c r="H247" s="7" t="s">
        <v>742</v>
      </c>
      <c r="I247" s="8" t="str">
        <f t="shared" si="21"/>
        <v>cheat summon Hydro_Sarco_Character_BP_PC_C</v>
      </c>
      <c r="J247" s="8" t="str">
        <f t="shared" si="22"/>
        <v>admincheat GMSummon "Hydro_Sarco_Character_BP_PC_C" 120</v>
      </c>
      <c r="K247" s="7" t="s">
        <v>743</v>
      </c>
      <c r="L247" s="8" t="str">
        <f t="shared" si="23"/>
        <v>cheat SpawnDino "Blueprint'/PrimalChaos/1Dinos/3Elemental/Hydro/Sarco/Hydro_Sarco_Character_BP_PC.Hydro_Sarco_Character_BP_PC'" 150 0 0 35</v>
      </c>
      <c r="M247" s="8" t="str">
        <f t="shared" si="24"/>
        <v>NPCReplacements=(FromClassName="Hydro_Sarco_Character_BP_PC_C",ToClassName="")</v>
      </c>
      <c r="N247" s="2"/>
    </row>
    <row r="248">
      <c r="B248" s="6"/>
      <c r="C248" s="4">
        <v>258.0</v>
      </c>
      <c r="D248" s="4">
        <f t="shared" si="25"/>
        <v>3</v>
      </c>
      <c r="E248" s="9" t="s">
        <v>744</v>
      </c>
      <c r="F248" s="10" t="s">
        <v>670</v>
      </c>
      <c r="G248" s="10"/>
      <c r="H248" s="9" t="s">
        <v>745</v>
      </c>
      <c r="I248" s="10" t="str">
        <f t="shared" si="21"/>
        <v>cheat summon HydroSpino_Character_BP_PC_C</v>
      </c>
      <c r="J248" s="10" t="str">
        <f t="shared" si="22"/>
        <v>admincheat GMSummon "HydroSpino_Character_BP_PC_C" 120</v>
      </c>
      <c r="K248" s="9" t="s">
        <v>746</v>
      </c>
      <c r="L248" s="10" t="str">
        <f t="shared" si="23"/>
        <v>cheat SpawnDino "Blueprint'/PrimalChaos/1Dinos/3Elemental/Hydro/Spino/HydroSpino_Character_BP_PC.HydroSpino_Character_BP_PC'" 150 0 0 35</v>
      </c>
      <c r="M248" s="10" t="str">
        <f t="shared" si="24"/>
        <v>NPCReplacements=(FromClassName="HydroSpino_Character_BP_PC_C",ToClassName="")</v>
      </c>
      <c r="N248" s="2"/>
    </row>
    <row r="249">
      <c r="B249" s="6"/>
      <c r="C249" s="4">
        <v>249.0</v>
      </c>
      <c r="D249" s="4">
        <f t="shared" si="25"/>
        <v>3</v>
      </c>
      <c r="E249" s="7" t="s">
        <v>747</v>
      </c>
      <c r="F249" s="8" t="s">
        <v>670</v>
      </c>
      <c r="G249" s="8"/>
      <c r="H249" s="7" t="s">
        <v>748</v>
      </c>
      <c r="I249" s="8" t="str">
        <f t="shared" si="21"/>
        <v>cheat summon Hydro_Trilobite_Character_BP_C</v>
      </c>
      <c r="J249" s="8" t="str">
        <f t="shared" si="22"/>
        <v>admincheat GMSummon "Hydro_Trilobite_Character_BP_C" 120</v>
      </c>
      <c r="K249" s="7" t="s">
        <v>749</v>
      </c>
      <c r="L249" s="8" t="str">
        <f t="shared" si="23"/>
        <v>cheat SpawnDino "Blueprint'/PrimalChaos/1WaterDinos/3Elemental/Hydro/trilobite/Hydro_Trilobite_Character_BP.Hydro_Trilobite_Character_BP'" 150 0 0 35</v>
      </c>
      <c r="M249" s="8" t="str">
        <f t="shared" si="24"/>
        <v>NPCReplacements=(FromClassName="Hydro_Trilobite_Character_BP_C",ToClassName="")</v>
      </c>
      <c r="N249" s="2"/>
    </row>
    <row r="250">
      <c r="B250" s="6"/>
      <c r="C250" s="4">
        <v>250.0</v>
      </c>
      <c r="D250" s="4">
        <f t="shared" si="25"/>
        <v>3</v>
      </c>
      <c r="E250" s="9" t="s">
        <v>750</v>
      </c>
      <c r="F250" s="10" t="s">
        <v>670</v>
      </c>
      <c r="G250" s="10"/>
      <c r="H250" s="9" t="s">
        <v>751</v>
      </c>
      <c r="I250" s="10" t="str">
        <f t="shared" si="21"/>
        <v>cheat summon Hydro_Turtle_Character_BP_PC_C</v>
      </c>
      <c r="J250" s="10" t="str">
        <f t="shared" si="22"/>
        <v>admincheat GMSummon "Hydro_Turtle_Character_BP_PC_C" 120</v>
      </c>
      <c r="K250" s="9" t="s">
        <v>752</v>
      </c>
      <c r="L250" s="10" t="str">
        <f t="shared" si="23"/>
        <v>cheat SpawnDino "Blueprint'/PrimalChaos/1Dinos/3Elemental/Hydro/Carbonemys/Hydro_Turtle_Character_BP_PC.Hydro_Turtle_Character_BP_PC'" 150 0 0 35</v>
      </c>
      <c r="M250" s="10" t="str">
        <f t="shared" si="24"/>
        <v>NPCReplacements=(FromClassName="Hydro_Turtle_Character_BP_PC_C",ToClassName="")</v>
      </c>
      <c r="N250" s="2"/>
    </row>
    <row r="251">
      <c r="B251" s="13"/>
      <c r="C251" s="4">
        <v>251.0</v>
      </c>
      <c r="D251" s="4">
        <f t="shared" si="25"/>
        <v>3</v>
      </c>
      <c r="E251" s="7" t="s">
        <v>753</v>
      </c>
      <c r="F251" s="8" t="s">
        <v>670</v>
      </c>
      <c r="G251" s="8"/>
      <c r="H251" s="7" t="s">
        <v>754</v>
      </c>
      <c r="I251" s="8" t="str">
        <f t="shared" si="21"/>
        <v>cheat summon Hydro_Tusoteuthis_Character_BP_C</v>
      </c>
      <c r="J251" s="8" t="str">
        <f t="shared" si="22"/>
        <v>admincheat GMSummon "Hydro_Tusoteuthis_Character_BP_C" 120</v>
      </c>
      <c r="K251" s="7" t="s">
        <v>755</v>
      </c>
      <c r="L251" s="8" t="str">
        <f t="shared" si="23"/>
        <v>cheat SpawnDino "Blueprint'/PrimalChaos/1WaterDinos/3Elemental/Hydro/Tusoteuthis/Hydro_Tusoteuthis_Character_BP.Hydro_Tusoteuthis_Character_BP'" 150 0 0 35</v>
      </c>
      <c r="M251" s="8" t="str">
        <f t="shared" si="24"/>
        <v>NPCReplacements=(FromClassName="Hydro_Tusoteuthis_Character_BP_C",ToClassName="")</v>
      </c>
      <c r="N251" s="2"/>
    </row>
    <row r="252">
      <c r="B252" s="14"/>
      <c r="C252" s="15"/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2"/>
    </row>
    <row r="253">
      <c r="B253" s="27" t="s">
        <v>756</v>
      </c>
      <c r="C253" s="4">
        <v>369.0</v>
      </c>
      <c r="D253" s="4">
        <f t="shared" ref="D253:D254" si="26">IF(F253="Beta",1)+IF(F253="Alpha",2)+IF(F253="Electric",3)+IF(F253="Volcanic",3)+IF(F253="Hydro",3)+IF(F253="Shadow",4)+IF(F253="Fairy",4)+IF(F253="Mythic",5)+IF(F253="Legendary",5)+IF(F253="Demonic",6)+IF(F253="Angelic",6)+IF(F253="Jester",7)+IF(F253="Nightmare",8)+IF(F253="Vanilla",9)+IF(F253="Boss",8)</f>
        <v>3</v>
      </c>
      <c r="E253" s="7" t="s">
        <v>757</v>
      </c>
      <c r="F253" s="8" t="s">
        <v>756</v>
      </c>
      <c r="G253" s="8"/>
      <c r="H253" s="7" t="s">
        <v>758</v>
      </c>
      <c r="I253" s="8" t="str">
        <f t="shared" ref="I253:I283" si="27">"cheat summon "&amp;H253</f>
        <v>cheat summon VolcanicAllo_Character_BP_PC_C</v>
      </c>
      <c r="J253" s="8" t="str">
        <f t="shared" ref="J253:J283" si="28"> "admincheat GMSummon " &amp;CHAR(34) &amp; H253&amp;CHAR(34)&amp; " 120"</f>
        <v>admincheat GMSummon "VolcanicAllo_Character_BP_PC_C" 120</v>
      </c>
      <c r="K253" s="7" t="s">
        <v>759</v>
      </c>
      <c r="L253" s="8" t="str">
        <f t="shared" ref="L253:L283" si="29">IF(K253&lt;&gt;"","cheat SpawnDino "&amp;CHAR(34)&amp;"Blueprint'"&amp;K253&amp;"'"&amp;CHAR(34)&amp;" 150 0 0 35","")</f>
        <v>cheat SpawnDino "Blueprint'/PrimalChaos/1Dinos/3Elemental/Volcanic/Allo/VolcanicAllo_Character_BP_PC.VolcanicAllo_Character_BP_PC'" 150 0 0 35</v>
      </c>
      <c r="M253" s="8" t="str">
        <f t="shared" ref="M253:M283" si="30">"NPCReplacements=(FromClassName="&amp;CHAR(34)&amp;H253&amp;""&amp;CHAR(34)&amp;",ToClassName="&amp;CHAR(34)&amp;CHAR(34)&amp;")"</f>
        <v>NPCReplacements=(FromClassName="VolcanicAllo_Character_BP_PC_C",ToClassName="")</v>
      </c>
      <c r="N253" s="2"/>
    </row>
    <row r="254">
      <c r="B254" s="6"/>
      <c r="C254" s="4">
        <v>353.0</v>
      </c>
      <c r="D254" s="4">
        <f t="shared" si="26"/>
        <v>3</v>
      </c>
      <c r="E254" s="9" t="s">
        <v>760</v>
      </c>
      <c r="F254" s="10" t="s">
        <v>756</v>
      </c>
      <c r="G254" s="10"/>
      <c r="H254" s="9" t="s">
        <v>761</v>
      </c>
      <c r="I254" s="10" t="str">
        <f t="shared" si="27"/>
        <v>cheat summon Volcanic_Basilo_Character_BP_C</v>
      </c>
      <c r="J254" s="10" t="str">
        <f t="shared" si="28"/>
        <v>admincheat GMSummon "Volcanic_Basilo_Character_BP_C" 120</v>
      </c>
      <c r="K254" s="9" t="s">
        <v>762</v>
      </c>
      <c r="L254" s="10" t="str">
        <f t="shared" si="29"/>
        <v>cheat SpawnDino "Blueprint'/PrimalChaos/1WaterDinos/3Elemental/Volcanic/Basilo/Volcanic_Basilo_Character_BP.Volcanic_Basilo_Character_BP'" 150 0 0 35</v>
      </c>
      <c r="M254" s="10" t="str">
        <f t="shared" si="30"/>
        <v>NPCReplacements=(FromClassName="Volcanic_Basilo_Character_BP_C",ToClassName="")</v>
      </c>
      <c r="N254" s="2"/>
    </row>
    <row r="255">
      <c r="B255" s="6"/>
      <c r="C255" s="4">
        <v>354.0</v>
      </c>
      <c r="D255" s="4">
        <f t="shared" ref="D255:D263" si="31">IF(F257="Beta",1)+IF(F257="Alpha",2)+IF(F257="Electric",3)+IF(F257="Volcanic",3)+IF(F257="Hydro",3)+IF(F257="Shadow",4)+IF(F257="Fairy",4)+IF(F257="Mythic",5)+IF(F257="Legendary",5)+IF(F257="Demonic",6)+IF(F257="Angelic",6)+IF(F257="Jester",7)+IF(F257="Nightmare",8)+IF(F257="Vanilla",9)+IF(F257="Boss",8)</f>
        <v>3</v>
      </c>
      <c r="E255" s="20" t="s">
        <v>763</v>
      </c>
      <c r="F255" s="20" t="s">
        <v>756</v>
      </c>
      <c r="G255" s="21"/>
      <c r="H255" s="20" t="s">
        <v>764</v>
      </c>
      <c r="I255" s="8" t="str">
        <f t="shared" si="27"/>
        <v>cheat summon VolcanicBasilisk_Character_BP_PC_C</v>
      </c>
      <c r="J255" s="8" t="str">
        <f t="shared" si="28"/>
        <v>admincheat GMSummon "VolcanicBasilisk_Character_BP_PC_C" 120</v>
      </c>
      <c r="K255" s="20" t="s">
        <v>765</v>
      </c>
      <c r="L255" s="8" t="str">
        <f t="shared" si="29"/>
        <v>cheat SpawnDino "Blueprint'/PrimalChaos/Content/1Dinos/3Elemental/Volcanic/Basilisk/VolcanicBasilisk_Character_BP_PC'" 150 0 0 35</v>
      </c>
      <c r="M255" s="8" t="str">
        <f t="shared" si="30"/>
        <v>NPCReplacements=(FromClassName="VolcanicBasilisk_Character_BP_PC_C",ToClassName="")</v>
      </c>
      <c r="N255" s="2"/>
    </row>
    <row r="256">
      <c r="B256" s="6"/>
      <c r="C256" s="4">
        <v>370.0</v>
      </c>
      <c r="D256" s="4">
        <f t="shared" si="31"/>
        <v>3</v>
      </c>
      <c r="E256" s="22" t="s">
        <v>766</v>
      </c>
      <c r="F256" s="22" t="s">
        <v>756</v>
      </c>
      <c r="G256" s="23"/>
      <c r="H256" s="22" t="s">
        <v>767</v>
      </c>
      <c r="I256" s="10" t="str">
        <f t="shared" si="27"/>
        <v>cheat summon VolcanicCeratosaurus_Character_BP_ASA_PC_C</v>
      </c>
      <c r="J256" s="10" t="str">
        <f t="shared" si="28"/>
        <v>admincheat GMSummon "VolcanicCeratosaurus_Character_BP_ASA_PC_C" 120</v>
      </c>
      <c r="K256" s="22" t="s">
        <v>768</v>
      </c>
      <c r="L256" s="10" t="str">
        <f t="shared" si="29"/>
        <v>cheat SpawnDino "Blueprint'/PrimalChaos/Content/1Dinos/3Elemental/Volcanic/Cerato/VolcanicCeratosaurus_Character_BP_ASA_PC'" 150 0 0 35</v>
      </c>
      <c r="M256" s="10" t="str">
        <f t="shared" si="30"/>
        <v>NPCReplacements=(FromClassName="VolcanicCeratosaurus_Character_BP_ASA_PC_C",ToClassName="")</v>
      </c>
      <c r="N256" s="2"/>
    </row>
    <row r="257">
      <c r="B257" s="6"/>
      <c r="C257" s="4">
        <v>355.0</v>
      </c>
      <c r="D257" s="4">
        <f t="shared" si="31"/>
        <v>3</v>
      </c>
      <c r="E257" s="7" t="s">
        <v>769</v>
      </c>
      <c r="F257" s="8" t="s">
        <v>756</v>
      </c>
      <c r="G257" s="8"/>
      <c r="H257" s="7" t="s">
        <v>770</v>
      </c>
      <c r="I257" s="8" t="str">
        <f t="shared" si="27"/>
        <v>cheat summon Volcanic_Cnidaria_Character_BP_C</v>
      </c>
      <c r="J257" s="8" t="str">
        <f t="shared" si="28"/>
        <v>admincheat GMSummon "Volcanic_Cnidaria_Character_BP_C" 120</v>
      </c>
      <c r="K257" s="7" t="s">
        <v>771</v>
      </c>
      <c r="L257" s="8" t="str">
        <f t="shared" si="29"/>
        <v>cheat SpawnDino "Blueprint'/PrimalChaos/1WaterDinos/3Elemental/Volcanic/Cnidaria/Volcanic_Cnidaria_Character_BP.Volcanic_Cnidaria_Character_BP'" 150 0 0 35</v>
      </c>
      <c r="M257" s="8" t="str">
        <f t="shared" si="30"/>
        <v>NPCReplacements=(FromClassName="Volcanic_Cnidaria_Character_BP_C",ToClassName="")</v>
      </c>
      <c r="N257" s="2"/>
    </row>
    <row r="258">
      <c r="B258" s="6"/>
      <c r="C258" s="4">
        <v>356.0</v>
      </c>
      <c r="D258" s="4">
        <f t="shared" si="31"/>
        <v>3</v>
      </c>
      <c r="E258" s="9" t="s">
        <v>772</v>
      </c>
      <c r="F258" s="10" t="s">
        <v>756</v>
      </c>
      <c r="G258" s="10"/>
      <c r="H258" s="9" t="s">
        <v>773</v>
      </c>
      <c r="I258" s="10" t="str">
        <f t="shared" si="27"/>
        <v>cheat summon VolcanicDeathworm_Character_BP_PC_C</v>
      </c>
      <c r="J258" s="10" t="str">
        <f t="shared" si="28"/>
        <v>admincheat GMSummon "VolcanicDeathworm_Character_BP_PC_C" 120</v>
      </c>
      <c r="K258" s="9" t="s">
        <v>774</v>
      </c>
      <c r="L258" s="10" t="str">
        <f t="shared" si="29"/>
        <v>cheat SpawnDino "Blueprint'/PrimalChaos/1Dinos/3Elemental/Volcanic/Deathworm/VolcanicDeathworm_Character_BP_PC.VolcanicDeathworm_Character_BP_PC'" 150 0 0 35</v>
      </c>
      <c r="M258" s="10" t="str">
        <f t="shared" si="30"/>
        <v>NPCReplacements=(FromClassName="VolcanicDeathworm_Character_BP_PC_C",ToClassName="")</v>
      </c>
      <c r="N258" s="2"/>
    </row>
    <row r="259">
      <c r="B259" s="6"/>
      <c r="C259" s="4">
        <v>357.0</v>
      </c>
      <c r="D259" s="4">
        <f t="shared" si="31"/>
        <v>3</v>
      </c>
      <c r="E259" s="7" t="s">
        <v>775</v>
      </c>
      <c r="F259" s="8" t="s">
        <v>756</v>
      </c>
      <c r="G259" s="8"/>
      <c r="H259" s="7" t="s">
        <v>776</v>
      </c>
      <c r="I259" s="8" t="str">
        <f t="shared" si="27"/>
        <v>cheat summon Volcanic_Diplo_Character_BP_C</v>
      </c>
      <c r="J259" s="8" t="str">
        <f t="shared" si="28"/>
        <v>admincheat GMSummon "Volcanic_Diplo_Character_BP_C" 120</v>
      </c>
      <c r="K259" s="7" t="s">
        <v>777</v>
      </c>
      <c r="L259" s="8" t="str">
        <f t="shared" si="29"/>
        <v>cheat SpawnDino "Blueprint'/PrimalChaos/1WaterDinos/3Elemental/Volcanic/Diplocaulus/Volcanic_Diplo_Character_BP.Volcanic_Diplo_Character_BP'" 150 0 0 35</v>
      </c>
      <c r="M259" s="8" t="str">
        <f t="shared" si="30"/>
        <v>NPCReplacements=(FromClassName="Volcanic_Diplo_Character_BP_C",ToClassName="")</v>
      </c>
      <c r="N259" s="2"/>
    </row>
    <row r="260">
      <c r="B260" s="6"/>
      <c r="C260" s="4">
        <v>371.0</v>
      </c>
      <c r="D260" s="4">
        <f t="shared" si="31"/>
        <v>3</v>
      </c>
      <c r="E260" s="9" t="s">
        <v>778</v>
      </c>
      <c r="F260" s="10" t="s">
        <v>756</v>
      </c>
      <c r="G260" s="12"/>
      <c r="H260" s="9" t="s">
        <v>779</v>
      </c>
      <c r="I260" s="10" t="str">
        <f t="shared" si="27"/>
        <v>cheat summon Volcanic_DodoRex_Character_BP_PC_C</v>
      </c>
      <c r="J260" s="10" t="str">
        <f t="shared" si="28"/>
        <v>admincheat GMSummon "Volcanic_DodoRex_Character_BP_PC_C" 120</v>
      </c>
      <c r="K260" s="9" t="s">
        <v>780</v>
      </c>
      <c r="L260" s="10" t="str">
        <f t="shared" si="29"/>
        <v>cheat SpawnDino "Blueprint'/PrimalChaos/1Dinos/3Elemental/Volcanic/Dodorex/Volcanic_DodoRex_Character_BP_PC.Volcanic_DodoRex_Character_BP_PC'" 150 0 0 35</v>
      </c>
      <c r="M260" s="10" t="str">
        <f t="shared" si="30"/>
        <v>NPCReplacements=(FromClassName="Volcanic_DodoRex_Character_BP_PC_C",ToClassName="")</v>
      </c>
      <c r="N260" s="2"/>
    </row>
    <row r="261">
      <c r="B261" s="6"/>
      <c r="C261" s="4">
        <v>358.0</v>
      </c>
      <c r="D261" s="4">
        <f t="shared" si="31"/>
        <v>3</v>
      </c>
      <c r="E261" s="7" t="s">
        <v>781</v>
      </c>
      <c r="F261" s="8" t="s">
        <v>756</v>
      </c>
      <c r="G261" s="8"/>
      <c r="H261" s="7" t="s">
        <v>782</v>
      </c>
      <c r="I261" s="8" t="str">
        <f t="shared" si="27"/>
        <v>cheat summon Volcanic_Dolphin_Character_BP_C</v>
      </c>
      <c r="J261" s="8" t="str">
        <f t="shared" si="28"/>
        <v>admincheat GMSummon "Volcanic_Dolphin_Character_BP_C" 120</v>
      </c>
      <c r="K261" s="7" t="s">
        <v>783</v>
      </c>
      <c r="L261" s="8" t="str">
        <f t="shared" si="29"/>
        <v>cheat SpawnDino "Blueprint'/PrimalChaos/1WaterDinos/3Elemental/Volcanic/Ichtyo/Volcanic_Dolphin_Character_BP.Volcanic_Dolphin_Character_BP'" 150 0 0 35</v>
      </c>
      <c r="M261" s="8" t="str">
        <f t="shared" si="30"/>
        <v>NPCReplacements=(FromClassName="Volcanic_Dolphin_Character_BP_C",ToClassName="")</v>
      </c>
      <c r="N261" s="2"/>
    </row>
    <row r="262">
      <c r="B262" s="6"/>
      <c r="C262" s="4">
        <v>359.0</v>
      </c>
      <c r="D262" s="4">
        <f t="shared" si="31"/>
        <v>3</v>
      </c>
      <c r="E262" s="9" t="s">
        <v>784</v>
      </c>
      <c r="F262" s="10" t="s">
        <v>756</v>
      </c>
      <c r="G262" s="10"/>
      <c r="H262" s="9" t="s">
        <v>785</v>
      </c>
      <c r="I262" s="10" t="str">
        <f t="shared" si="27"/>
        <v>cheat summon VolcanicDragon_Character_BP_PC_C</v>
      </c>
      <c r="J262" s="10" t="str">
        <f t="shared" si="28"/>
        <v>admincheat GMSummon "VolcanicDragon_Character_BP_PC_C" 120</v>
      </c>
      <c r="K262" s="9" t="s">
        <v>786</v>
      </c>
      <c r="L262" s="10" t="str">
        <f t="shared" si="29"/>
        <v>cheat SpawnDino "Blueprint'/PrimalChaos/1Dinos/3Elemental/Volcanic/Dragon/VolcanicDragon_Character_BP_PC.VolcanicDragon_Character_BP_PC'" 150 0 0 35</v>
      </c>
      <c r="M262" s="10" t="str">
        <f t="shared" si="30"/>
        <v>NPCReplacements=(FromClassName="VolcanicDragon_Character_BP_PC_C",ToClassName="")</v>
      </c>
      <c r="N262" s="2"/>
    </row>
    <row r="263">
      <c r="B263" s="6"/>
      <c r="C263" s="4">
        <v>360.0</v>
      </c>
      <c r="D263" s="4">
        <f t="shared" si="31"/>
        <v>3</v>
      </c>
      <c r="E263" s="7" t="s">
        <v>787</v>
      </c>
      <c r="F263" s="8" t="s">
        <v>756</v>
      </c>
      <c r="G263" s="8"/>
      <c r="H263" s="7" t="s">
        <v>788</v>
      </c>
      <c r="I263" s="8" t="str">
        <f t="shared" si="27"/>
        <v>cheat summon Volcanic_Dunkleo_Character_BP_C</v>
      </c>
      <c r="J263" s="8" t="str">
        <f t="shared" si="28"/>
        <v>admincheat GMSummon "Volcanic_Dunkleo_Character_BP_C" 120</v>
      </c>
      <c r="K263" s="7" t="s">
        <v>789</v>
      </c>
      <c r="L263" s="8" t="str">
        <f t="shared" si="29"/>
        <v>cheat SpawnDino "Blueprint'/PrimalChaos/1WaterDinos/3Elemental/Volcanic/Dunkleo/Volcanic_Dunkleo_Character_BP.Volcanic_Dunkleo_Character_BP'" 150 0 0 35</v>
      </c>
      <c r="M263" s="8" t="str">
        <f t="shared" si="30"/>
        <v>NPCReplacements=(FromClassName="Volcanic_Dunkleo_Character_BP_C",ToClassName="")</v>
      </c>
      <c r="N263" s="2"/>
    </row>
    <row r="264">
      <c r="B264" s="6"/>
      <c r="C264" s="4">
        <v>361.0</v>
      </c>
      <c r="D264" s="4" t="str">
        <f>IF(#REF!="Beta",1)+IF(#REF!="Alpha",2)+IF(#REF!="Electric",3)+IF(#REF!="Volcanic",3)+IF(#REF!="Hydro",3)+IF(#REF!="Shadow",4)+IF(#REF!="Fairy",4)+IF(#REF!="Mythic",5)+IF(#REF!="Legendary",5)+IF(#REF!="Demonic",6)+IF(#REF!="Angelic",6)+IF(#REF!="Jester",7)+IF(#REF!="Nightmare",8)+IF(#REF!="Vanilla",9)+IF(#REF!="Boss",8)</f>
        <v>#REF!</v>
      </c>
      <c r="E264" s="9" t="s">
        <v>790</v>
      </c>
      <c r="F264" s="10" t="s">
        <v>756</v>
      </c>
      <c r="G264" s="10"/>
      <c r="H264" s="9" t="s">
        <v>791</v>
      </c>
      <c r="I264" s="10" t="str">
        <f t="shared" si="27"/>
        <v>cheat summon Volcanic_Electrophorus_Character_BP_C</v>
      </c>
      <c r="J264" s="10" t="str">
        <f t="shared" si="28"/>
        <v>admincheat GMSummon "Volcanic_Electrophorus_Character_BP_C" 120</v>
      </c>
      <c r="K264" s="9" t="s">
        <v>792</v>
      </c>
      <c r="L264" s="10" t="str">
        <f t="shared" si="29"/>
        <v>cheat SpawnDino "Blueprint'/PrimalChaos/1WaterDinos/3Elemental/Volcanic/Electrophorus/Volcanic_Electrophorus_Character_BP.Volcanic_Electrophorus_Character_BP'" 150 0 0 35</v>
      </c>
      <c r="M264" s="10" t="str">
        <f t="shared" si="30"/>
        <v>NPCReplacements=(FromClassName="Volcanic_Electrophorus_Character_BP_C",ToClassName="")</v>
      </c>
      <c r="N264" s="2"/>
    </row>
    <row r="265">
      <c r="B265" s="6"/>
      <c r="C265" s="4"/>
      <c r="D265" s="4"/>
      <c r="E265" s="7" t="s">
        <v>793</v>
      </c>
      <c r="F265" s="8" t="s">
        <v>756</v>
      </c>
      <c r="G265" s="8"/>
      <c r="H265" s="7" t="s">
        <v>794</v>
      </c>
      <c r="I265" s="8" t="str">
        <f t="shared" si="27"/>
        <v>cheat summon Volcanic_Eurypterid_Character_BP_C</v>
      </c>
      <c r="J265" s="8" t="str">
        <f t="shared" si="28"/>
        <v>admincheat GMSummon "Volcanic_Eurypterid_Character_BP_C" 120</v>
      </c>
      <c r="K265" s="7" t="s">
        <v>795</v>
      </c>
      <c r="L265" s="8" t="str">
        <f t="shared" si="29"/>
        <v>cheat SpawnDino "Blueprint'/PrimalChaos/1WaterDinos/3Elemental/Volcanic/Eurypterid/Volcanic_Eurypterid_Character_BP.Volcanic_Eurypterid_Character_BP'" 150 0 0 35</v>
      </c>
      <c r="M265" s="8" t="str">
        <f t="shared" si="30"/>
        <v>NPCReplacements=(FromClassName="Volcanic_Eurypterid_Character_BP_C",ToClassName="")</v>
      </c>
      <c r="N265" s="2"/>
    </row>
    <row r="266">
      <c r="B266" s="6"/>
      <c r="C266" s="4">
        <v>363.0</v>
      </c>
      <c r="D266" s="4">
        <f t="shared" ref="D266:D269" si="32">IF(F266="Beta",1)+IF(F266="Alpha",2)+IF(F266="Electric",3)+IF(F266="Volcanic",3)+IF(F266="Hydro",3)+IF(F266="Shadow",4)+IF(F266="Fairy",4)+IF(F266="Mythic",5)+IF(F266="Legendary",5)+IF(F266="Demonic",6)+IF(F266="Angelic",6)+IF(F266="Jester",7)+IF(F266="Nightmare",8)+IF(F266="Vanilla",9)+IF(F266="Boss",8)</f>
        <v>3</v>
      </c>
      <c r="E266" s="9" t="s">
        <v>796</v>
      </c>
      <c r="F266" s="10" t="s">
        <v>756</v>
      </c>
      <c r="G266" s="10"/>
      <c r="H266" s="9" t="s">
        <v>797</v>
      </c>
      <c r="I266" s="10" t="str">
        <f t="shared" si="27"/>
        <v>cheat summon VolcanicRockGolem_Character_BP_PC_C</v>
      </c>
      <c r="J266" s="10" t="str">
        <f t="shared" si="28"/>
        <v>admincheat GMSummon "VolcanicRockGolem_Character_BP_PC_C" 120</v>
      </c>
      <c r="K266" s="9" t="s">
        <v>798</v>
      </c>
      <c r="L266" s="10" t="str">
        <f t="shared" si="29"/>
        <v>cheat SpawnDino "Blueprint'/PrimalChaos/Content/1Dinos/3Elemental/Volcanic/Golem/VolcanicRockGolem_Character_BP_PC'" 150 0 0 35</v>
      </c>
      <c r="M266" s="10" t="str">
        <f t="shared" si="30"/>
        <v>NPCReplacements=(FromClassName="VolcanicRockGolem_Character_BP_PC_C",ToClassName="")</v>
      </c>
      <c r="N266" s="2"/>
    </row>
    <row r="267">
      <c r="B267" s="6"/>
      <c r="C267" s="4">
        <v>364.0</v>
      </c>
      <c r="D267" s="4">
        <f t="shared" si="32"/>
        <v>3</v>
      </c>
      <c r="E267" s="7" t="s">
        <v>799</v>
      </c>
      <c r="F267" s="8" t="s">
        <v>756</v>
      </c>
      <c r="G267" s="8"/>
      <c r="H267" s="7" t="s">
        <v>800</v>
      </c>
      <c r="I267" s="8" t="str">
        <f t="shared" si="27"/>
        <v>cheat summon Volcanic_Liopleurodon_Character_BP_C</v>
      </c>
      <c r="J267" s="8" t="str">
        <f t="shared" si="28"/>
        <v>admincheat GMSummon "Volcanic_Liopleurodon_Character_BP_C" 120</v>
      </c>
      <c r="K267" s="7" t="s">
        <v>801</v>
      </c>
      <c r="L267" s="8" t="str">
        <f t="shared" si="29"/>
        <v>cheat SpawnDino "Blueprint'/PrimalChaos/1WaterDinos/3Elemental/Volcanic/Liopleurodon/Volcanic_Liopleurodon_Character_BP.Volcanic_Liopleurodon_Character_BP'" 150 0 0 35</v>
      </c>
      <c r="M267" s="8" t="str">
        <f t="shared" si="30"/>
        <v>NPCReplacements=(FromClassName="Volcanic_Liopleurodon_Character_BP_C",ToClassName="")</v>
      </c>
      <c r="N267" s="2"/>
    </row>
    <row r="268">
      <c r="B268" s="6"/>
      <c r="C268" s="4">
        <v>365.0</v>
      </c>
      <c r="D268" s="4">
        <f t="shared" si="32"/>
        <v>3</v>
      </c>
      <c r="E268" s="9" t="s">
        <v>802</v>
      </c>
      <c r="F268" s="9" t="s">
        <v>756</v>
      </c>
      <c r="G268" s="10"/>
      <c r="H268" s="22" t="s">
        <v>803</v>
      </c>
      <c r="I268" s="10" t="str">
        <f t="shared" si="27"/>
        <v>cheat summon VolcanicMaelizard_Character_BP_PC_C</v>
      </c>
      <c r="J268" s="10" t="str">
        <f t="shared" si="28"/>
        <v>admincheat GMSummon "VolcanicMaelizard_Character_BP_PC_C" 120</v>
      </c>
      <c r="K268" s="22" t="s">
        <v>804</v>
      </c>
      <c r="L268" s="10" t="str">
        <f t="shared" si="29"/>
        <v>cheat SpawnDino "Blueprint'/PrimalChaos/1Dinos/3Elemental/Volcanic/Maeguana/VolcanicMaelizard_Character_BP_PC.VolcanicMaelizard_Character_BP_PC'" 150 0 0 35</v>
      </c>
      <c r="M268" s="10" t="str">
        <f t="shared" si="30"/>
        <v>NPCReplacements=(FromClassName="VolcanicMaelizard_Character_BP_PC_C",ToClassName="")</v>
      </c>
      <c r="N268" s="2"/>
    </row>
    <row r="269">
      <c r="B269" s="6"/>
      <c r="C269" s="4">
        <v>366.0</v>
      </c>
      <c r="D269" s="4">
        <f t="shared" si="32"/>
        <v>3</v>
      </c>
      <c r="E269" s="7" t="s">
        <v>805</v>
      </c>
      <c r="F269" s="8" t="s">
        <v>756</v>
      </c>
      <c r="G269" s="8"/>
      <c r="H269" s="7" t="s">
        <v>806</v>
      </c>
      <c r="I269" s="8" t="str">
        <f t="shared" si="27"/>
        <v>cheat summon Volcanic_Manta_Character_BP_C</v>
      </c>
      <c r="J269" s="8" t="str">
        <f t="shared" si="28"/>
        <v>admincheat GMSummon "Volcanic_Manta_Character_BP_C" 120</v>
      </c>
      <c r="K269" s="7" t="s">
        <v>807</v>
      </c>
      <c r="L269" s="8" t="str">
        <f t="shared" si="29"/>
        <v>cheat SpawnDino "Blueprint'/PrimalChaos/1WaterDinos/3Elemental/Volcanic/manta/Volcanic_Manta_Character_BP.Volcanic_Manta_Character_BP'" 150 0 0 35</v>
      </c>
      <c r="M269" s="8" t="str">
        <f t="shared" si="30"/>
        <v>NPCReplacements=(FromClassName="Volcanic_Manta_Character_BP_C",ToClassName="")</v>
      </c>
      <c r="N269" s="2"/>
    </row>
    <row r="270">
      <c r="B270" s="6"/>
      <c r="C270" s="4">
        <v>375.0</v>
      </c>
      <c r="D270" s="4">
        <f>IF(F275="Beta",1)+IF(F275="Alpha",2)+IF(F275="Electric",3)+IF(F275="Volcanic",3)+IF(F275="Hydro",3)+IF(F275="Shadow",4)+IF(F275="Fairy",4)+IF(F275="Mythic",5)+IF(F275="Legendary",5)+IF(F275="Demonic",6)+IF(F275="Angelic",6)+IF(F275="Jester",7)+IF(F275="Nightmare",8)+IF(F275="Vanilla",9)+IF(F275="Boss",8)</f>
        <v>3</v>
      </c>
      <c r="E270" s="9" t="s">
        <v>808</v>
      </c>
      <c r="F270" s="10" t="s">
        <v>756</v>
      </c>
      <c r="G270" s="10"/>
      <c r="H270" s="9" t="s">
        <v>809</v>
      </c>
      <c r="I270" s="10" t="str">
        <f t="shared" si="27"/>
        <v>cheat summon Volcanic_Megalodon_Character_BP_C</v>
      </c>
      <c r="J270" s="10" t="str">
        <f t="shared" si="28"/>
        <v>admincheat GMSummon "Volcanic_Megalodon_Character_BP_C" 120</v>
      </c>
      <c r="K270" s="9" t="s">
        <v>810</v>
      </c>
      <c r="L270" s="10" t="str">
        <f t="shared" si="29"/>
        <v>cheat SpawnDino "Blueprint'/PrimalChaos/1WaterDinos/3Elemental/Volcanic/megalodon/Volcanic_Megalodon_Character_BP.Volcanic_Megalodon_Character_BP'" 150 0 0 35</v>
      </c>
      <c r="M270" s="10" t="str">
        <f t="shared" si="30"/>
        <v>NPCReplacements=(FromClassName="Volcanic_Megalodon_Character_BP_C",ToClassName="")</v>
      </c>
      <c r="N270" s="2"/>
    </row>
    <row r="271">
      <c r="B271" s="6"/>
      <c r="C271" s="4">
        <v>376.0</v>
      </c>
      <c r="D271" s="4">
        <f>IF(F277="Beta",1)+IF(F277="Alpha",2)+IF(F277="Electric",3)+IF(F277="Volcanic",3)+IF(F277="Hydro",3)+IF(F277="Shadow",4)+IF(F277="Fairy",4)+IF(F277="Mythic",5)+IF(F277="Legendary",5)+IF(F277="Demonic",6)+IF(F277="Angelic",6)+IF(F277="Jester",7)+IF(F277="Nightmare",8)+IF(F277="Vanilla",9)+IF(F277="Boss",8)</f>
        <v>3</v>
      </c>
      <c r="E271" s="7" t="s">
        <v>811</v>
      </c>
      <c r="F271" s="8" t="s">
        <v>756</v>
      </c>
      <c r="G271" s="8"/>
      <c r="H271" s="7" t="s">
        <v>812</v>
      </c>
      <c r="I271" s="8" t="str">
        <f t="shared" si="27"/>
        <v>cheat summon Volcanic_Mosa_Character_BP_C</v>
      </c>
      <c r="J271" s="8" t="str">
        <f t="shared" si="28"/>
        <v>admincheat GMSummon "Volcanic_Mosa_Character_BP_C" 120</v>
      </c>
      <c r="K271" s="7" t="s">
        <v>813</v>
      </c>
      <c r="L271" s="8" t="str">
        <f t="shared" si="29"/>
        <v>cheat SpawnDino "Blueprint'/PrimalChaos/1WaterDinos/3Elemental/Volcanic/mosa/Volcanic_Mosa_Character_BP.Volcanic_Mosa_Character_BP'" 150 0 0 35</v>
      </c>
      <c r="M271" s="8" t="str">
        <f t="shared" si="30"/>
        <v>NPCReplacements=(FromClassName="Volcanic_Mosa_Character_BP_C",ToClassName="")</v>
      </c>
      <c r="N271" s="2"/>
    </row>
    <row r="272">
      <c r="B272" s="6"/>
      <c r="C272" s="4">
        <v>377.0</v>
      </c>
      <c r="D272" s="4">
        <f t="shared" ref="D272:D275" si="33">IF(F279="Beta",1)+IF(F279="Alpha",2)+IF(F279="Electric",3)+IF(F279="Volcanic",3)+IF(F279="Hydro",3)+IF(F279="Shadow",4)+IF(F279="Fairy",4)+IF(F279="Mythic",5)+IF(F279="Legendary",5)+IF(F279="Demonic",6)+IF(F279="Angelic",6)+IF(F279="Jester",7)+IF(F279="Nightmare",8)+IF(F279="Vanilla",9)+IF(F279="Boss",8)</f>
        <v>3</v>
      </c>
      <c r="E272" s="9" t="s">
        <v>814</v>
      </c>
      <c r="F272" s="10" t="s">
        <v>756</v>
      </c>
      <c r="G272" s="10"/>
      <c r="H272" s="9" t="s">
        <v>815</v>
      </c>
      <c r="I272" s="10" t="str">
        <f t="shared" si="27"/>
        <v>cheat summon Volcanic_Piranha_Character_BP_C</v>
      </c>
      <c r="J272" s="10" t="str">
        <f t="shared" si="28"/>
        <v>admincheat GMSummon "Volcanic_Piranha_Character_BP_C" 120</v>
      </c>
      <c r="K272" s="9" t="s">
        <v>816</v>
      </c>
      <c r="L272" s="10" t="str">
        <f t="shared" si="29"/>
        <v>cheat SpawnDino "Blueprint'/PrimalChaos/1WaterDinos/3Elemental/Volcanic/Piranha/Volcanic_Piranha_Character_BP.Volcanic_Piranha_Character_BP'" 150 0 0 35</v>
      </c>
      <c r="M272" s="10" t="str">
        <f t="shared" si="30"/>
        <v>NPCReplacements=(FromClassName="Volcanic_Piranha_Character_BP_C",ToClassName="")</v>
      </c>
      <c r="N272" s="2"/>
    </row>
    <row r="273">
      <c r="B273" s="6"/>
      <c r="C273" s="4">
        <v>378.0</v>
      </c>
      <c r="D273" s="4">
        <f t="shared" si="33"/>
        <v>3</v>
      </c>
      <c r="E273" s="7" t="s">
        <v>817</v>
      </c>
      <c r="F273" s="8" t="s">
        <v>756</v>
      </c>
      <c r="G273" s="8"/>
      <c r="H273" s="7" t="s">
        <v>818</v>
      </c>
      <c r="I273" s="8" t="str">
        <f t="shared" si="27"/>
        <v>cheat summon Volcanic_Plesiosaur_Character_BP_C</v>
      </c>
      <c r="J273" s="8" t="str">
        <f t="shared" si="28"/>
        <v>admincheat GMSummon "Volcanic_Plesiosaur_Character_BP_C" 120</v>
      </c>
      <c r="K273" s="7" t="s">
        <v>819</v>
      </c>
      <c r="L273" s="8" t="str">
        <f t="shared" si="29"/>
        <v>cheat SpawnDino "Blueprint'/PrimalChaos/1WaterDinos/3Elemental/Volcanic/Plesio/Volcanic_Plesiosaur_Character_BP.Volcanic_Plesiosaur_Character_BP'" 150 0 0 35</v>
      </c>
      <c r="M273" s="8" t="str">
        <f t="shared" si="30"/>
        <v>NPCReplacements=(FromClassName="Volcanic_Plesiosaur_Character_BP_C",ToClassName="")</v>
      </c>
      <c r="N273" s="2"/>
    </row>
    <row r="274">
      <c r="B274" s="6"/>
      <c r="C274" s="4">
        <v>367.0</v>
      </c>
      <c r="D274" s="4">
        <f t="shared" si="33"/>
        <v>3</v>
      </c>
      <c r="E274" s="22" t="s">
        <v>820</v>
      </c>
      <c r="F274" s="10" t="s">
        <v>756</v>
      </c>
      <c r="G274" s="23"/>
      <c r="H274" s="22" t="s">
        <v>821</v>
      </c>
      <c r="I274" s="10" t="str">
        <f t="shared" si="27"/>
        <v>cheat summon VolcanicPtero_Character_BP_PC_C</v>
      </c>
      <c r="J274" s="10" t="str">
        <f t="shared" si="28"/>
        <v>admincheat GMSummon "VolcanicPtero_Character_BP_PC_C" 120</v>
      </c>
      <c r="K274" s="22" t="s">
        <v>822</v>
      </c>
      <c r="L274" s="10" t="str">
        <f t="shared" si="29"/>
        <v>cheat SpawnDino "Blueprint'/PrimalChaos/Content/1Dinos/3Elemental/Volcanic/Ptera/VolcanicPtero_Character_BP_PC'" 150 0 0 35</v>
      </c>
      <c r="M274" s="10" t="str">
        <f t="shared" si="30"/>
        <v>NPCReplacements=(FromClassName="VolcanicPtero_Character_BP_PC_C",ToClassName="")</v>
      </c>
      <c r="N274" s="2"/>
    </row>
    <row r="275">
      <c r="B275" s="6"/>
      <c r="C275" s="4">
        <v>368.0</v>
      </c>
      <c r="D275" s="4">
        <f t="shared" si="33"/>
        <v>3</v>
      </c>
      <c r="E275" s="7" t="s">
        <v>823</v>
      </c>
      <c r="F275" s="8" t="s">
        <v>756</v>
      </c>
      <c r="G275" s="8"/>
      <c r="H275" s="7" t="s">
        <v>824</v>
      </c>
      <c r="I275" s="8" t="str">
        <f t="shared" si="27"/>
        <v>cheat summon VolcanicRaptor_Character_BP_PC_C</v>
      </c>
      <c r="J275" s="8" t="str">
        <f t="shared" si="28"/>
        <v>admincheat GMSummon "VolcanicRaptor_Character_BP_PC_C" 120</v>
      </c>
      <c r="K275" s="7" t="s">
        <v>825</v>
      </c>
      <c r="L275" s="8" t="str">
        <f t="shared" si="29"/>
        <v>cheat SpawnDino "Blueprint'/PrimalChaos/1Dinos/3Elemental/Volcanic/Raptor/VolcanicRaptor_Character_BP_PC.VolcanicRaptor_Character_BP_PC'" 150 0 0 35</v>
      </c>
      <c r="M275" s="8" t="str">
        <f t="shared" si="30"/>
        <v>NPCReplacements=(FromClassName="VolcanicRaptor_Character_BP_PC_C",ToClassName="")</v>
      </c>
      <c r="N275" s="2"/>
    </row>
    <row r="276">
      <c r="B276" s="6"/>
      <c r="C276" s="4"/>
      <c r="D276" s="4"/>
      <c r="E276" s="9" t="s">
        <v>826</v>
      </c>
      <c r="F276" s="10" t="s">
        <v>756</v>
      </c>
      <c r="G276" s="10"/>
      <c r="H276" s="9" t="s">
        <v>827</v>
      </c>
      <c r="I276" s="10" t="str">
        <f t="shared" si="27"/>
        <v>cheat summon VolcanicCaveWolf_Character_BP_PC_C</v>
      </c>
      <c r="J276" s="10" t="str">
        <f t="shared" si="28"/>
        <v>admincheat GMSummon "VolcanicCaveWolf_Character_BP_PC_C" 120</v>
      </c>
      <c r="K276" s="9" t="s">
        <v>828</v>
      </c>
      <c r="L276" s="10" t="str">
        <f t="shared" si="29"/>
        <v>cheat SpawnDino "Blueprint'/PrimalChaos/Content/1Dinos/3Elemental/Volcanic/Ravager/VolcanicCaveWolf_Character_BP_PC'" 150 0 0 35</v>
      </c>
      <c r="M276" s="10" t="str">
        <f t="shared" si="30"/>
        <v>NPCReplacements=(FromClassName="VolcanicCaveWolf_Character_BP_PC_C",ToClassName="")</v>
      </c>
      <c r="N276" s="2"/>
    </row>
    <row r="277">
      <c r="B277" s="6"/>
      <c r="C277" s="4"/>
      <c r="D277" s="4"/>
      <c r="E277" s="7" t="s">
        <v>829</v>
      </c>
      <c r="F277" s="8" t="s">
        <v>756</v>
      </c>
      <c r="G277" s="8"/>
      <c r="H277" s="7" t="s">
        <v>830</v>
      </c>
      <c r="I277" s="8" t="str">
        <f t="shared" si="27"/>
        <v>cheat summon VolcanicRex_Character_BP_PC_C</v>
      </c>
      <c r="J277" s="8" t="str">
        <f t="shared" si="28"/>
        <v>admincheat GMSummon "VolcanicRex_Character_BP_PC_C" 120</v>
      </c>
      <c r="K277" s="7" t="s">
        <v>831</v>
      </c>
      <c r="L277" s="8" t="str">
        <f t="shared" si="29"/>
        <v>cheat SpawnDino "Blueprint'/PrimalChaos/1Dinos/3Elemental/Volcanic/Rex/VolcanicRex_Character_BP_PC.VolcanicRex_Character_BP_PC'" 150 0 0 35</v>
      </c>
      <c r="M277" s="8" t="str">
        <f t="shared" si="30"/>
        <v>NPCReplacements=(FromClassName="VolcanicRex_Character_BP_PC_C",ToClassName="")</v>
      </c>
      <c r="N277" s="2"/>
    </row>
    <row r="278">
      <c r="B278" s="6"/>
      <c r="C278" s="4"/>
      <c r="D278" s="4"/>
      <c r="E278" s="9" t="s">
        <v>832</v>
      </c>
      <c r="F278" s="10" t="s">
        <v>756</v>
      </c>
      <c r="G278" s="10"/>
      <c r="H278" s="9" t="s">
        <v>833</v>
      </c>
      <c r="I278" s="10" t="str">
        <f t="shared" si="27"/>
        <v>cheat summon VolcanicRockDrake_Character_BP_PC_C</v>
      </c>
      <c r="J278" s="10" t="str">
        <f t="shared" si="28"/>
        <v>admincheat GMSummon "VolcanicRockDrake_Character_BP_PC_C" 120</v>
      </c>
      <c r="K278" s="9" t="s">
        <v>834</v>
      </c>
      <c r="L278" s="10" t="str">
        <f t="shared" si="29"/>
        <v>cheat SpawnDino "Blueprint'/PrimalChaos/Content/1Dinos/3Elemental/Volcanic/Rockdrake/VolcanicRockDrake_Character_BP_PC'" 150 0 0 35</v>
      </c>
      <c r="M278" s="10" t="str">
        <f t="shared" si="30"/>
        <v>NPCReplacements=(FromClassName="VolcanicRockDrake_Character_BP_PC_C",ToClassName="")</v>
      </c>
      <c r="N278" s="2"/>
    </row>
    <row r="279">
      <c r="B279" s="6"/>
      <c r="C279" s="4"/>
      <c r="D279" s="4"/>
      <c r="E279" s="7" t="s">
        <v>835</v>
      </c>
      <c r="F279" s="8" t="s">
        <v>756</v>
      </c>
      <c r="G279" s="8"/>
      <c r="H279" s="7" t="s">
        <v>836</v>
      </c>
      <c r="I279" s="8" t="str">
        <f t="shared" si="27"/>
        <v>cheat summon VolcanicSpino_Character_BP_PC_C</v>
      </c>
      <c r="J279" s="8" t="str">
        <f t="shared" si="28"/>
        <v>admincheat GMSummon "VolcanicSpino_Character_BP_PC_C" 120</v>
      </c>
      <c r="K279" s="7" t="s">
        <v>837</v>
      </c>
      <c r="L279" s="8" t="str">
        <f t="shared" si="29"/>
        <v>cheat SpawnDino "Blueprint'/PrimalChaos/1Dinos/3Elemental/Volcanic/Spino/VolcanicSpino_Character_BP_PC.VolcanicSpino_Character_BP_PC'" 150 0 0 35</v>
      </c>
      <c r="M279" s="8" t="str">
        <f t="shared" si="30"/>
        <v>NPCReplacements=(FromClassName="VolcanicSpino_Character_BP_PC_C",ToClassName="")</v>
      </c>
      <c r="N279" s="2"/>
    </row>
    <row r="280">
      <c r="B280" s="6"/>
      <c r="C280" s="4"/>
      <c r="D280" s="4"/>
      <c r="E280" s="9" t="s">
        <v>838</v>
      </c>
      <c r="F280" s="10" t="s">
        <v>756</v>
      </c>
      <c r="G280" s="10"/>
      <c r="H280" s="9" t="s">
        <v>839</v>
      </c>
      <c r="I280" s="10" t="str">
        <f t="shared" si="27"/>
        <v>cheat summon VolcanicTapejara_Character_BP_PC_C</v>
      </c>
      <c r="J280" s="10" t="str">
        <f t="shared" si="28"/>
        <v>admincheat GMSummon "VolcanicTapejara_Character_BP_PC_C" 120</v>
      </c>
      <c r="K280" s="9" t="s">
        <v>840</v>
      </c>
      <c r="L280" s="10" t="str">
        <f t="shared" si="29"/>
        <v>cheat SpawnDino "Blueprint'/PrimalChaos/1Dinos/3Elemental/Volcanic/Tapejara/VolcanicTapejara_Character_BP_PC.VolcanicTapejara_Character_BP_PC'" 150 0 0 35</v>
      </c>
      <c r="M280" s="10" t="str">
        <f t="shared" si="30"/>
        <v>NPCReplacements=(FromClassName="VolcanicTapejara_Character_BP_PC_C",ToClassName="")</v>
      </c>
      <c r="N280" s="2"/>
    </row>
    <row r="281">
      <c r="B281" s="6"/>
      <c r="C281" s="4"/>
      <c r="D281" s="4"/>
      <c r="E281" s="7" t="s">
        <v>841</v>
      </c>
      <c r="F281" s="8" t="s">
        <v>756</v>
      </c>
      <c r="G281" s="8"/>
      <c r="H281" s="7" t="s">
        <v>842</v>
      </c>
      <c r="I281" s="8" t="str">
        <f t="shared" si="27"/>
        <v>cheat summon Volcanic_Trilobite_Character_BP_C</v>
      </c>
      <c r="J281" s="8" t="str">
        <f t="shared" si="28"/>
        <v>admincheat GMSummon "Volcanic_Trilobite_Character_BP_C" 120</v>
      </c>
      <c r="K281" s="7" t="s">
        <v>843</v>
      </c>
      <c r="L281" s="8" t="str">
        <f t="shared" si="29"/>
        <v>cheat SpawnDino "Blueprint'/PrimalChaos/1WaterDinos/3Elemental/Volcanic/Trilobite/Volcanic_Trilobite_Character_BP.Volcanic_Trilobite_Character_BP'" 150 0 0 35</v>
      </c>
      <c r="M281" s="8" t="str">
        <f t="shared" si="30"/>
        <v>NPCReplacements=(FromClassName="Volcanic_Trilobite_Character_BP_C",ToClassName="")</v>
      </c>
      <c r="N281" s="2"/>
    </row>
    <row r="282">
      <c r="B282" s="6"/>
      <c r="C282" s="4"/>
      <c r="D282" s="4"/>
      <c r="E282" s="9" t="s">
        <v>844</v>
      </c>
      <c r="F282" s="10" t="s">
        <v>756</v>
      </c>
      <c r="G282" s="10"/>
      <c r="H282" s="9" t="s">
        <v>845</v>
      </c>
      <c r="I282" s="10" t="str">
        <f t="shared" si="27"/>
        <v>cheat summon Volcanic_Tusoteuthis_Character_BP_C</v>
      </c>
      <c r="J282" s="10" t="str">
        <f t="shared" si="28"/>
        <v>admincheat GMSummon "Volcanic_Tusoteuthis_Character_BP_C" 120</v>
      </c>
      <c r="K282" s="9" t="s">
        <v>846</v>
      </c>
      <c r="L282" s="10" t="str">
        <f t="shared" si="29"/>
        <v>cheat SpawnDino "Blueprint'/PrimalChaos/1WaterDinos/3Elemental/Volcanic/Tusoteuthis/Volcanic_Tusoteuthis_Character_BP.Volcanic_Tusoteuthis_Character_BP'" 150 0 0 35</v>
      </c>
      <c r="M282" s="10" t="str">
        <f t="shared" si="30"/>
        <v>NPCReplacements=(FromClassName="Volcanic_Tusoteuthis_Character_BP_C",ToClassName="")</v>
      </c>
      <c r="N282" s="2"/>
    </row>
    <row r="283">
      <c r="B283" s="13"/>
      <c r="C283" s="4"/>
      <c r="D283" s="4"/>
      <c r="E283" s="7" t="s">
        <v>847</v>
      </c>
      <c r="F283" s="8" t="s">
        <v>756</v>
      </c>
      <c r="G283" s="8"/>
      <c r="H283" s="7" t="s">
        <v>848</v>
      </c>
      <c r="I283" s="8" t="str">
        <f t="shared" si="27"/>
        <v>cheat summon VolcanicWyvern_Character_BP_PC_C</v>
      </c>
      <c r="J283" s="8" t="str">
        <f t="shared" si="28"/>
        <v>admincheat GMSummon "VolcanicWyvern_Character_BP_PC_C" 120</v>
      </c>
      <c r="K283" s="7" t="s">
        <v>849</v>
      </c>
      <c r="L283" s="8" t="str">
        <f t="shared" si="29"/>
        <v>cheat SpawnDino "Blueprint'/PrimalChaos/Content/1Dinos/3Elemental/Volcanic/Wyvern/VolcanicWyvern_Character_BP_PC'" 150 0 0 35</v>
      </c>
      <c r="M283" s="8" t="str">
        <f t="shared" si="30"/>
        <v>NPCReplacements=(FromClassName="VolcanicWyvern_Character_BP_PC_C",ToClassName="")</v>
      </c>
      <c r="N283" s="2"/>
    </row>
    <row r="284">
      <c r="B284" s="14"/>
      <c r="C284" s="15"/>
      <c r="D284" s="15"/>
      <c r="E284" s="16"/>
      <c r="F284" s="16"/>
      <c r="G284" s="16"/>
      <c r="H284" s="16"/>
      <c r="I284" s="16"/>
      <c r="J284" s="16"/>
      <c r="K284" s="16"/>
      <c r="L284" s="16"/>
      <c r="M284" s="16"/>
      <c r="N284" s="2"/>
    </row>
    <row r="285">
      <c r="B285" s="28" t="s">
        <v>850</v>
      </c>
      <c r="C285" s="4">
        <v>224.0</v>
      </c>
      <c r="D285" s="4">
        <f t="shared" ref="D285:D286" si="34">IF(F285="Beta",1)+IF(F285="Alpha",2)+IF(F285="Electric",3)+IF(F285="Volcanic",3)+IF(F285="Hydro",3)+IF(F285="Shadow",4)+IF(F285="Fairy",4)+IF(F285="Mythic",5)+IF(F285="Legendary",5)+IF(F285="Demonic",6)+IF(F285="Angelic",6)+IF(F285="Jester",7)+IF(F285="Nightmare",8)+IF(F285="Vanilla",9)+IF(F285="Boss",8)</f>
        <v>4</v>
      </c>
      <c r="E285" s="7" t="s">
        <v>851</v>
      </c>
      <c r="F285" s="8" t="s">
        <v>850</v>
      </c>
      <c r="G285" s="8"/>
      <c r="H285" s="8" t="s">
        <v>852</v>
      </c>
      <c r="I285" s="8" t="str">
        <f t="shared" ref="I285:I290" si="35">"cheat summon "&amp;H285</f>
        <v>cheat summon FairyArgentavis_Character_BP_C</v>
      </c>
      <c r="J285" s="8" t="str">
        <f t="shared" ref="J285:J290" si="36"> "admincheat GMSummon " &amp;CHAR(34) &amp; H285&amp;CHAR(34)&amp; " 120"</f>
        <v>admincheat GMSummon "FairyArgentavis_Character_BP_C" 120</v>
      </c>
      <c r="K285" s="8" t="s">
        <v>853</v>
      </c>
      <c r="L285" s="8" t="str">
        <f t="shared" ref="L285:L290" si="37">IF(K285&lt;&gt;"","cheat SpawnDino "&amp;CHAR(34)&amp;"Blueprint'"&amp;K285&amp;"'"&amp;CHAR(34)&amp;" 150 0 0 35","")</f>
        <v>cheat SpawnDino "Blueprint'/PrimalChaos/1Dinos/4ADVElement/Fairy/Argentavis/FairyArgentavis_Character_BP.FairyArgentavis_Character_BP'" 150 0 0 35</v>
      </c>
      <c r="M285" s="8" t="str">
        <f t="shared" ref="M285:M290" si="38">"NPCReplacements=(FromClassName="&amp;CHAR(34)&amp;H285&amp;""&amp;CHAR(34)&amp;",ToClassName="&amp;CHAR(34)&amp;CHAR(34)&amp;")"</f>
        <v>NPCReplacements=(FromClassName="FairyArgentavis_Character_BP_C",ToClassName="")</v>
      </c>
      <c r="N285" s="2"/>
    </row>
    <row r="286">
      <c r="B286" s="6"/>
      <c r="C286" s="4">
        <v>225.0</v>
      </c>
      <c r="D286" s="4">
        <f t="shared" si="34"/>
        <v>4</v>
      </c>
      <c r="E286" s="9" t="s">
        <v>854</v>
      </c>
      <c r="F286" s="10" t="s">
        <v>850</v>
      </c>
      <c r="G286" s="10"/>
      <c r="H286" s="10" t="s">
        <v>855</v>
      </c>
      <c r="I286" s="10" t="str">
        <f t="shared" si="35"/>
        <v>cheat summon FairyDoedic_Character_BP_C</v>
      </c>
      <c r="J286" s="10" t="str">
        <f t="shared" si="36"/>
        <v>admincheat GMSummon "FairyDoedic_Character_BP_C" 120</v>
      </c>
      <c r="K286" s="10" t="s">
        <v>856</v>
      </c>
      <c r="L286" s="10" t="str">
        <f t="shared" si="37"/>
        <v>cheat SpawnDino "Blueprint'/PrimalChaos/1Dinos/4ADVElement/Fairy/Doedicurus/FairyDoedic_Character_BP.FairyDoedic_Character_BP'" 150 0 0 35</v>
      </c>
      <c r="M286" s="10" t="str">
        <f t="shared" si="38"/>
        <v>NPCReplacements=(FromClassName="FairyDoedic_Character_BP_C",ToClassName="")</v>
      </c>
      <c r="N286" s="2"/>
    </row>
    <row r="287">
      <c r="B287" s="6"/>
      <c r="C287" s="4"/>
      <c r="D287" s="4"/>
      <c r="E287" s="20" t="s">
        <v>857</v>
      </c>
      <c r="F287" s="7" t="s">
        <v>850</v>
      </c>
      <c r="G287" s="8"/>
      <c r="H287" s="20" t="s">
        <v>858</v>
      </c>
      <c r="I287" s="8" t="str">
        <f t="shared" si="35"/>
        <v>cheat summon Griffin_Character_BP_Fairy_C</v>
      </c>
      <c r="J287" s="8" t="str">
        <f t="shared" si="36"/>
        <v>admincheat GMSummon "Griffin_Character_BP_Fairy_C" 120</v>
      </c>
      <c r="K287" s="20" t="s">
        <v>859</v>
      </c>
      <c r="L287" s="8" t="str">
        <f t="shared" si="37"/>
        <v>cheat SpawnDino "Blueprint'/PrimalChaos/1Dinos/4ADVElement/Fairy/Griffin/Griffin_Character_BP_Fairy.Griffin_Character_BP_Fairy'" 150 0 0 35</v>
      </c>
      <c r="M287" s="8" t="str">
        <f t="shared" si="38"/>
        <v>NPCReplacements=(FromClassName="Griffin_Character_BP_Fairy_C",ToClassName="")</v>
      </c>
      <c r="N287" s="2"/>
    </row>
    <row r="288">
      <c r="B288" s="6"/>
      <c r="C288" s="4">
        <v>226.0</v>
      </c>
      <c r="D288" s="4">
        <f t="shared" ref="D288:D290" si="39">IF(F288="Beta",1)+IF(F288="Alpha",2)+IF(F288="Electric",3)+IF(F288="Volcanic",3)+IF(F288="Hydro",3)+IF(F288="Shadow",4)+IF(F288="Fairy",4)+IF(F288="Mythic",5)+IF(F288="Legendary",5)+IF(F288="Demonic",6)+IF(F288="Angelic",6)+IF(F288="Jester",7)+IF(F288="Nightmare",8)+IF(F288="Vanilla",9)+IF(F288="Boss",8)</f>
        <v>4</v>
      </c>
      <c r="E288" s="9" t="s">
        <v>860</v>
      </c>
      <c r="F288" s="10" t="s">
        <v>850</v>
      </c>
      <c r="G288" s="10"/>
      <c r="H288" s="10" t="s">
        <v>861</v>
      </c>
      <c r="I288" s="10" t="str">
        <f t="shared" si="35"/>
        <v>cheat summon FairyJerboa_Character_BP_C</v>
      </c>
      <c r="J288" s="10" t="str">
        <f t="shared" si="36"/>
        <v>admincheat GMSummon "FairyJerboa_Character_BP_C" 120</v>
      </c>
      <c r="K288" s="10" t="s">
        <v>862</v>
      </c>
      <c r="L288" s="10" t="str">
        <f t="shared" si="37"/>
        <v>cheat SpawnDino "Blueprint'/PrimalChaos/1Dinos/4ADVElement/Fairy/Jerboa/FairyJerboa_Character_BP.FairyJerboa_Character_BP'" 150 0 0 35</v>
      </c>
      <c r="M288" s="10" t="str">
        <f t="shared" si="38"/>
        <v>NPCReplacements=(FromClassName="FairyJerboa_Character_BP_C",ToClassName="")</v>
      </c>
      <c r="N288" s="2"/>
    </row>
    <row r="289">
      <c r="B289" s="6"/>
      <c r="C289" s="4">
        <v>227.0</v>
      </c>
      <c r="D289" s="4">
        <f t="shared" si="39"/>
        <v>4</v>
      </c>
      <c r="E289" s="7" t="s">
        <v>863</v>
      </c>
      <c r="F289" s="8" t="s">
        <v>850</v>
      </c>
      <c r="G289" s="8"/>
      <c r="H289" s="8" t="s">
        <v>864</v>
      </c>
      <c r="I289" s="8" t="str">
        <f t="shared" si="35"/>
        <v>cheat summon FairyPegasus_Character_BP_Child_C</v>
      </c>
      <c r="J289" s="8" t="str">
        <f t="shared" si="36"/>
        <v>admincheat GMSummon "FairyPegasus_Character_BP_Child_C" 120</v>
      </c>
      <c r="K289" s="8" t="s">
        <v>865</v>
      </c>
      <c r="L289" s="8" t="str">
        <f t="shared" si="37"/>
        <v>cheat SpawnDino "Blueprint'/PrimalChaos/1Dinos/4ADVElement/Fairy/Pegasus/FairyPegasus_Character_BP_Child.FairyPegasus_Character_BP_Child'" 150 0 0 35</v>
      </c>
      <c r="M289" s="8" t="str">
        <f t="shared" si="38"/>
        <v>NPCReplacements=(FromClassName="FairyPegasus_Character_BP_Child_C",ToClassName="")</v>
      </c>
      <c r="N289" s="2"/>
    </row>
    <row r="290">
      <c r="B290" s="13"/>
      <c r="C290" s="4">
        <v>228.0</v>
      </c>
      <c r="D290" s="4">
        <f t="shared" si="39"/>
        <v>4</v>
      </c>
      <c r="E290" s="9" t="s">
        <v>866</v>
      </c>
      <c r="F290" s="10" t="s">
        <v>850</v>
      </c>
      <c r="G290" s="12"/>
      <c r="H290" s="10" t="s">
        <v>867</v>
      </c>
      <c r="I290" s="10" t="str">
        <f t="shared" si="35"/>
        <v>cheat summon FairyWyvern_Character_BP_C</v>
      </c>
      <c r="J290" s="10" t="str">
        <f t="shared" si="36"/>
        <v>admincheat GMSummon "FairyWyvern_Character_BP_C" 120</v>
      </c>
      <c r="K290" s="10" t="s">
        <v>868</v>
      </c>
      <c r="L290" s="10" t="str">
        <f t="shared" si="37"/>
        <v>cheat SpawnDino "Blueprint'/PrimalChaos/1Dinos/4ADVElement/Fairy/Wyvern/FairyWyvern_Character_BP.FairyWyvern_Character_BP'" 150 0 0 35</v>
      </c>
      <c r="M290" s="10" t="str">
        <f t="shared" si="38"/>
        <v>NPCReplacements=(FromClassName="FairyWyvern_Character_BP_C",ToClassName="")</v>
      </c>
      <c r="N290" s="2"/>
    </row>
    <row r="291">
      <c r="B291" s="14"/>
      <c r="C291" s="15"/>
      <c r="D291" s="15"/>
      <c r="E291" s="16"/>
      <c r="F291" s="16"/>
      <c r="G291" s="16"/>
      <c r="H291" s="16"/>
      <c r="I291" s="16"/>
      <c r="J291" s="16"/>
      <c r="K291" s="16"/>
      <c r="L291" s="16"/>
      <c r="M291" s="16"/>
      <c r="N291" s="2"/>
    </row>
    <row r="292">
      <c r="B292" s="29" t="s">
        <v>869</v>
      </c>
      <c r="C292" s="4">
        <v>332.0</v>
      </c>
      <c r="D292" s="4">
        <f t="shared" ref="D292:D297" si="40">IF(F292="Beta",1)+IF(F292="Alpha",2)+IF(F292="Electric",3)+IF(F292="Volcanic",3)+IF(F292="Hydro",3)+IF(F292="Shadow",4)+IF(F292="Fairy",4)+IF(F292="Mythic",5)+IF(F292="Legendary",5)+IF(F292="Demonic",6)+IF(F292="Angelic",6)+IF(F292="Jester",7)+IF(F292="Nightmare",8)+IF(F292="Vanilla",9)+IF(F292="Boss",8)</f>
        <v>4</v>
      </c>
      <c r="E292" s="9" t="s">
        <v>870</v>
      </c>
      <c r="F292" s="10" t="s">
        <v>869</v>
      </c>
      <c r="G292" s="10"/>
      <c r="H292" s="10" t="s">
        <v>871</v>
      </c>
      <c r="I292" s="10" t="str">
        <f t="shared" ref="I292:I297" si="41">"cheat summon "&amp;H292</f>
        <v>cheat summon Shadow_Arthro_Character_BP_C</v>
      </c>
      <c r="J292" s="10" t="str">
        <f t="shared" ref="J292:J297" si="42"> "admincheat GMSummon " &amp;CHAR(34) &amp; H292&amp;CHAR(34)&amp; " 120"</f>
        <v>admincheat GMSummon "Shadow_Arthro_Character_BP_C" 120</v>
      </c>
      <c r="K292" s="10" t="s">
        <v>872</v>
      </c>
      <c r="L292" s="10" t="str">
        <f t="shared" ref="L292:L297" si="43">IF(K292&lt;&gt;"","cheat SpawnDino "&amp;CHAR(34)&amp;"Blueprint'"&amp;K292&amp;"'"&amp;CHAR(34)&amp;" 150 0 0 35","")</f>
        <v>cheat SpawnDino "Blueprint'/PrimalChaos/1Dinos/4ADVElement/Shadow/Centipede/Shadow_Arthro_Character_BP.Shadow_Arthro_Character_BP'" 150 0 0 35</v>
      </c>
      <c r="M292" s="10" t="str">
        <f t="shared" ref="M292:M297" si="44">"NPCReplacements=(FromClassName="&amp;CHAR(34)&amp;H292&amp;""&amp;CHAR(34)&amp;",ToClassName="&amp;CHAR(34)&amp;CHAR(34)&amp;")"</f>
        <v>NPCReplacements=(FromClassName="Shadow_Arthro_Character_BP_C",ToClassName="")</v>
      </c>
      <c r="N292" s="2"/>
    </row>
    <row r="293">
      <c r="B293" s="6"/>
      <c r="C293" s="4">
        <v>334.0</v>
      </c>
      <c r="D293" s="4">
        <f t="shared" si="40"/>
        <v>4</v>
      </c>
      <c r="E293" s="7" t="s">
        <v>873</v>
      </c>
      <c r="F293" s="8" t="s">
        <v>869</v>
      </c>
      <c r="G293" s="8"/>
      <c r="H293" s="8" t="s">
        <v>874</v>
      </c>
      <c r="I293" s="8" t="str">
        <f t="shared" si="41"/>
        <v>cheat summon Shadow_Broodmother_Character_BP_C</v>
      </c>
      <c r="J293" s="8" t="str">
        <f t="shared" si="42"/>
        <v>admincheat GMSummon "Shadow_Broodmother_Character_BP_C" 120</v>
      </c>
      <c r="K293" s="8" t="s">
        <v>875</v>
      </c>
      <c r="L293" s="8" t="str">
        <f t="shared" si="43"/>
        <v>cheat SpawnDino "Blueprint'/PrimalChaos/1Dinos/4ADVElement/Shadow/Broodmother/Shadow_Broodmother_Character_BP.Shadow_Broodmother_Character_BP'" 150 0 0 35</v>
      </c>
      <c r="M293" s="8" t="str">
        <f t="shared" si="44"/>
        <v>NPCReplacements=(FromClassName="Shadow_Broodmother_Character_BP_C",ToClassName="")</v>
      </c>
      <c r="N293" s="2"/>
    </row>
    <row r="294">
      <c r="B294" s="6"/>
      <c r="C294" s="4">
        <v>336.0</v>
      </c>
      <c r="D294" s="4">
        <f t="shared" si="40"/>
        <v>4</v>
      </c>
      <c r="E294" s="9" t="s">
        <v>876</v>
      </c>
      <c r="F294" s="10" t="s">
        <v>869</v>
      </c>
      <c r="G294" s="26" t="s">
        <v>693</v>
      </c>
      <c r="H294" s="10" t="s">
        <v>877</v>
      </c>
      <c r="I294" s="10" t="str">
        <f t="shared" si="41"/>
        <v>cheat summon Shadow_Diplo_Character_BP_C</v>
      </c>
      <c r="J294" s="10" t="str">
        <f t="shared" si="42"/>
        <v>admincheat GMSummon "Shadow_Diplo_Character_BP_C" 120</v>
      </c>
      <c r="K294" s="10" t="s">
        <v>878</v>
      </c>
      <c r="L294" s="10" t="str">
        <f t="shared" si="43"/>
        <v>cheat SpawnDino "Blueprint'/PrimalChaos/1WaterDinos/4ADV/Shadow/Diplocaulus/Shadow_Diplo_Character_BP.Shadow_Diplo_Character_BP'" 150 0 0 35</v>
      </c>
      <c r="M294" s="10" t="str">
        <f t="shared" si="44"/>
        <v>NPCReplacements=(FromClassName="Shadow_Diplo_Character_BP_C",ToClassName="")</v>
      </c>
      <c r="N294" s="2"/>
    </row>
    <row r="295">
      <c r="B295" s="6"/>
      <c r="C295" s="4">
        <v>341.0</v>
      </c>
      <c r="D295" s="4">
        <f t="shared" si="40"/>
        <v>4</v>
      </c>
      <c r="E295" s="7" t="s">
        <v>879</v>
      </c>
      <c r="F295" s="8" t="s">
        <v>869</v>
      </c>
      <c r="G295" s="8"/>
      <c r="H295" s="8" t="s">
        <v>880</v>
      </c>
      <c r="I295" s="8" t="str">
        <f t="shared" si="41"/>
        <v>cheat summon Shadow_Golem_Character_BP_C</v>
      </c>
      <c r="J295" s="8" t="str">
        <f t="shared" si="42"/>
        <v>admincheat GMSummon "Shadow_Golem_Character_BP_C" 120</v>
      </c>
      <c r="K295" s="8" t="s">
        <v>881</v>
      </c>
      <c r="L295" s="8" t="str">
        <f t="shared" si="43"/>
        <v>cheat SpawnDino "Blueprint'/PrimalChaos/1Dinos/4ADVElement/Shadow/Golem/Shadow_Golem_Character_BP.Shadow_Golem_Character_BP'" 150 0 0 35</v>
      </c>
      <c r="M295" s="8" t="str">
        <f t="shared" si="44"/>
        <v>NPCReplacements=(FromClassName="Shadow_Golem_Character_BP_C",ToClassName="")</v>
      </c>
      <c r="N295" s="2"/>
    </row>
    <row r="296">
      <c r="B296" s="6"/>
      <c r="C296" s="4">
        <v>342.0</v>
      </c>
      <c r="D296" s="4">
        <f t="shared" si="40"/>
        <v>4</v>
      </c>
      <c r="E296" s="9" t="s">
        <v>882</v>
      </c>
      <c r="F296" s="10" t="s">
        <v>869</v>
      </c>
      <c r="G296" s="10"/>
      <c r="H296" s="10" t="s">
        <v>883</v>
      </c>
      <c r="I296" s="10" t="str">
        <f t="shared" si="41"/>
        <v>cheat summon Shadow_Gorilla_Character_BP_C</v>
      </c>
      <c r="J296" s="10" t="str">
        <f t="shared" si="42"/>
        <v>admincheat GMSummon "Shadow_Gorilla_Character_BP_C" 120</v>
      </c>
      <c r="K296" s="10" t="s">
        <v>884</v>
      </c>
      <c r="L296" s="10" t="str">
        <f t="shared" si="43"/>
        <v>cheat SpawnDino "Blueprint'/PrimalChaos/1Dinos/4ADVElement/Shadow/Gorilla/Shadow_Gorilla_Character_BP.Shadow_Gorilla_Character_BP'" 150 0 0 35</v>
      </c>
      <c r="M296" s="10" t="str">
        <f t="shared" si="44"/>
        <v>NPCReplacements=(FromClassName="Shadow_Gorilla_Character_BP_C",ToClassName="")</v>
      </c>
      <c r="N296" s="2"/>
    </row>
    <row r="297">
      <c r="B297" s="13"/>
      <c r="C297" s="4">
        <v>351.0</v>
      </c>
      <c r="D297" s="4">
        <f t="shared" si="40"/>
        <v>4</v>
      </c>
      <c r="E297" s="7" t="s">
        <v>885</v>
      </c>
      <c r="F297" s="8" t="s">
        <v>869</v>
      </c>
      <c r="G297" s="8"/>
      <c r="H297" s="8" t="s">
        <v>886</v>
      </c>
      <c r="I297" s="8" t="str">
        <f t="shared" si="41"/>
        <v>cheat summon Shadow_Turkey_Character_BP_C</v>
      </c>
      <c r="J297" s="8" t="str">
        <f t="shared" si="42"/>
        <v>admincheat GMSummon "Shadow_Turkey_Character_BP_C" 120</v>
      </c>
      <c r="K297" s="8" t="s">
        <v>887</v>
      </c>
      <c r="L297" s="8" t="str">
        <f t="shared" si="43"/>
        <v>cheat SpawnDino "Blueprint'/PrimalChaos/1Dinos/4ADVElement/Shadow/Turkey/Shadow_Turkey_Character_BP.Shadow_Turkey_Character_BP'" 150 0 0 35</v>
      </c>
      <c r="M297" s="8" t="str">
        <f t="shared" si="44"/>
        <v>NPCReplacements=(FromClassName="Shadow_Turkey_Character_BP_C",ToClassName="")</v>
      </c>
      <c r="N297" s="2"/>
    </row>
    <row r="298">
      <c r="B298" s="14"/>
      <c r="C298" s="15"/>
      <c r="D298" s="15"/>
      <c r="E298" s="16"/>
      <c r="F298" s="16"/>
      <c r="G298" s="16"/>
      <c r="H298" s="16"/>
      <c r="I298" s="16"/>
      <c r="J298" s="16"/>
      <c r="K298" s="16"/>
      <c r="L298" s="16"/>
      <c r="M298" s="16"/>
      <c r="N298" s="2"/>
    </row>
    <row r="299">
      <c r="B299" s="30" t="s">
        <v>888</v>
      </c>
      <c r="C299" s="4"/>
      <c r="D299" s="4"/>
      <c r="E299" s="7" t="s">
        <v>889</v>
      </c>
      <c r="F299" s="7" t="s">
        <v>888</v>
      </c>
      <c r="G299" s="8"/>
      <c r="H299" s="7" t="s">
        <v>890</v>
      </c>
      <c r="I299" s="8" t="str">
        <f t="shared" ref="I299:I317" si="45">"cheat summon "&amp;H299</f>
        <v>cheat summon Fabled_Anky_Character_BP_C</v>
      </c>
      <c r="J299" s="8" t="str">
        <f t="shared" ref="J299:J317" si="46"> "admincheat GMSummon " &amp;CHAR(34) &amp; H299&amp;CHAR(34)&amp; " 120"</f>
        <v>admincheat GMSummon "Fabled_Anky_Character_BP_C" 120</v>
      </c>
      <c r="K299" s="7" t="s">
        <v>891</v>
      </c>
      <c r="L299" s="8" t="str">
        <f t="shared" ref="L299:L317" si="47">IF(K299&lt;&gt;"","cheat SpawnDino "&amp;CHAR(34)&amp;"Blueprint'"&amp;K299&amp;"'"&amp;CHAR(34)&amp;" 150 0 0 35","")</f>
        <v>cheat SpawnDino "Blueprint'/PrimalChaos/1Dinos/5Mythic_Legendary_Omega_Fabled/Fabled/Anky/Fabled_Anky_Character_BP.Fabled_Anky_Character_BP'" 150 0 0 35</v>
      </c>
      <c r="M299" s="8" t="str">
        <f t="shared" ref="M299:M317" si="48">"NPCReplacements=(FromClassName="&amp;CHAR(34)&amp;H299&amp;""&amp;CHAR(34)&amp;",ToClassName="&amp;CHAR(34)&amp;CHAR(34)&amp;")"</f>
        <v>NPCReplacements=(FromClassName="Fabled_Anky_Character_BP_C",ToClassName="")</v>
      </c>
      <c r="N299" s="2"/>
    </row>
    <row r="300">
      <c r="B300" s="6"/>
      <c r="C300" s="4"/>
      <c r="D300" s="4"/>
      <c r="E300" s="9" t="s">
        <v>892</v>
      </c>
      <c r="F300" s="9" t="s">
        <v>888</v>
      </c>
      <c r="G300" s="10"/>
      <c r="H300" s="9" t="s">
        <v>893</v>
      </c>
      <c r="I300" s="10" t="str">
        <f t="shared" si="45"/>
        <v>cheat summon Fabled_Argentavis_Character_BP_C</v>
      </c>
      <c r="J300" s="10" t="str">
        <f t="shared" si="46"/>
        <v>admincheat GMSummon "Fabled_Argentavis_Character_BP_C" 120</v>
      </c>
      <c r="K300" s="9" t="s">
        <v>894</v>
      </c>
      <c r="L300" s="10" t="str">
        <f t="shared" si="47"/>
        <v>cheat SpawnDino "Blueprint'/PrimalChaos/1Dinos/5Mythic_Legendary_Omega_Fabled/Fabled/Argentavis/Fabled_Argentavis_Character_BP.Fabled_Argentavis_Character_BP'" 150 0 0 35</v>
      </c>
      <c r="M300" s="10" t="str">
        <f t="shared" si="48"/>
        <v>NPCReplacements=(FromClassName="Fabled_Argentavis_Character_BP_C",ToClassName="")</v>
      </c>
      <c r="N300" s="2"/>
    </row>
    <row r="301">
      <c r="B301" s="6"/>
      <c r="C301" s="4"/>
      <c r="D301" s="4"/>
      <c r="E301" s="7" t="s">
        <v>895</v>
      </c>
      <c r="F301" s="7" t="s">
        <v>888</v>
      </c>
      <c r="G301" s="8"/>
      <c r="H301" s="7" t="s">
        <v>896</v>
      </c>
      <c r="I301" s="8" t="str">
        <f t="shared" si="45"/>
        <v>cheat summon Fabled_Beaver_Character_BP_C</v>
      </c>
      <c r="J301" s="8" t="str">
        <f t="shared" si="46"/>
        <v>admincheat GMSummon "Fabled_Beaver_Character_BP_C" 120</v>
      </c>
      <c r="K301" s="7" t="s">
        <v>897</v>
      </c>
      <c r="L301" s="8" t="str">
        <f t="shared" si="47"/>
        <v>cheat SpawnDino "Blueprint'/PrimalChaos/1Dinos/5Mythic_Legendary_Omega_Fabled/Fabled/Beaver/Fabled_Beaver_Character_BP.Fabled_Beaver_Character_BP'" 150 0 0 35</v>
      </c>
      <c r="M301" s="8" t="str">
        <f t="shared" si="48"/>
        <v>NPCReplacements=(FromClassName="Fabled_Beaver_Character_BP_C",ToClassName="")</v>
      </c>
      <c r="N301" s="2"/>
    </row>
    <row r="302">
      <c r="B302" s="6"/>
      <c r="C302" s="4"/>
      <c r="D302" s="4"/>
      <c r="E302" s="9" t="s">
        <v>898</v>
      </c>
      <c r="F302" s="9" t="s">
        <v>888</v>
      </c>
      <c r="G302" s="10"/>
      <c r="H302" s="9" t="s">
        <v>899</v>
      </c>
      <c r="I302" s="10" t="str">
        <f t="shared" si="45"/>
        <v>cheat summon Fabled_Bigfoot_Character_BP_C</v>
      </c>
      <c r="J302" s="10" t="str">
        <f t="shared" si="46"/>
        <v>admincheat GMSummon "Fabled_Bigfoot_Character_BP_C" 120</v>
      </c>
      <c r="K302" s="9" t="s">
        <v>900</v>
      </c>
      <c r="L302" s="10" t="str">
        <f t="shared" si="47"/>
        <v>cheat SpawnDino "Blueprint'/PrimalChaos/1Dinos/5Mythic_Legendary_Omega_Fabled/Fabled/Bigfoot/Fabled_Bigfoot_Character_BP.Fabled_Bigfoot_Character_BP'" 150 0 0 35</v>
      </c>
      <c r="M302" s="10" t="str">
        <f t="shared" si="48"/>
        <v>NPCReplacements=(FromClassName="Fabled_Bigfoot_Character_BP_C",ToClassName="")</v>
      </c>
      <c r="N302" s="2"/>
    </row>
    <row r="303">
      <c r="B303" s="6"/>
      <c r="C303" s="4"/>
      <c r="D303" s="4"/>
      <c r="E303" s="7" t="s">
        <v>901</v>
      </c>
      <c r="F303" s="7" t="s">
        <v>888</v>
      </c>
      <c r="G303" s="8"/>
      <c r="H303" s="7" t="s">
        <v>902</v>
      </c>
      <c r="I303" s="8" t="str">
        <f t="shared" si="45"/>
        <v>cheat summon Fabled_Doedic_Character_BP_C</v>
      </c>
      <c r="J303" s="8" t="str">
        <f t="shared" si="46"/>
        <v>admincheat GMSummon "Fabled_Doedic_Character_BP_C" 120</v>
      </c>
      <c r="K303" s="7" t="s">
        <v>903</v>
      </c>
      <c r="L303" s="8" t="str">
        <f t="shared" si="47"/>
        <v>cheat SpawnDino "Blueprint'/PrimalChaos/1Dinos/5Mythic_Legendary_Omega_Fabled/Fabled/Doedicurus/Fabled_Doedic_Character_BP.Fabled_Doedic_Character_BP'" 150 0 0 35</v>
      </c>
      <c r="M303" s="8" t="str">
        <f t="shared" si="48"/>
        <v>NPCReplacements=(FromClassName="Fabled_Doedic_Character_BP_C",ToClassName="")</v>
      </c>
      <c r="N303" s="2"/>
    </row>
    <row r="304">
      <c r="B304" s="6"/>
      <c r="C304" s="4"/>
      <c r="D304" s="4"/>
      <c r="E304" s="9" t="s">
        <v>904</v>
      </c>
      <c r="F304" s="9" t="s">
        <v>888</v>
      </c>
      <c r="G304" s="10"/>
      <c r="H304" s="9" t="s">
        <v>905</v>
      </c>
      <c r="I304" s="10" t="str">
        <f t="shared" si="45"/>
        <v>cheat summon Fabled_Frog_Character_BP_C</v>
      </c>
      <c r="J304" s="10" t="str">
        <f t="shared" si="46"/>
        <v>admincheat GMSummon "Fabled_Frog_Character_BP_C" 120</v>
      </c>
      <c r="K304" s="9" t="s">
        <v>906</v>
      </c>
      <c r="L304" s="10" t="str">
        <f t="shared" si="47"/>
        <v>cheat SpawnDino "Blueprint'/PrimalChaos/1Dinos/5Mythic_Legendary_Omega_Fabled/Fabled/Frog/Fabled_Frog_Character_BP.Fabled_Frog_Character_BP'" 150 0 0 35</v>
      </c>
      <c r="M304" s="10" t="str">
        <f t="shared" si="48"/>
        <v>NPCReplacements=(FromClassName="Fabled_Frog_Character_BP_C",ToClassName="")</v>
      </c>
      <c r="N304" s="2"/>
    </row>
    <row r="305">
      <c r="B305" s="6"/>
      <c r="C305" s="4"/>
      <c r="D305" s="4"/>
      <c r="E305" s="7" t="s">
        <v>907</v>
      </c>
      <c r="F305" s="7" t="s">
        <v>888</v>
      </c>
      <c r="G305" s="8"/>
      <c r="H305" s="7" t="s">
        <v>908</v>
      </c>
      <c r="I305" s="8" t="str">
        <f t="shared" si="45"/>
        <v>cheat summon Fabled_Jerboa_Character_BP_C</v>
      </c>
      <c r="J305" s="8" t="str">
        <f t="shared" si="46"/>
        <v>admincheat GMSummon "Fabled_Jerboa_Character_BP_C" 120</v>
      </c>
      <c r="K305" s="7" t="s">
        <v>909</v>
      </c>
      <c r="L305" s="8" t="str">
        <f t="shared" si="47"/>
        <v>cheat SpawnDino "Blueprint'/PrimalChaos/1Dinos/5Mythic_Legendary_Omega_Fabled/Fabled/Jerboa/Fabled_Jerboa_Character_BP.Fabled_Jerboa_Character_BP'" 150 0 0 35</v>
      </c>
      <c r="M305" s="8" t="str">
        <f t="shared" si="48"/>
        <v>NPCReplacements=(FromClassName="Fabled_Jerboa_Character_BP_C",ToClassName="")</v>
      </c>
      <c r="N305" s="2"/>
    </row>
    <row r="306">
      <c r="B306" s="6"/>
      <c r="C306" s="4"/>
      <c r="D306" s="4"/>
      <c r="E306" s="9" t="s">
        <v>910</v>
      </c>
      <c r="F306" s="9" t="s">
        <v>888</v>
      </c>
      <c r="G306" s="10"/>
      <c r="H306" s="9" t="s">
        <v>911</v>
      </c>
      <c r="I306" s="10" t="str">
        <f t="shared" si="45"/>
        <v>cheat summon Fabled_Leech_Character_BP_C</v>
      </c>
      <c r="J306" s="10" t="str">
        <f t="shared" si="46"/>
        <v>admincheat GMSummon "Fabled_Leech_Character_BP_C" 120</v>
      </c>
      <c r="K306" s="9" t="s">
        <v>912</v>
      </c>
      <c r="L306" s="10" t="str">
        <f t="shared" si="47"/>
        <v>cheat SpawnDino "Blueprint'/PrimalChaos/1Dinos/5Mythic_Legendary_Omega_Fabled/Fabled/Leech/Fabled_Leech_Character_BP.Fabled_Leech_Character_BP'" 150 0 0 35</v>
      </c>
      <c r="M306" s="10" t="str">
        <f t="shared" si="48"/>
        <v>NPCReplacements=(FromClassName="Fabled_Leech_Character_BP_C",ToClassName="")</v>
      </c>
      <c r="N306" s="2"/>
    </row>
    <row r="307">
      <c r="B307" s="6"/>
      <c r="C307" s="4"/>
      <c r="D307" s="4"/>
      <c r="E307" s="7" t="s">
        <v>913</v>
      </c>
      <c r="F307" s="7" t="s">
        <v>888</v>
      </c>
      <c r="G307" s="8"/>
      <c r="H307" s="7" t="s">
        <v>914</v>
      </c>
      <c r="I307" s="8" t="str">
        <f t="shared" si="45"/>
        <v>cheat summon Fabled_Mammoth_Character_BP_C</v>
      </c>
      <c r="J307" s="8" t="str">
        <f t="shared" si="46"/>
        <v>admincheat GMSummon "Fabled_Mammoth_Character_BP_C" 120</v>
      </c>
      <c r="K307" s="7" t="s">
        <v>915</v>
      </c>
      <c r="L307" s="8" t="str">
        <f t="shared" si="47"/>
        <v>cheat SpawnDino "Blueprint'/PrimalChaos/1Dinos/5Mythic_Legendary_Omega_Fabled/Fabled/Mammoth/Fabled_Mammoth_Character_BP.Fabled_Mammoth_Character_BP'" 150 0 0 35</v>
      </c>
      <c r="M307" s="8" t="str">
        <f t="shared" si="48"/>
        <v>NPCReplacements=(FromClassName="Fabled_Mammoth_Character_BP_C",ToClassName="")</v>
      </c>
      <c r="N307" s="2"/>
    </row>
    <row r="308">
      <c r="B308" s="6"/>
      <c r="C308" s="4"/>
      <c r="D308" s="4"/>
      <c r="E308" s="9" t="s">
        <v>916</v>
      </c>
      <c r="F308" s="9" t="s">
        <v>888</v>
      </c>
      <c r="G308" s="26" t="s">
        <v>693</v>
      </c>
      <c r="H308" s="9" t="s">
        <v>917</v>
      </c>
      <c r="I308" s="10" t="str">
        <f t="shared" si="45"/>
        <v>cheat summon Fabled_Mantis_Character_BP_C</v>
      </c>
      <c r="J308" s="10" t="str">
        <f t="shared" si="46"/>
        <v>admincheat GMSummon "Fabled_Mantis_Character_BP_C" 120</v>
      </c>
      <c r="K308" s="9" t="s">
        <v>918</v>
      </c>
      <c r="L308" s="10" t="str">
        <f t="shared" si="47"/>
        <v>cheat SpawnDino "Blueprint'/PrimalChaos/1Dinos/5Mythic_Legendary_Omega_Fabled/Fabled/Mantis/Fabled_Mantis_Character_BP.Fabled_Mantis_Character_BP'" 150 0 0 35</v>
      </c>
      <c r="M308" s="10" t="str">
        <f t="shared" si="48"/>
        <v>NPCReplacements=(FromClassName="Fabled_Mantis_Character_BP_C",ToClassName="")</v>
      </c>
      <c r="N308" s="2"/>
    </row>
    <row r="309">
      <c r="B309" s="6"/>
      <c r="C309" s="4"/>
      <c r="D309" s="4"/>
      <c r="E309" s="7" t="s">
        <v>919</v>
      </c>
      <c r="F309" s="7" t="s">
        <v>888</v>
      </c>
      <c r="G309" s="8"/>
      <c r="H309" s="7" t="s">
        <v>920</v>
      </c>
      <c r="I309" s="8" t="str">
        <f t="shared" si="45"/>
        <v>cheat summon Fabled_Paracer_Character_BP_C</v>
      </c>
      <c r="J309" s="8" t="str">
        <f t="shared" si="46"/>
        <v>admincheat GMSummon "Fabled_Paracer_Character_BP_C" 120</v>
      </c>
      <c r="K309" s="7" t="s">
        <v>921</v>
      </c>
      <c r="L309" s="8" t="str">
        <f t="shared" si="47"/>
        <v>cheat SpawnDino "Blueprint'/PrimalChaos/1Dinos/5Mythic_Legendary_Omega_Fabled/Fabled/Paracer/Fabled_Paracer_Character_BP.Fabled_Paracer_Character_BP'" 150 0 0 35</v>
      </c>
      <c r="M309" s="8" t="str">
        <f t="shared" si="48"/>
        <v>NPCReplacements=(FromClassName="Fabled_Paracer_Character_BP_C",ToClassName="")</v>
      </c>
      <c r="N309" s="2"/>
    </row>
    <row r="310">
      <c r="B310" s="6"/>
      <c r="C310" s="4"/>
      <c r="D310" s="4"/>
      <c r="E310" s="9" t="s">
        <v>922</v>
      </c>
      <c r="F310" s="9" t="s">
        <v>888</v>
      </c>
      <c r="G310" s="10"/>
      <c r="H310" s="9" t="s">
        <v>923</v>
      </c>
      <c r="I310" s="10" t="str">
        <f t="shared" si="45"/>
        <v>cheat summon Fabled_Ptero_Character_BP_C</v>
      </c>
      <c r="J310" s="10" t="str">
        <f t="shared" si="46"/>
        <v>admincheat GMSummon "Fabled_Ptero_Character_BP_C" 120</v>
      </c>
      <c r="K310" s="9" t="s">
        <v>924</v>
      </c>
      <c r="L310" s="10" t="str">
        <f t="shared" si="47"/>
        <v>cheat SpawnDino "Blueprint'/PrimalChaos/1Dinos/5Mythic_Legendary_Omega_Fabled/Fabled/Ptero/Fabled_Ptero_Character_BP.Fabled_Ptero_Character_BP'" 150 0 0 35</v>
      </c>
      <c r="M310" s="10" t="str">
        <f t="shared" si="48"/>
        <v>NPCReplacements=(FromClassName="Fabled_Ptero_Character_BP_C",ToClassName="")</v>
      </c>
      <c r="N310" s="2"/>
    </row>
    <row r="311">
      <c r="B311" s="6"/>
      <c r="C311" s="4"/>
      <c r="D311" s="4"/>
      <c r="E311" s="7" t="s">
        <v>925</v>
      </c>
      <c r="F311" s="7" t="s">
        <v>888</v>
      </c>
      <c r="G311" s="8"/>
      <c r="H311" s="7" t="s">
        <v>926</v>
      </c>
      <c r="I311" s="8" t="str">
        <f t="shared" si="45"/>
        <v>cheat summon Fabled_Quetz_Character_BP_C</v>
      </c>
      <c r="J311" s="8" t="str">
        <f t="shared" si="46"/>
        <v>admincheat GMSummon "Fabled_Quetz_Character_BP_C" 120</v>
      </c>
      <c r="K311" s="7" t="s">
        <v>927</v>
      </c>
      <c r="L311" s="8" t="str">
        <f t="shared" si="47"/>
        <v>cheat SpawnDino "Blueprint'/PrimalChaos/1Dinos/5Mythic_Legendary_Omega_Fabled/Fabled/Queltzal/Fabled_Quetz_Character_BP.Fabled_Quetz_Character_BP'" 150 0 0 35</v>
      </c>
      <c r="M311" s="8" t="str">
        <f t="shared" si="48"/>
        <v>NPCReplacements=(FromClassName="Fabled_Quetz_Character_BP_C",ToClassName="")</v>
      </c>
      <c r="N311" s="2"/>
    </row>
    <row r="312">
      <c r="B312" s="6"/>
      <c r="C312" s="4"/>
      <c r="D312" s="4"/>
      <c r="E312" s="9" t="s">
        <v>928</v>
      </c>
      <c r="F312" s="9" t="s">
        <v>888</v>
      </c>
      <c r="G312" s="10"/>
      <c r="H312" s="9" t="s">
        <v>929</v>
      </c>
      <c r="I312" s="10" t="str">
        <f t="shared" si="45"/>
        <v>cheat summon Fabled_Sauropod_Character_BP_C</v>
      </c>
      <c r="J312" s="10" t="str">
        <f t="shared" si="46"/>
        <v>admincheat GMSummon "Fabled_Sauropod_Character_BP_C" 120</v>
      </c>
      <c r="K312" s="9" t="s">
        <v>930</v>
      </c>
      <c r="L312" s="10" t="str">
        <f t="shared" si="47"/>
        <v>cheat SpawnDino "Blueprint'/PrimalChaos/1Dinos/5Mythic_Legendary_Omega_Fabled/Fabled/Sauropod/Fabled_Sauropod_Character_BP.Fabled_Sauropod_Character_BP'" 150 0 0 35</v>
      </c>
      <c r="M312" s="10" t="str">
        <f t="shared" si="48"/>
        <v>NPCReplacements=(FromClassName="Fabled_Sauropod_Character_BP_C",ToClassName="")</v>
      </c>
      <c r="N312" s="2"/>
    </row>
    <row r="313">
      <c r="B313" s="6"/>
      <c r="C313" s="4"/>
      <c r="D313" s="4"/>
      <c r="E313" s="7" t="s">
        <v>931</v>
      </c>
      <c r="F313" s="7" t="s">
        <v>888</v>
      </c>
      <c r="G313" s="8"/>
      <c r="H313" s="7" t="s">
        <v>932</v>
      </c>
      <c r="I313" s="8" t="str">
        <f t="shared" si="45"/>
        <v>cheat summon Fabled_Stag_Character_BP_C</v>
      </c>
      <c r="J313" s="8" t="str">
        <f t="shared" si="46"/>
        <v>admincheat GMSummon "Fabled_Stag_Character_BP_C" 120</v>
      </c>
      <c r="K313" s="7" t="s">
        <v>933</v>
      </c>
      <c r="L313" s="8" t="str">
        <f t="shared" si="47"/>
        <v>cheat SpawnDino "Blueprint'/PrimalChaos/1Dinos/5Mythic_Legendary_Omega_Fabled/Fabled/Stag/Fabled_Stag_Character_BP.Fabled_Stag_Character_BP'" 150 0 0 35</v>
      </c>
      <c r="M313" s="8" t="str">
        <f t="shared" si="48"/>
        <v>NPCReplacements=(FromClassName="Fabled_Stag_Character_BP_C",ToClassName="")</v>
      </c>
      <c r="N313" s="2"/>
    </row>
    <row r="314">
      <c r="B314" s="6"/>
      <c r="C314" s="4"/>
      <c r="D314" s="4"/>
      <c r="E314" s="9" t="s">
        <v>934</v>
      </c>
      <c r="F314" s="9" t="s">
        <v>888</v>
      </c>
      <c r="G314" s="10"/>
      <c r="H314" s="9" t="s">
        <v>935</v>
      </c>
      <c r="I314" s="10" t="str">
        <f t="shared" si="45"/>
        <v>cheat summon Fabled_Stego_Character_BP_C</v>
      </c>
      <c r="J314" s="10" t="str">
        <f t="shared" si="46"/>
        <v>admincheat GMSummon "Fabled_Stego_Character_BP_C" 120</v>
      </c>
      <c r="K314" s="9" t="s">
        <v>936</v>
      </c>
      <c r="L314" s="10" t="str">
        <f t="shared" si="47"/>
        <v>cheat SpawnDino "Blueprint'/PrimalChaos/1Dinos/5Mythic_Legendary_Omega_Fabled/Fabled/Stego/Fabled_Stego_Character_BP.Fabled_Stego_Character_BP'" 150 0 0 35</v>
      </c>
      <c r="M314" s="10" t="str">
        <f t="shared" si="48"/>
        <v>NPCReplacements=(FromClassName="Fabled_Stego_Character_BP_C",ToClassName="")</v>
      </c>
      <c r="N314" s="2"/>
    </row>
    <row r="315">
      <c r="B315" s="6"/>
      <c r="C315" s="4"/>
      <c r="D315" s="4"/>
      <c r="E315" s="7" t="s">
        <v>937</v>
      </c>
      <c r="F315" s="7" t="s">
        <v>888</v>
      </c>
      <c r="G315" s="8"/>
      <c r="H315" s="7" t="s">
        <v>938</v>
      </c>
      <c r="I315" s="8" t="str">
        <f t="shared" si="45"/>
        <v>cheat summon Fabled_Tapejara_Character_BP_C</v>
      </c>
      <c r="J315" s="8" t="str">
        <f t="shared" si="46"/>
        <v>admincheat GMSummon "Fabled_Tapejara_Character_BP_C" 120</v>
      </c>
      <c r="K315" s="7" t="s">
        <v>939</v>
      </c>
      <c r="L315" s="8" t="str">
        <f t="shared" si="47"/>
        <v>cheat SpawnDino "Blueprint'/PrimalChaos/1Dinos/5Mythic_Legendary_Omega_Fabled/Fabled/Tapejara/Fabled_Tapejara_Character_BP.Fabled_Tapejara_Character_BP'" 150 0 0 35</v>
      </c>
      <c r="M315" s="8" t="str">
        <f t="shared" si="48"/>
        <v>NPCReplacements=(FromClassName="Fabled_Tapejara_Character_BP_C",ToClassName="")</v>
      </c>
      <c r="N315" s="2"/>
    </row>
    <row r="316">
      <c r="B316" s="6"/>
      <c r="C316" s="4"/>
      <c r="D316" s="4"/>
      <c r="E316" s="9" t="s">
        <v>940</v>
      </c>
      <c r="F316" s="9" t="s">
        <v>888</v>
      </c>
      <c r="G316" s="10"/>
      <c r="H316" s="9" t="s">
        <v>941</v>
      </c>
      <c r="I316" s="10" t="str">
        <f t="shared" si="45"/>
        <v>cheat summon Fabled_Therizino_Character_BP_C</v>
      </c>
      <c r="J316" s="10" t="str">
        <f t="shared" si="46"/>
        <v>admincheat GMSummon "Fabled_Therizino_Character_BP_C" 120</v>
      </c>
      <c r="K316" s="9" t="s">
        <v>942</v>
      </c>
      <c r="L316" s="10" t="str">
        <f t="shared" si="47"/>
        <v>cheat SpawnDino "Blueprint'/PrimalChaos/1Dinos/5Mythic_Legendary_Omega_Fabled/Fabled/Therizino/Fabled_Therizino_Character_BP.Fabled_Therizino_Character_BP'" 150 0 0 35</v>
      </c>
      <c r="M316" s="10" t="str">
        <f t="shared" si="48"/>
        <v>NPCReplacements=(FromClassName="Fabled_Therizino_Character_BP_C",ToClassName="")</v>
      </c>
      <c r="N316" s="2"/>
    </row>
    <row r="317">
      <c r="B317" s="13"/>
      <c r="C317" s="4"/>
      <c r="D317" s="4"/>
      <c r="E317" s="7" t="s">
        <v>943</v>
      </c>
      <c r="F317" s="7" t="s">
        <v>888</v>
      </c>
      <c r="G317" s="8"/>
      <c r="H317" s="7" t="s">
        <v>944</v>
      </c>
      <c r="I317" s="8" t="str">
        <f t="shared" si="45"/>
        <v>cheat summon Fabled_Trike_Character_BP_C</v>
      </c>
      <c r="J317" s="8" t="str">
        <f t="shared" si="46"/>
        <v>admincheat GMSummon "Fabled_Trike_Character_BP_C" 120</v>
      </c>
      <c r="K317" s="7" t="s">
        <v>945</v>
      </c>
      <c r="L317" s="8" t="str">
        <f t="shared" si="47"/>
        <v>cheat SpawnDino "Blueprint'/PrimalChaos/1Dinos/5Mythic_Legendary_Omega_Fabled/Fabled/Trike/Fabled_Trike_Character_BP.Fabled_Trike_Character_BP'" 150 0 0 35</v>
      </c>
      <c r="M317" s="8" t="str">
        <f t="shared" si="48"/>
        <v>NPCReplacements=(FromClassName="Fabled_Trike_Character_BP_C",ToClassName="")</v>
      </c>
      <c r="N317" s="2"/>
    </row>
    <row r="318">
      <c r="B318" s="14"/>
      <c r="C318" s="15"/>
      <c r="D318" s="15"/>
      <c r="E318" s="16"/>
      <c r="F318" s="16"/>
      <c r="G318" s="16"/>
      <c r="H318" s="16"/>
      <c r="I318" s="16"/>
      <c r="J318" s="16"/>
      <c r="K318" s="16"/>
      <c r="L318" s="16"/>
      <c r="M318" s="16"/>
      <c r="N318" s="2"/>
    </row>
    <row r="319">
      <c r="B319" s="31" t="s">
        <v>946</v>
      </c>
      <c r="C319" s="4"/>
      <c r="D319" s="4"/>
      <c r="E319" s="7" t="s">
        <v>947</v>
      </c>
      <c r="F319" s="7" t="s">
        <v>946</v>
      </c>
      <c r="G319" s="26" t="s">
        <v>693</v>
      </c>
      <c r="H319" s="7" t="s">
        <v>948</v>
      </c>
      <c r="I319" s="8" t="str">
        <f t="shared" ref="I319:I328" si="49">"cheat summon "&amp;H319</f>
        <v>cheat summon Omega_Allo_Character_BP_C</v>
      </c>
      <c r="J319" s="8" t="str">
        <f t="shared" ref="J319:J328" si="50"> "admincheat GMSummon " &amp;CHAR(34) &amp; H319&amp;CHAR(34)&amp; " 120"</f>
        <v>admincheat GMSummon "Omega_Allo_Character_BP_C" 120</v>
      </c>
      <c r="K319" s="7" t="s">
        <v>949</v>
      </c>
      <c r="L319" s="8" t="str">
        <f t="shared" ref="L319:L328" si="51">IF(K319&lt;&gt;"","cheat SpawnDino "&amp;CHAR(34)&amp;"Blueprint'"&amp;K319&amp;"'"&amp;CHAR(34)&amp;" 150 0 0 35","")</f>
        <v>cheat SpawnDino "Blueprint'/PrimalChaos/1Dinos/5Mythic_Legendary_Omega_Fabled/Omega/Allo/Omega_Allo_Character_BP.Omega_Allo_Character_BP'" 150 0 0 35</v>
      </c>
      <c r="M319" s="8" t="str">
        <f t="shared" ref="M319:M328" si="52">"NPCReplacements=(FromClassName="&amp;CHAR(34)&amp;H319&amp;""&amp;CHAR(34)&amp;",ToClassName="&amp;CHAR(34)&amp;CHAR(34)&amp;")"</f>
        <v>NPCReplacements=(FromClassName="Omega_Allo_Character_BP_C",ToClassName="")</v>
      </c>
      <c r="N319" s="2"/>
    </row>
    <row r="320">
      <c r="B320" s="6"/>
      <c r="C320" s="4"/>
      <c r="D320" s="4"/>
      <c r="E320" s="9" t="s">
        <v>950</v>
      </c>
      <c r="F320" s="9" t="s">
        <v>946</v>
      </c>
      <c r="G320" s="26" t="s">
        <v>693</v>
      </c>
      <c r="H320" s="9" t="s">
        <v>951</v>
      </c>
      <c r="I320" s="10" t="str">
        <f t="shared" si="49"/>
        <v>cheat summon Omega_Carno_Character_BP_C</v>
      </c>
      <c r="J320" s="10" t="str">
        <f t="shared" si="50"/>
        <v>admincheat GMSummon "Omega_Carno_Character_BP_C" 120</v>
      </c>
      <c r="K320" s="9" t="s">
        <v>952</v>
      </c>
      <c r="L320" s="10" t="str">
        <f t="shared" si="51"/>
        <v>cheat SpawnDino "Blueprint'/PrimalChaos/1Dinos/5Mythic_Legendary_Omega_Fabled/Omega/Carno/Omega_Carno_Character_BP.Omega_Carno_Character_BP'" 150 0 0 35</v>
      </c>
      <c r="M320" s="10" t="str">
        <f t="shared" si="52"/>
        <v>NPCReplacements=(FromClassName="Omega_Carno_Character_BP_C",ToClassName="")</v>
      </c>
      <c r="N320" s="2"/>
    </row>
    <row r="321">
      <c r="B321" s="6"/>
      <c r="C321" s="4"/>
      <c r="D321" s="4"/>
      <c r="E321" s="7" t="s">
        <v>953</v>
      </c>
      <c r="F321" s="7" t="s">
        <v>946</v>
      </c>
      <c r="G321" s="26" t="s">
        <v>693</v>
      </c>
      <c r="H321" s="7" t="s">
        <v>954</v>
      </c>
      <c r="I321" s="8" t="str">
        <f t="shared" si="49"/>
        <v>cheat summon Omega_Direbear_Character_BP_C</v>
      </c>
      <c r="J321" s="8" t="str">
        <f t="shared" si="50"/>
        <v>admincheat GMSummon "Omega_Direbear_Character_BP_C" 120</v>
      </c>
      <c r="K321" s="7" t="s">
        <v>955</v>
      </c>
      <c r="L321" s="8" t="str">
        <f t="shared" si="51"/>
        <v>cheat SpawnDino "Blueprint'/PrimalChaos/1Dinos/5Mythic_Legendary_Omega_Fabled/Omega/Direbear/Omega_Direbear_Character_BP.Omega_Direbear_Character_BP'" 150 0 0 35</v>
      </c>
      <c r="M321" s="8" t="str">
        <f t="shared" si="52"/>
        <v>NPCReplacements=(FromClassName="Omega_Direbear_Character_BP_C",ToClassName="")</v>
      </c>
      <c r="N321" s="2"/>
    </row>
    <row r="322">
      <c r="B322" s="6"/>
      <c r="C322" s="4"/>
      <c r="D322" s="4"/>
      <c r="E322" s="9" t="s">
        <v>956</v>
      </c>
      <c r="F322" s="9" t="s">
        <v>946</v>
      </c>
      <c r="G322" s="26" t="s">
        <v>693</v>
      </c>
      <c r="H322" s="9" t="s">
        <v>957</v>
      </c>
      <c r="I322" s="10" t="str">
        <f t="shared" si="49"/>
        <v>cheat summon Omega_Direwolf_Character_BP_C</v>
      </c>
      <c r="J322" s="10" t="str">
        <f t="shared" si="50"/>
        <v>admincheat GMSummon "Omega_Direwolf_Character_BP_C" 120</v>
      </c>
      <c r="K322" s="9" t="s">
        <v>958</v>
      </c>
      <c r="L322" s="10" t="str">
        <f t="shared" si="51"/>
        <v>cheat SpawnDino "Blueprint'/PrimalChaos/1Dinos/5Mythic_Legendary_Omega_Fabled/Omega/Direwolf/Omega_Direwolf_Character_BP.Omega_Direwolf_Character_BP'" 150 0 0 35</v>
      </c>
      <c r="M322" s="10" t="str">
        <f t="shared" si="52"/>
        <v>NPCReplacements=(FromClassName="Omega_Direwolf_Character_BP_C",ToClassName="")</v>
      </c>
      <c r="N322" s="2"/>
    </row>
    <row r="323">
      <c r="B323" s="6"/>
      <c r="C323" s="4"/>
      <c r="D323" s="4"/>
      <c r="E323" s="7" t="s">
        <v>959</v>
      </c>
      <c r="F323" s="7" t="s">
        <v>946</v>
      </c>
      <c r="G323" s="26" t="s">
        <v>693</v>
      </c>
      <c r="H323" s="7" t="s">
        <v>960</v>
      </c>
      <c r="I323" s="8" t="str">
        <f t="shared" si="49"/>
        <v>cheat summon Omega_Megatherium_Character_BP_C</v>
      </c>
      <c r="J323" s="8" t="str">
        <f t="shared" si="50"/>
        <v>admincheat GMSummon "Omega_Megatherium_Character_BP_C" 120</v>
      </c>
      <c r="K323" s="7" t="s">
        <v>961</v>
      </c>
      <c r="L323" s="8" t="str">
        <f t="shared" si="51"/>
        <v>cheat SpawnDino "Blueprint'/PrimalChaos/1Dinos/5Mythic_Legendary_Omega_Fabled/Omega/Megatherium/Omega_Megatherium_Character_BP.Omega_Megatherium_Character_BP'" 150 0 0 35</v>
      </c>
      <c r="M323" s="8" t="str">
        <f t="shared" si="52"/>
        <v>NPCReplacements=(FromClassName="Omega_Megatherium_Character_BP_C",ToClassName="")</v>
      </c>
      <c r="N323" s="2"/>
    </row>
    <row r="324">
      <c r="B324" s="6"/>
      <c r="C324" s="4"/>
      <c r="D324" s="4"/>
      <c r="E324" s="9" t="s">
        <v>962</v>
      </c>
      <c r="F324" s="9" t="s">
        <v>946</v>
      </c>
      <c r="G324" s="26" t="s">
        <v>693</v>
      </c>
      <c r="H324" s="9" t="s">
        <v>963</v>
      </c>
      <c r="I324" s="10" t="str">
        <f t="shared" si="49"/>
        <v>cheat summon Omega_Raptor_Character_BP_C</v>
      </c>
      <c r="J324" s="10" t="str">
        <f t="shared" si="50"/>
        <v>admincheat GMSummon "Omega_Raptor_Character_BP_C" 120</v>
      </c>
      <c r="K324" s="9" t="s">
        <v>964</v>
      </c>
      <c r="L324" s="10" t="str">
        <f t="shared" si="51"/>
        <v>cheat SpawnDino "Blueprint'/PrimalChaos/1Dinos/5Mythic_Legendary_Omega_Fabled/Omega/Raptor/Omega_Raptor_Character_BP.Omega_Raptor_Character_BP'" 150 0 0 35</v>
      </c>
      <c r="M324" s="10" t="str">
        <f t="shared" si="52"/>
        <v>NPCReplacements=(FromClassName="Omega_Raptor_Character_BP_C",ToClassName="")</v>
      </c>
      <c r="N324" s="2"/>
    </row>
    <row r="325">
      <c r="B325" s="6"/>
      <c r="C325" s="4"/>
      <c r="D325" s="4"/>
      <c r="E325" s="7" t="s">
        <v>965</v>
      </c>
      <c r="F325" s="7" t="s">
        <v>946</v>
      </c>
      <c r="G325" s="26" t="s">
        <v>693</v>
      </c>
      <c r="H325" s="7" t="s">
        <v>966</v>
      </c>
      <c r="I325" s="8" t="str">
        <f t="shared" si="49"/>
        <v>cheat summon Omega_Rex_Character_BP_C</v>
      </c>
      <c r="J325" s="8" t="str">
        <f t="shared" si="50"/>
        <v>admincheat GMSummon "Omega_Rex_Character_BP_C" 120</v>
      </c>
      <c r="K325" s="7" t="s">
        <v>967</v>
      </c>
      <c r="L325" s="8" t="str">
        <f t="shared" si="51"/>
        <v>cheat SpawnDino "Blueprint'/PrimalChaos/1Dinos/5Mythic_Legendary_Omega_Fabled/Omega/Rex/Omega_Rex_Character_BP.Omega_Rex_Character_BP'" 150 0 0 35</v>
      </c>
      <c r="M325" s="8" t="str">
        <f t="shared" si="52"/>
        <v>NPCReplacements=(FromClassName="Omega_Rex_Character_BP_C",ToClassName="")</v>
      </c>
      <c r="N325" s="2"/>
    </row>
    <row r="326">
      <c r="B326" s="6"/>
      <c r="C326" s="4"/>
      <c r="D326" s="4"/>
      <c r="E326" s="9" t="s">
        <v>968</v>
      </c>
      <c r="F326" s="9" t="s">
        <v>946</v>
      </c>
      <c r="G326" s="26" t="s">
        <v>693</v>
      </c>
      <c r="H326" s="9" t="s">
        <v>969</v>
      </c>
      <c r="I326" s="10" t="str">
        <f t="shared" si="49"/>
        <v>cheat summon Omega_Sarco_Character_BP_C</v>
      </c>
      <c r="J326" s="10" t="str">
        <f t="shared" si="50"/>
        <v>admincheat GMSummon "Omega_Sarco_Character_BP_C" 120</v>
      </c>
      <c r="K326" s="9" t="s">
        <v>970</v>
      </c>
      <c r="L326" s="10" t="str">
        <f t="shared" si="51"/>
        <v>cheat SpawnDino "Blueprint'/PrimalChaos/1Dinos/5Mythic_Legendary_Omega_Fabled/Omega/Sarco/Omega_Sarco_Character_BP.Omega_Sarco_Character_BP'" 150 0 0 35</v>
      </c>
      <c r="M326" s="10" t="str">
        <f t="shared" si="52"/>
        <v>NPCReplacements=(FromClassName="Omega_Sarco_Character_BP_C",ToClassName="")</v>
      </c>
      <c r="N326" s="2"/>
    </row>
    <row r="327">
      <c r="B327" s="6"/>
      <c r="C327" s="4"/>
      <c r="D327" s="4"/>
      <c r="E327" s="7" t="s">
        <v>971</v>
      </c>
      <c r="F327" s="7" t="s">
        <v>946</v>
      </c>
      <c r="G327" s="26" t="s">
        <v>693</v>
      </c>
      <c r="H327" s="7" t="s">
        <v>972</v>
      </c>
      <c r="I327" s="8" t="str">
        <f t="shared" si="49"/>
        <v>cheat summon Omega_Spino_Character_BP_C</v>
      </c>
      <c r="J327" s="8" t="str">
        <f t="shared" si="50"/>
        <v>admincheat GMSummon "Omega_Spino_Character_BP_C" 120</v>
      </c>
      <c r="K327" s="7" t="s">
        <v>973</v>
      </c>
      <c r="L327" s="8" t="str">
        <f t="shared" si="51"/>
        <v>cheat SpawnDino "Blueprint'/PrimalChaos/1Dinos/5Mythic_Legendary_Omega_Fabled/Omega/Spinosaurus/Omega_Spino_Character_BP.Omega_Spino_Character_BP'" 150 0 0 35</v>
      </c>
      <c r="M327" s="8" t="str">
        <f t="shared" si="52"/>
        <v>NPCReplacements=(FromClassName="Omega_Spino_Character_BP_C",ToClassName="")</v>
      </c>
      <c r="N327" s="2"/>
    </row>
    <row r="328">
      <c r="B328" s="13"/>
      <c r="C328" s="4"/>
      <c r="D328" s="4"/>
      <c r="E328" s="9" t="s">
        <v>974</v>
      </c>
      <c r="F328" s="9" t="s">
        <v>946</v>
      </c>
      <c r="G328" s="26" t="s">
        <v>693</v>
      </c>
      <c r="H328" s="9" t="s">
        <v>975</v>
      </c>
      <c r="I328" s="10" t="str">
        <f t="shared" si="49"/>
        <v>cheat summon Omega_Toad_Character_BP_C</v>
      </c>
      <c r="J328" s="10" t="str">
        <f t="shared" si="50"/>
        <v>admincheat GMSummon "Omega_Toad_Character_BP_C" 120</v>
      </c>
      <c r="K328" s="9" t="s">
        <v>976</v>
      </c>
      <c r="L328" s="10" t="str">
        <f t="shared" si="51"/>
        <v>cheat SpawnDino "Blueprint'/PrimalChaos/1Dinos/5Mythic_Legendary_Omega_Fabled/Omega/Frog/Omega_Toad_Character_BP.Omega_Toad_Character_BP'" 150 0 0 35</v>
      </c>
      <c r="M328" s="10" t="str">
        <f t="shared" si="52"/>
        <v>NPCReplacements=(FromClassName="Omega_Toad_Character_BP_C",ToClassName="")</v>
      </c>
      <c r="N328" s="2"/>
    </row>
    <row r="329">
      <c r="B329" s="14"/>
      <c r="C329" s="15"/>
      <c r="D329" s="15"/>
      <c r="E329" s="16"/>
      <c r="F329" s="16"/>
      <c r="G329" s="16"/>
      <c r="H329" s="16"/>
      <c r="I329" s="16"/>
      <c r="J329" s="16"/>
      <c r="K329" s="16"/>
      <c r="L329" s="16"/>
      <c r="M329" s="16"/>
      <c r="N329" s="2"/>
    </row>
    <row r="330">
      <c r="B330" s="32" t="s">
        <v>977</v>
      </c>
      <c r="C330" s="4">
        <v>261.0</v>
      </c>
      <c r="D330" s="4">
        <f t="shared" ref="D330:D347" si="53">IF(F330="Beta",1)+IF(F330="Alpha",2)+IF(F330="Electric",3)+IF(F330="Volcanic",3)+IF(F330="Hydro",3)+IF(F330="Shadow",4)+IF(F330="Fairy",4)+IF(F330="Mythic",5)+IF(F330="Legendary",5)+IF(F330="Demonic",6)+IF(F330="Angelic",6)+IF(F330="Jester",7)+IF(F330="Nightmare",8)+IF(F330="Vanilla",9)+IF(F330="Boss",8)</f>
        <v>5</v>
      </c>
      <c r="E330" s="9" t="s">
        <v>978</v>
      </c>
      <c r="F330" s="10" t="s">
        <v>977</v>
      </c>
      <c r="G330" s="10"/>
      <c r="H330" s="10" t="s">
        <v>979</v>
      </c>
      <c r="I330" s="10" t="str">
        <f t="shared" ref="I330:I347" si="54">"cheat summon "&amp;H330</f>
        <v>cheat summon Legendary_Allo_Character_BP_C</v>
      </c>
      <c r="J330" s="10" t="str">
        <f t="shared" ref="J330:J347" si="55"> "admincheat GMSummon " &amp;CHAR(34) &amp; H330&amp;CHAR(34)&amp; " 120"</f>
        <v>admincheat GMSummon "Legendary_Allo_Character_BP_C" 120</v>
      </c>
      <c r="K330" s="10" t="s">
        <v>980</v>
      </c>
      <c r="L330" s="10" t="str">
        <f t="shared" ref="L330:L347" si="56">IF(K330&lt;&gt;"","cheat SpawnDino "&amp;CHAR(34)&amp;"Blueprint'"&amp;K330&amp;"'"&amp;CHAR(34)&amp;" 150 0 0 35","")</f>
        <v>cheat SpawnDino "Blueprint'/PrimalChaos/1Dinos/5MythicAndLegendary/Legendary/Allo/Legendary_Allo_Character_BP.Legendary_Allo_Character_BP'" 150 0 0 35</v>
      </c>
      <c r="M330" s="10" t="str">
        <f t="shared" ref="M330:M347" si="57">"NPCReplacements=(FromClassName="&amp;CHAR(34)&amp;H330&amp;""&amp;CHAR(34)&amp;",ToClassName="&amp;CHAR(34)&amp;CHAR(34)&amp;")"</f>
        <v>NPCReplacements=(FromClassName="Legendary_Allo_Character_BP_C",ToClassName="")</v>
      </c>
      <c r="N330" s="2"/>
    </row>
    <row r="331">
      <c r="B331" s="6"/>
      <c r="C331" s="4">
        <v>262.0</v>
      </c>
      <c r="D331" s="4">
        <f t="shared" si="53"/>
        <v>5</v>
      </c>
      <c r="E331" s="7" t="s">
        <v>981</v>
      </c>
      <c r="F331" s="8" t="s">
        <v>977</v>
      </c>
      <c r="G331" s="8"/>
      <c r="H331" s="8" t="s">
        <v>982</v>
      </c>
      <c r="I331" s="8" t="str">
        <f t="shared" si="54"/>
        <v>cheat summon Legendary_Areneo_Character_BP_C</v>
      </c>
      <c r="J331" s="8" t="str">
        <f t="shared" si="55"/>
        <v>admincheat GMSummon "Legendary_Areneo_Character_BP_C" 120</v>
      </c>
      <c r="K331" s="8" t="s">
        <v>983</v>
      </c>
      <c r="L331" s="8" t="str">
        <f t="shared" si="56"/>
        <v>cheat SpawnDino "Blueprint'/PrimalChaos/1Dinos/5MythicAndLegendary/Legendary/Areneo/Legendary_Areneo_Character_BP.Legendary_Areneo_Character_BP'" 150 0 0 35</v>
      </c>
      <c r="M331" s="8" t="str">
        <f t="shared" si="57"/>
        <v>NPCReplacements=(FromClassName="Legendary_Areneo_Character_BP_C",ToClassName="")</v>
      </c>
      <c r="N331" s="2"/>
    </row>
    <row r="332">
      <c r="B332" s="6"/>
      <c r="C332" s="4">
        <v>263.0</v>
      </c>
      <c r="D332" s="4">
        <f t="shared" si="53"/>
        <v>5</v>
      </c>
      <c r="E332" s="9" t="s">
        <v>984</v>
      </c>
      <c r="F332" s="10" t="s">
        <v>977</v>
      </c>
      <c r="G332" s="10"/>
      <c r="H332" s="10" t="s">
        <v>985</v>
      </c>
      <c r="I332" s="10" t="str">
        <f t="shared" si="54"/>
        <v>cheat summon Legendary_Baryonyx_Character_BP_C</v>
      </c>
      <c r="J332" s="10" t="str">
        <f t="shared" si="55"/>
        <v>admincheat GMSummon "Legendary_Baryonyx_Character_BP_C" 120</v>
      </c>
      <c r="K332" s="10" t="s">
        <v>986</v>
      </c>
      <c r="L332" s="10" t="str">
        <f t="shared" si="56"/>
        <v>cheat SpawnDino "Blueprint'/PrimalChaos/1Dinos/5MythicAndLegendary/Legendary/Baryonyx/Legendary_Baryonyx_Character_BP.Legendary_Baryonyx_Character_BP'" 150 0 0 35</v>
      </c>
      <c r="M332" s="10" t="str">
        <f t="shared" si="57"/>
        <v>NPCReplacements=(FromClassName="Legendary_Baryonyx_Character_BP_C",ToClassName="")</v>
      </c>
      <c r="N332" s="2"/>
    </row>
    <row r="333">
      <c r="B333" s="6"/>
      <c r="C333" s="4">
        <v>265.0</v>
      </c>
      <c r="D333" s="4">
        <f t="shared" si="53"/>
        <v>5</v>
      </c>
      <c r="E333" s="7" t="s">
        <v>987</v>
      </c>
      <c r="F333" s="8" t="s">
        <v>977</v>
      </c>
      <c r="G333" s="8"/>
      <c r="H333" s="8" t="s">
        <v>988</v>
      </c>
      <c r="I333" s="8" t="str">
        <f t="shared" si="54"/>
        <v>cheat summon Legendary_Carno_Character_BP_C</v>
      </c>
      <c r="J333" s="8" t="str">
        <f t="shared" si="55"/>
        <v>admincheat GMSummon "Legendary_Carno_Character_BP_C" 120</v>
      </c>
      <c r="K333" s="8" t="s">
        <v>989</v>
      </c>
      <c r="L333" s="8" t="str">
        <f t="shared" si="56"/>
        <v>cheat SpawnDino "Blueprint'/PrimalChaos/1Dinos/5MythicAndLegendary/Legendary/Carno/Legendary_Carno_Character_BP.Legendary_Carno_Character_BP'" 150 0 0 35</v>
      </c>
      <c r="M333" s="8" t="str">
        <f t="shared" si="57"/>
        <v>NPCReplacements=(FromClassName="Legendary_Carno_Character_BP_C",ToClassName="")</v>
      </c>
      <c r="N333" s="2"/>
    </row>
    <row r="334">
      <c r="B334" s="6"/>
      <c r="C334" s="4">
        <v>266.0</v>
      </c>
      <c r="D334" s="4">
        <f t="shared" si="53"/>
        <v>5</v>
      </c>
      <c r="E334" s="9" t="s">
        <v>990</v>
      </c>
      <c r="F334" s="10" t="s">
        <v>977</v>
      </c>
      <c r="G334" s="10"/>
      <c r="H334" s="10" t="s">
        <v>991</v>
      </c>
      <c r="I334" s="10" t="str">
        <f t="shared" si="54"/>
        <v>cheat summon Legendary_Dilo_Character_BP_C</v>
      </c>
      <c r="J334" s="10" t="str">
        <f t="shared" si="55"/>
        <v>admincheat GMSummon "Legendary_Dilo_Character_BP_C" 120</v>
      </c>
      <c r="K334" s="10" t="s">
        <v>992</v>
      </c>
      <c r="L334" s="10" t="str">
        <f t="shared" si="56"/>
        <v>cheat SpawnDino "Blueprint'/PrimalChaos/1Dinos/5MythicAndLegendary/Legendary/Dilo/Legendary_Dilo_Character_BP.Legendary_Dilo_Character_BP'" 150 0 0 35</v>
      </c>
      <c r="M334" s="10" t="str">
        <f t="shared" si="57"/>
        <v>NPCReplacements=(FromClassName="Legendary_Dilo_Character_BP_C",ToClassName="")</v>
      </c>
      <c r="N334" s="2"/>
    </row>
    <row r="335">
      <c r="B335" s="6"/>
      <c r="C335" s="33">
        <v>279.0</v>
      </c>
      <c r="D335" s="34">
        <f t="shared" si="53"/>
        <v>5</v>
      </c>
      <c r="E335" s="35" t="s">
        <v>993</v>
      </c>
      <c r="F335" s="36" t="s">
        <v>977</v>
      </c>
      <c r="G335" s="18"/>
      <c r="H335" s="8" t="s">
        <v>994</v>
      </c>
      <c r="I335" s="8" t="str">
        <f t="shared" si="54"/>
        <v>cheat summon LegendaryIndom_Character_BP_C</v>
      </c>
      <c r="J335" s="8" t="str">
        <f t="shared" si="55"/>
        <v>admincheat GMSummon "LegendaryIndom_Character_BP_C" 120</v>
      </c>
      <c r="K335" s="36" t="s">
        <v>995</v>
      </c>
      <c r="L335" s="36" t="str">
        <f t="shared" si="56"/>
        <v>cheat SpawnDino "Blueprint'/PrimalChaos/1Dinos/5MythicAndLegendary/Legendary/indom/LegendaryIndom_Character_BP.LegendaryIndom_Character_BP'" 150 0 0 35</v>
      </c>
      <c r="M335" s="36" t="str">
        <f t="shared" si="57"/>
        <v>NPCReplacements=(FromClassName="LegendaryIndom_Character_BP_C",ToClassName="")</v>
      </c>
      <c r="N335" s="2"/>
    </row>
    <row r="336">
      <c r="B336" s="6"/>
      <c r="C336" s="4">
        <v>267.0</v>
      </c>
      <c r="D336" s="4">
        <f t="shared" si="53"/>
        <v>5</v>
      </c>
      <c r="E336" s="9" t="s">
        <v>996</v>
      </c>
      <c r="F336" s="10" t="s">
        <v>977</v>
      </c>
      <c r="G336" s="10"/>
      <c r="H336" s="10" t="s">
        <v>997</v>
      </c>
      <c r="I336" s="10" t="str">
        <f t="shared" si="54"/>
        <v>cheat summon Legendary_Kairuku_Character_BP_C</v>
      </c>
      <c r="J336" s="10" t="str">
        <f t="shared" si="55"/>
        <v>admincheat GMSummon "Legendary_Kairuku_Character_BP_C" 120</v>
      </c>
      <c r="K336" s="10" t="s">
        <v>998</v>
      </c>
      <c r="L336" s="10" t="str">
        <f t="shared" si="56"/>
        <v>cheat SpawnDino "Blueprint'/PrimalChaos/1Dinos/5MythicAndLegendary/Legendary/Kairuku/Legendary_Kairuku_Character_BP.Legendary_Kairuku_Character_BP'" 150 0 0 35</v>
      </c>
      <c r="M336" s="10" t="str">
        <f t="shared" si="57"/>
        <v>NPCReplacements=(FromClassName="Legendary_Kairuku_Character_BP_C",ToClassName="")</v>
      </c>
      <c r="N336" s="2"/>
    </row>
    <row r="337">
      <c r="B337" s="6"/>
      <c r="C337" s="4">
        <v>268.0</v>
      </c>
      <c r="D337" s="4">
        <f t="shared" si="53"/>
        <v>5</v>
      </c>
      <c r="E337" s="7" t="s">
        <v>999</v>
      </c>
      <c r="F337" s="8" t="s">
        <v>977</v>
      </c>
      <c r="G337" s="8"/>
      <c r="H337" s="8" t="s">
        <v>1000</v>
      </c>
      <c r="I337" s="8" t="str">
        <f t="shared" si="54"/>
        <v>cheat summon Legendary_Kapro_Character_BP_C</v>
      </c>
      <c r="J337" s="8" t="str">
        <f t="shared" si="55"/>
        <v>admincheat GMSummon "Legendary_Kapro_Character_BP_C" 120</v>
      </c>
      <c r="K337" s="8" t="s">
        <v>1001</v>
      </c>
      <c r="L337" s="8" t="str">
        <f t="shared" si="56"/>
        <v>cheat SpawnDino "Blueprint'/PrimalChaos/1Dinos/5MythicAndLegendary/Legendary/Kapro/Legendary_Kapro_Character_BP.Legendary_Kapro_Character_BP'" 150 0 0 35</v>
      </c>
      <c r="M337" s="8" t="str">
        <f t="shared" si="57"/>
        <v>NPCReplacements=(FromClassName="Legendary_Kapro_Character_BP_C",ToClassName="")</v>
      </c>
      <c r="N337" s="2"/>
    </row>
    <row r="338">
      <c r="B338" s="6"/>
      <c r="C338" s="4">
        <v>269.0</v>
      </c>
      <c r="D338" s="4">
        <f t="shared" si="53"/>
        <v>5</v>
      </c>
      <c r="E338" s="9" t="s">
        <v>1002</v>
      </c>
      <c r="F338" s="10" t="s">
        <v>977</v>
      </c>
      <c r="G338" s="10"/>
      <c r="H338" s="10" t="s">
        <v>1003</v>
      </c>
      <c r="I338" s="10" t="str">
        <f t="shared" si="54"/>
        <v>cheat summon Legendary_Pachy_Character_BP_C</v>
      </c>
      <c r="J338" s="10" t="str">
        <f t="shared" si="55"/>
        <v>admincheat GMSummon "Legendary_Pachy_Character_BP_C" 120</v>
      </c>
      <c r="K338" s="10" t="s">
        <v>1004</v>
      </c>
      <c r="L338" s="10" t="str">
        <f t="shared" si="56"/>
        <v>cheat SpawnDino "Blueprint'/PrimalChaos/1Dinos/5MythicAndLegendary/Legendary/Pachy/Legendary_Pachy_Character_BP.Legendary_Pachy_Character_BP'" 150 0 0 35</v>
      </c>
      <c r="M338" s="10" t="str">
        <f t="shared" si="57"/>
        <v>NPCReplacements=(FromClassName="Legendary_Pachy_Character_BP_C",ToClassName="")</v>
      </c>
      <c r="N338" s="2"/>
    </row>
    <row r="339">
      <c r="B339" s="6"/>
      <c r="C339" s="4">
        <v>270.0</v>
      </c>
      <c r="D339" s="4">
        <f t="shared" si="53"/>
        <v>5</v>
      </c>
      <c r="E339" s="7" t="s">
        <v>1005</v>
      </c>
      <c r="F339" s="8" t="s">
        <v>977</v>
      </c>
      <c r="G339" s="8"/>
      <c r="H339" s="8" t="s">
        <v>1006</v>
      </c>
      <c r="I339" s="8" t="str">
        <f t="shared" si="54"/>
        <v>cheat summon Legendary_Ptero_Character_BP_C</v>
      </c>
      <c r="J339" s="8" t="str">
        <f t="shared" si="55"/>
        <v>admincheat GMSummon "Legendary_Ptero_Character_BP_C" 120</v>
      </c>
      <c r="K339" s="8" t="s">
        <v>1007</v>
      </c>
      <c r="L339" s="8" t="str">
        <f t="shared" si="56"/>
        <v>cheat SpawnDino "Blueprint'/PrimalChaos/1Dinos/5MythicAndLegendary/Legendary/Ptero/Legendary_Ptero_Character_BP.Legendary_Ptero_Character_BP'" 150 0 0 35</v>
      </c>
      <c r="M339" s="8" t="str">
        <f t="shared" si="57"/>
        <v>NPCReplacements=(FromClassName="Legendary_Ptero_Character_BP_C",ToClassName="")</v>
      </c>
      <c r="N339" s="2"/>
    </row>
    <row r="340">
      <c r="B340" s="6"/>
      <c r="C340" s="4">
        <v>271.0</v>
      </c>
      <c r="D340" s="4">
        <f t="shared" si="53"/>
        <v>5</v>
      </c>
      <c r="E340" s="9" t="s">
        <v>1008</v>
      </c>
      <c r="F340" s="10" t="s">
        <v>977</v>
      </c>
      <c r="G340" s="10"/>
      <c r="H340" s="10" t="s">
        <v>1009</v>
      </c>
      <c r="I340" s="10" t="str">
        <f t="shared" si="54"/>
        <v>cheat summon Legendary_Raptor_Character_BP_C</v>
      </c>
      <c r="J340" s="10" t="str">
        <f t="shared" si="55"/>
        <v>admincheat GMSummon "Legendary_Raptor_Character_BP_C" 120</v>
      </c>
      <c r="K340" s="10" t="s">
        <v>1010</v>
      </c>
      <c r="L340" s="10" t="str">
        <f t="shared" si="56"/>
        <v>cheat SpawnDino "Blueprint'/PrimalChaos/1Dinos/5MythicAndLegendary/Legendary/Raptor/Legendary_Raptor_Character_BP.Legendary_Raptor_Character_BP'" 150 0 0 35</v>
      </c>
      <c r="M340" s="10" t="str">
        <f t="shared" si="57"/>
        <v>NPCReplacements=(FromClassName="Legendary_Raptor_Character_BP_C",ToClassName="")</v>
      </c>
      <c r="N340" s="2"/>
    </row>
    <row r="341">
      <c r="B341" s="6"/>
      <c r="C341" s="4">
        <v>272.0</v>
      </c>
      <c r="D341" s="4">
        <f t="shared" si="53"/>
        <v>5</v>
      </c>
      <c r="E341" s="7" t="s">
        <v>1011</v>
      </c>
      <c r="F341" s="8" t="s">
        <v>977</v>
      </c>
      <c r="G341" s="8"/>
      <c r="H341" s="8" t="s">
        <v>1012</v>
      </c>
      <c r="I341" s="8" t="str">
        <f t="shared" si="54"/>
        <v>cheat summon Legendary_Sarco_Character_BP_C</v>
      </c>
      <c r="J341" s="8" t="str">
        <f t="shared" si="55"/>
        <v>admincheat GMSummon "Legendary_Sarco_Character_BP_C" 120</v>
      </c>
      <c r="K341" s="8" t="s">
        <v>1013</v>
      </c>
      <c r="L341" s="8" t="str">
        <f t="shared" si="56"/>
        <v>cheat SpawnDino "Blueprint'/PrimalChaos/1Dinos/5MythicAndLegendary/Legendary/Sarco/Legendary_Sarco_Character_BP.Legendary_Sarco_Character_BP'" 150 0 0 35</v>
      </c>
      <c r="M341" s="8" t="str">
        <f t="shared" si="57"/>
        <v>NPCReplacements=(FromClassName="Legendary_Sarco_Character_BP_C",ToClassName="")</v>
      </c>
      <c r="N341" s="2"/>
    </row>
    <row r="342">
      <c r="B342" s="6"/>
      <c r="C342" s="4">
        <v>273.0</v>
      </c>
      <c r="D342" s="4">
        <f t="shared" si="53"/>
        <v>5</v>
      </c>
      <c r="E342" s="9" t="s">
        <v>1014</v>
      </c>
      <c r="F342" s="10" t="s">
        <v>977</v>
      </c>
      <c r="G342" s="10"/>
      <c r="H342" s="10" t="s">
        <v>1015</v>
      </c>
      <c r="I342" s="10" t="str">
        <f t="shared" si="54"/>
        <v>cheat summon Legendary_Scorpion_Character_BP_C</v>
      </c>
      <c r="J342" s="10" t="str">
        <f t="shared" si="55"/>
        <v>admincheat GMSummon "Legendary_Scorpion_Character_BP_C" 120</v>
      </c>
      <c r="K342" s="10" t="s">
        <v>1016</v>
      </c>
      <c r="L342" s="10" t="str">
        <f t="shared" si="56"/>
        <v>cheat SpawnDino "Blueprint'/PrimalChaos/1Dinos/5MythicAndLegendary/Legendary/Scorpion/Legendary_Scorpion_Character_BP.Legendary_Scorpion_Character_BP'" 150 0 0 35</v>
      </c>
      <c r="M342" s="10" t="str">
        <f t="shared" si="57"/>
        <v>NPCReplacements=(FromClassName="Legendary_Scorpion_Character_BP_C",ToClassName="")</v>
      </c>
      <c r="N342" s="2"/>
    </row>
    <row r="343">
      <c r="B343" s="6"/>
      <c r="C343" s="4">
        <v>274.0</v>
      </c>
      <c r="D343" s="4">
        <f t="shared" si="53"/>
        <v>5</v>
      </c>
      <c r="E343" s="7" t="s">
        <v>1017</v>
      </c>
      <c r="F343" s="8" t="s">
        <v>977</v>
      </c>
      <c r="G343" s="8"/>
      <c r="H343" s="8" t="s">
        <v>1018</v>
      </c>
      <c r="I343" s="8" t="str">
        <f t="shared" si="54"/>
        <v>cheat summon Legendary_Spino_Character_BP_C</v>
      </c>
      <c r="J343" s="8" t="str">
        <f t="shared" si="55"/>
        <v>admincheat GMSummon "Legendary_Spino_Character_BP_C" 120</v>
      </c>
      <c r="K343" s="8" t="s">
        <v>1019</v>
      </c>
      <c r="L343" s="8" t="str">
        <f t="shared" si="56"/>
        <v>cheat SpawnDino "Blueprint'/PrimalChaos/1Dinos/5MythicAndLegendary/Legendary/Spino/Legendary_Spino_Character_BP.Legendary_Spino_Character_BP'" 150 0 0 35</v>
      </c>
      <c r="M343" s="8" t="str">
        <f t="shared" si="57"/>
        <v>NPCReplacements=(FromClassName="Legendary_Spino_Character_BP_C",ToClassName="")</v>
      </c>
      <c r="N343" s="2"/>
    </row>
    <row r="344">
      <c r="B344" s="6"/>
      <c r="C344" s="4">
        <v>275.0</v>
      </c>
      <c r="D344" s="4">
        <f t="shared" si="53"/>
        <v>5</v>
      </c>
      <c r="E344" s="9" t="s">
        <v>1020</v>
      </c>
      <c r="F344" s="10" t="s">
        <v>977</v>
      </c>
      <c r="G344" s="10"/>
      <c r="H344" s="10" t="s">
        <v>1021</v>
      </c>
      <c r="I344" s="10" t="str">
        <f t="shared" si="54"/>
        <v>cheat summon Legendary_Stego_Character_BP_C</v>
      </c>
      <c r="J344" s="10" t="str">
        <f t="shared" si="55"/>
        <v>admincheat GMSummon "Legendary_Stego_Character_BP_C" 120</v>
      </c>
      <c r="K344" s="10" t="s">
        <v>1022</v>
      </c>
      <c r="L344" s="10" t="str">
        <f t="shared" si="56"/>
        <v>cheat SpawnDino "Blueprint'/PrimalChaos/1Dinos/5MythicAndLegendary/Legendary/Stego/Legendary_Stego_Character_BP.Legendary_Stego_Character_BP'" 150 0 0 35</v>
      </c>
      <c r="M344" s="10" t="str">
        <f t="shared" si="57"/>
        <v>NPCReplacements=(FromClassName="Legendary_Stego_Character_BP_C",ToClassName="")</v>
      </c>
      <c r="N344" s="2"/>
    </row>
    <row r="345">
      <c r="B345" s="6"/>
      <c r="C345" s="4">
        <v>276.0</v>
      </c>
      <c r="D345" s="4">
        <f t="shared" si="53"/>
        <v>5</v>
      </c>
      <c r="E345" s="7" t="s">
        <v>1023</v>
      </c>
      <c r="F345" s="8" t="s">
        <v>977</v>
      </c>
      <c r="G345" s="8"/>
      <c r="H345" s="8" t="s">
        <v>1024</v>
      </c>
      <c r="I345" s="8" t="str">
        <f t="shared" si="54"/>
        <v>cheat summon Legendary_Thorny_Character_BP_C</v>
      </c>
      <c r="J345" s="8" t="str">
        <f t="shared" si="55"/>
        <v>admincheat GMSummon "Legendary_Thorny_Character_BP_C" 120</v>
      </c>
      <c r="K345" s="8" t="s">
        <v>1025</v>
      </c>
      <c r="L345" s="8" t="str">
        <f t="shared" si="56"/>
        <v>cheat SpawnDino "Blueprint'/PrimalChaos/1Dinos/5MythicAndLegendary/Legendary/Thorny/Legendary_Thorny_Character_BP.Legendary_Thorny_Character_BP'" 150 0 0 35</v>
      </c>
      <c r="M345" s="8" t="str">
        <f t="shared" si="57"/>
        <v>NPCReplacements=(FromClassName="Legendary_Thorny_Character_BP_C",ToClassName="")</v>
      </c>
      <c r="N345" s="2"/>
    </row>
    <row r="346">
      <c r="B346" s="6"/>
      <c r="C346" s="4">
        <v>277.0</v>
      </c>
      <c r="D346" s="4">
        <f t="shared" si="53"/>
        <v>5</v>
      </c>
      <c r="E346" s="9" t="s">
        <v>1026</v>
      </c>
      <c r="F346" s="10" t="s">
        <v>977</v>
      </c>
      <c r="G346" s="10"/>
      <c r="H346" s="10" t="s">
        <v>1027</v>
      </c>
      <c r="I346" s="10" t="str">
        <f t="shared" si="54"/>
        <v>cheat summon Legendary_Trike_Character_BP_C</v>
      </c>
      <c r="J346" s="10" t="str">
        <f t="shared" si="55"/>
        <v>admincheat GMSummon "Legendary_Trike_Character_BP_C" 120</v>
      </c>
      <c r="K346" s="10" t="s">
        <v>1028</v>
      </c>
      <c r="L346" s="10" t="str">
        <f t="shared" si="56"/>
        <v>cheat SpawnDino "Blueprint'/PrimalChaos/1Dinos/5MythicAndLegendary/Legendary/Trike/Legendary_Trike_Character_BP.Legendary_Trike_Character_BP'" 150 0 0 35</v>
      </c>
      <c r="M346" s="10" t="str">
        <f t="shared" si="57"/>
        <v>NPCReplacements=(FromClassName="Legendary_Trike_Character_BP_C",ToClassName="")</v>
      </c>
      <c r="N346" s="2"/>
    </row>
    <row r="347">
      <c r="B347" s="13"/>
      <c r="C347" s="4">
        <v>278.0</v>
      </c>
      <c r="D347" s="4">
        <f t="shared" si="53"/>
        <v>5</v>
      </c>
      <c r="E347" s="7" t="s">
        <v>1029</v>
      </c>
      <c r="F347" s="8" t="s">
        <v>977</v>
      </c>
      <c r="G347" s="18"/>
      <c r="H347" s="8" t="s">
        <v>1030</v>
      </c>
      <c r="I347" s="8" t="str">
        <f t="shared" si="54"/>
        <v>cheat summon Legendary_Wyvern_Character_BP_C</v>
      </c>
      <c r="J347" s="8" t="str">
        <f t="shared" si="55"/>
        <v>admincheat GMSummon "Legendary_Wyvern_Character_BP_C" 120</v>
      </c>
      <c r="K347" s="8" t="s">
        <v>1031</v>
      </c>
      <c r="L347" s="8" t="str">
        <f t="shared" si="56"/>
        <v>cheat SpawnDino "Blueprint'/PrimalChaos/1Dinos/5MythicAndLegendary/Legendary/Wyvern/Legendary_Wyvern_Character_BP.Legendary_Wyvern_Character_BP'" 150 0 0 35</v>
      </c>
      <c r="M347" s="8" t="str">
        <f t="shared" si="57"/>
        <v>NPCReplacements=(FromClassName="Legendary_Wyvern_Character_BP_C",ToClassName="")</v>
      </c>
      <c r="N347" s="2"/>
    </row>
    <row r="348">
      <c r="B348" s="14"/>
      <c r="C348" s="15"/>
      <c r="D348" s="15"/>
      <c r="E348" s="16"/>
      <c r="F348" s="16"/>
      <c r="G348" s="16"/>
      <c r="H348" s="16"/>
      <c r="I348" s="16"/>
      <c r="J348" s="16"/>
      <c r="K348" s="16"/>
      <c r="L348" s="16"/>
      <c r="M348" s="16"/>
      <c r="N348" s="2"/>
    </row>
    <row r="349">
      <c r="B349" s="37" t="s">
        <v>1032</v>
      </c>
      <c r="C349" s="4"/>
      <c r="D349" s="4"/>
      <c r="E349" s="38" t="s">
        <v>1033</v>
      </c>
      <c r="F349" s="39" t="s">
        <v>1034</v>
      </c>
      <c r="G349" s="39"/>
      <c r="H349" s="39" t="s">
        <v>1035</v>
      </c>
      <c r="I349" s="39" t="str">
        <f t="shared" ref="I349:I367" si="58">"cheat summon "&amp;H349</f>
        <v>cheat summon Mythic_Anky_Character_BP_C</v>
      </c>
      <c r="J349" s="39" t="str">
        <f> "admincheat GMSummon " &amp;CHAR(34) &amp; H349&amp;CHAR(34)&amp; " 120"</f>
        <v>admincheat GMSummon "Mythic_Anky_Character_BP_C" 120</v>
      </c>
      <c r="K349" s="39" t="s">
        <v>1036</v>
      </c>
      <c r="L349" s="39" t="str">
        <f t="shared" ref="L349:L367" si="59">IF(K349&lt;&gt;"","cheat SpawnDino "&amp;CHAR(34)&amp;"Blueprint'"&amp;K349&amp;"'"&amp;CHAR(34)&amp;" 150 0 0 35","")</f>
        <v>cheat SpawnDino "Blueprint'/PrimalChaos/1Dinos/5MythicAndLegendary/Mythic/Anky/Mythic_Anky_Character_BP.Mythic_Anky_Character_BP'" 150 0 0 35</v>
      </c>
      <c r="M349" s="39" t="str">
        <f t="shared" ref="M349:M367" si="60">"NPCReplacements=(FromClassName="&amp;CHAR(34)&amp;H349&amp;""&amp;CHAR(34)&amp;",ToClassName="&amp;CHAR(34)&amp;CHAR(34)&amp;")"</f>
        <v>NPCReplacements=(FromClassName="Mythic_Anky_Character_BP_C",ToClassName="")</v>
      </c>
      <c r="N349" s="2"/>
    </row>
    <row r="350">
      <c r="B350" s="6"/>
      <c r="C350" s="4">
        <v>283.0</v>
      </c>
      <c r="D350" s="4">
        <f t="shared" ref="D350:D367" si="61">IF(F350="Beta",1)+IF(F350="Alpha",2)+IF(F350="Electric",3)+IF(F350="Volcanic",3)+IF(F350="Hydro",3)+IF(F350="Shadow",4)+IF(F350="Fairy",4)+IF(F350="Mythic",5)+IF(F350="Legendary",5)+IF(F350="Demonic",6)+IF(F350="Angelic",6)+IF(F350="Jester",7)+IF(F350="Nightmare",8)+IF(F350="Vanilla",9)+IF(F350="Boss",8)</f>
        <v>5</v>
      </c>
      <c r="E350" s="9" t="s">
        <v>1037</v>
      </c>
      <c r="F350" s="10" t="s">
        <v>1034</v>
      </c>
      <c r="G350" s="10"/>
      <c r="H350" s="10" t="s">
        <v>1038</v>
      </c>
      <c r="I350" s="10" t="str">
        <f t="shared" si="58"/>
        <v>cheat summon Mythic_Argentavis_Character_BP_C</v>
      </c>
      <c r="J350" s="10" t="str">
        <f t="shared" ref="J350:J367" si="62"> "admincheat GMSummon " &amp;CHAR(34) &amp; H350&amp;CHAR(34)&amp; " 120"</f>
        <v>admincheat GMSummon "Mythic_Argentavis_Character_BP_C" 120</v>
      </c>
      <c r="K350" s="10" t="s">
        <v>1039</v>
      </c>
      <c r="L350" s="10" t="str">
        <f t="shared" si="59"/>
        <v>cheat SpawnDino "Blueprint'/PrimalChaos/1Dinos/5MythicAndLegendary/Mythic/Argentavis/Mythic_Argentavis_Character_BP.Mythic_Argentavis_Character_BP'" 150 0 0 35</v>
      </c>
      <c r="M350" s="10" t="str">
        <f t="shared" si="60"/>
        <v>NPCReplacements=(FromClassName="Mythic_Argentavis_Character_BP_C",ToClassName="")</v>
      </c>
      <c r="N350" s="2"/>
    </row>
    <row r="351">
      <c r="B351" s="6"/>
      <c r="C351" s="4">
        <v>285.0</v>
      </c>
      <c r="D351" s="4">
        <f t="shared" si="61"/>
        <v>5</v>
      </c>
      <c r="E351" s="7" t="s">
        <v>1040</v>
      </c>
      <c r="F351" s="8" t="s">
        <v>1034</v>
      </c>
      <c r="G351" s="8"/>
      <c r="H351" s="8" t="s">
        <v>1041</v>
      </c>
      <c r="I351" s="8" t="str">
        <f t="shared" si="58"/>
        <v>cheat summon Mythic_Beaver_Character_BP_C</v>
      </c>
      <c r="J351" s="8" t="str">
        <f t="shared" si="62"/>
        <v>admincheat GMSummon "Mythic_Beaver_Character_BP_C" 120</v>
      </c>
      <c r="K351" s="8" t="s">
        <v>1042</v>
      </c>
      <c r="L351" s="8" t="str">
        <f t="shared" si="59"/>
        <v>cheat SpawnDino "Blueprint'/PrimalChaos/1Dinos/5MythicAndLegendary/Mythic/Beaver/Mythic_Beaver_Character_BP.Mythic_Beaver_Character_BP'" 150 0 0 35</v>
      </c>
      <c r="M351" s="8" t="str">
        <f t="shared" si="60"/>
        <v>NPCReplacements=(FromClassName="Mythic_Beaver_Character_BP_C",ToClassName="")</v>
      </c>
      <c r="N351" s="2"/>
    </row>
    <row r="352">
      <c r="B352" s="6"/>
      <c r="C352" s="4">
        <v>286.0</v>
      </c>
      <c r="D352" s="4">
        <f t="shared" si="61"/>
        <v>5</v>
      </c>
      <c r="E352" s="9" t="s">
        <v>1043</v>
      </c>
      <c r="F352" s="10" t="s">
        <v>1034</v>
      </c>
      <c r="G352" s="10"/>
      <c r="H352" s="10" t="s">
        <v>1044</v>
      </c>
      <c r="I352" s="10" t="str">
        <f t="shared" si="58"/>
        <v>cheat summon Mythic_Bigfoot_Character_BP_C</v>
      </c>
      <c r="J352" s="10" t="str">
        <f t="shared" si="62"/>
        <v>admincheat GMSummon "Mythic_Bigfoot_Character_BP_C" 120</v>
      </c>
      <c r="K352" s="10" t="s">
        <v>1045</v>
      </c>
      <c r="L352" s="10" t="str">
        <f t="shared" si="59"/>
        <v>cheat SpawnDino "Blueprint'/PrimalChaos/1Dinos/5MythicAndLegendary/Mythic/Bigfoot/Mythic_Bigfoot_Character_BP.Mythic_Bigfoot_Character_BP'" 150 0 0 35</v>
      </c>
      <c r="M352" s="10" t="str">
        <f t="shared" si="60"/>
        <v>NPCReplacements=(FromClassName="Mythic_Bigfoot_Character_BP_C",ToClassName="")</v>
      </c>
      <c r="N352" s="2"/>
    </row>
    <row r="353">
      <c r="B353" s="6"/>
      <c r="C353" s="4">
        <v>289.0</v>
      </c>
      <c r="D353" s="4">
        <f t="shared" si="61"/>
        <v>5</v>
      </c>
      <c r="E353" s="7" t="s">
        <v>1046</v>
      </c>
      <c r="F353" s="8" t="s">
        <v>1034</v>
      </c>
      <c r="G353" s="8"/>
      <c r="H353" s="8" t="s">
        <v>1047</v>
      </c>
      <c r="I353" s="8" t="str">
        <f t="shared" si="58"/>
        <v>cheat summon Mythic_Doedic_Character_BP_C</v>
      </c>
      <c r="J353" s="8" t="str">
        <f t="shared" si="62"/>
        <v>admincheat GMSummon "Mythic_Doedic_Character_BP_C" 120</v>
      </c>
      <c r="K353" s="8" t="s">
        <v>1048</v>
      </c>
      <c r="L353" s="8" t="str">
        <f t="shared" si="59"/>
        <v>cheat SpawnDino "Blueprint'/PrimalChaos/1Dinos/5MythicAndLegendary/Mythic/Doedicurus/Mythic_Doedic_Character_BP.Mythic_Doedic_Character_BP'" 150 0 0 35</v>
      </c>
      <c r="M353" s="8" t="str">
        <f t="shared" si="60"/>
        <v>NPCReplacements=(FromClassName="Mythic_Doedic_Character_BP_C",ToClassName="")</v>
      </c>
      <c r="N353" s="2"/>
    </row>
    <row r="354">
      <c r="B354" s="6"/>
      <c r="C354" s="4">
        <v>294.0</v>
      </c>
      <c r="D354" s="4">
        <f t="shared" si="61"/>
        <v>5</v>
      </c>
      <c r="E354" s="9" t="s">
        <v>1049</v>
      </c>
      <c r="F354" s="10" t="s">
        <v>1034</v>
      </c>
      <c r="G354" s="10"/>
      <c r="H354" s="10" t="s">
        <v>1050</v>
      </c>
      <c r="I354" s="10" t="str">
        <f t="shared" si="58"/>
        <v>cheat summon Mythic_Frog_Character_BP_C</v>
      </c>
      <c r="J354" s="10" t="str">
        <f t="shared" si="62"/>
        <v>admincheat GMSummon "Mythic_Frog_Character_BP_C" 120</v>
      </c>
      <c r="K354" s="10" t="s">
        <v>1051</v>
      </c>
      <c r="L354" s="10" t="str">
        <f t="shared" si="59"/>
        <v>cheat SpawnDino "Blueprint'/PrimalChaos/1Dinos/5MythicAndLegendary/Mythic/Frog/Mythic_Frog_Character_BP.Mythic_Frog_Character_BP'" 150 0 0 35</v>
      </c>
      <c r="M354" s="10" t="str">
        <f t="shared" si="60"/>
        <v>NPCReplacements=(FromClassName="Mythic_Frog_Character_BP_C",ToClassName="")</v>
      </c>
      <c r="N354" s="2"/>
    </row>
    <row r="355">
      <c r="B355" s="6"/>
      <c r="C355" s="4">
        <v>295.0</v>
      </c>
      <c r="D355" s="4">
        <f t="shared" si="61"/>
        <v>5</v>
      </c>
      <c r="E355" s="7" t="s">
        <v>1052</v>
      </c>
      <c r="F355" s="8" t="s">
        <v>1034</v>
      </c>
      <c r="G355" s="8"/>
      <c r="H355" s="8" t="s">
        <v>1053</v>
      </c>
      <c r="I355" s="8" t="str">
        <f t="shared" si="58"/>
        <v>cheat summon Mythic_Jerboa_Character_BP_C</v>
      </c>
      <c r="J355" s="8" t="str">
        <f t="shared" si="62"/>
        <v>admincheat GMSummon "Mythic_Jerboa_Character_BP_C" 120</v>
      </c>
      <c r="K355" s="8" t="s">
        <v>1054</v>
      </c>
      <c r="L355" s="8" t="str">
        <f t="shared" si="59"/>
        <v>cheat SpawnDino "Blueprint'/PrimalChaos/1Dinos/5MythicAndLegendary/Mythic/Jerboa/Mythic_Jerboa_Character_BP.Mythic_Jerboa_Character_BP'" 150 0 0 35</v>
      </c>
      <c r="M355" s="8" t="str">
        <f t="shared" si="60"/>
        <v>NPCReplacements=(FromClassName="Mythic_Jerboa_Character_BP_C",ToClassName="")</v>
      </c>
      <c r="N355" s="2"/>
    </row>
    <row r="356">
      <c r="B356" s="6"/>
      <c r="C356" s="4">
        <v>296.0</v>
      </c>
      <c r="D356" s="4">
        <f t="shared" si="61"/>
        <v>5</v>
      </c>
      <c r="E356" s="9" t="s">
        <v>1055</v>
      </c>
      <c r="F356" s="10" t="s">
        <v>1034</v>
      </c>
      <c r="G356" s="10"/>
      <c r="H356" s="10" t="s">
        <v>1056</v>
      </c>
      <c r="I356" s="10" t="str">
        <f t="shared" si="58"/>
        <v>cheat summon Mythic_Leech_Character_BP_C</v>
      </c>
      <c r="J356" s="10" t="str">
        <f t="shared" si="62"/>
        <v>admincheat GMSummon "Mythic_Leech_Character_BP_C" 120</v>
      </c>
      <c r="K356" s="10" t="s">
        <v>1057</v>
      </c>
      <c r="L356" s="10" t="str">
        <f t="shared" si="59"/>
        <v>cheat SpawnDino "Blueprint'/PrimalChaos/1Dinos/5MythicAndLegendary/Mythic/Leech/Mythic_Leech_Character_BP.Mythic_Leech_Character_BP'" 150 0 0 35</v>
      </c>
      <c r="M356" s="10" t="str">
        <f t="shared" si="60"/>
        <v>NPCReplacements=(FromClassName="Mythic_Leech_Character_BP_C",ToClassName="")</v>
      </c>
      <c r="N356" s="2"/>
    </row>
    <row r="357">
      <c r="B357" s="6"/>
      <c r="C357" s="4">
        <v>299.0</v>
      </c>
      <c r="D357" s="4">
        <f t="shared" si="61"/>
        <v>5</v>
      </c>
      <c r="E357" s="7" t="s">
        <v>1058</v>
      </c>
      <c r="F357" s="8" t="s">
        <v>1034</v>
      </c>
      <c r="G357" s="8"/>
      <c r="H357" s="8" t="s">
        <v>1059</v>
      </c>
      <c r="I357" s="8" t="str">
        <f t="shared" si="58"/>
        <v>cheat summon Mythic_Mammoth_Character_BP_C</v>
      </c>
      <c r="J357" s="8" t="str">
        <f t="shared" si="62"/>
        <v>admincheat GMSummon "Mythic_Mammoth_Character_BP_C" 120</v>
      </c>
      <c r="K357" s="8" t="s">
        <v>1060</v>
      </c>
      <c r="L357" s="8" t="str">
        <f t="shared" si="59"/>
        <v>cheat SpawnDino "Blueprint'/PrimalChaos/1Dinos/5MythicAndLegendary/Mythic/Mammoth/Mythic_Mammoth_Character_BP.Mythic_Mammoth_Character_BP'" 150 0 0 35</v>
      </c>
      <c r="M357" s="8" t="str">
        <f t="shared" si="60"/>
        <v>NPCReplacements=(FromClassName="Mythic_Mammoth_Character_BP_C",ToClassName="")</v>
      </c>
      <c r="N357" s="2"/>
    </row>
    <row r="358">
      <c r="B358" s="6"/>
      <c r="C358" s="4">
        <v>304.0</v>
      </c>
      <c r="D358" s="4">
        <f t="shared" si="61"/>
        <v>5</v>
      </c>
      <c r="E358" s="9" t="s">
        <v>1061</v>
      </c>
      <c r="F358" s="10" t="s">
        <v>1034</v>
      </c>
      <c r="G358" s="26" t="s">
        <v>693</v>
      </c>
      <c r="H358" s="10" t="s">
        <v>1062</v>
      </c>
      <c r="I358" s="10" t="str">
        <f t="shared" si="58"/>
        <v>cheat summon Mythic_Owl_Character_BP_C</v>
      </c>
      <c r="J358" s="10" t="str">
        <f t="shared" si="62"/>
        <v>admincheat GMSummon "Mythic_Owl_Character_BP_C" 120</v>
      </c>
      <c r="K358" s="10" t="s">
        <v>1063</v>
      </c>
      <c r="L358" s="10" t="str">
        <f t="shared" si="59"/>
        <v>cheat SpawnDino "Blueprint'/PrimalChaos/1Dinos/5MythicAndLegendary/Mythic/Owl/Mythic_Owl_Character_BP.Mythic_Owl_Character_BP'" 150 0 0 35</v>
      </c>
      <c r="M358" s="10" t="str">
        <f t="shared" si="60"/>
        <v>NPCReplacements=(FromClassName="Mythic_Owl_Character_BP_C",ToClassName="")</v>
      </c>
      <c r="N358" s="2"/>
    </row>
    <row r="359">
      <c r="B359" s="6"/>
      <c r="C359" s="4">
        <v>305.0</v>
      </c>
      <c r="D359" s="4">
        <f t="shared" si="61"/>
        <v>5</v>
      </c>
      <c r="E359" s="7" t="s">
        <v>1064</v>
      </c>
      <c r="F359" s="8" t="s">
        <v>1034</v>
      </c>
      <c r="G359" s="8"/>
      <c r="H359" s="8" t="s">
        <v>1065</v>
      </c>
      <c r="I359" s="8" t="str">
        <f t="shared" si="58"/>
        <v>cheat summon Mythic_Paracer_Character_BP_C</v>
      </c>
      <c r="J359" s="8" t="str">
        <f t="shared" si="62"/>
        <v>admincheat GMSummon "Mythic_Paracer_Character_BP_C" 120</v>
      </c>
      <c r="K359" s="8" t="s">
        <v>1066</v>
      </c>
      <c r="L359" s="8" t="str">
        <f t="shared" si="59"/>
        <v>cheat SpawnDino "Blueprint'/PrimalChaos/1Dinos/5MythicAndLegendary/Mythic/Paracer/Mythic_Paracer_Character_BP.Mythic_Paracer_Character_BP'" 150 0 0 35</v>
      </c>
      <c r="M359" s="8" t="str">
        <f t="shared" si="60"/>
        <v>NPCReplacements=(FromClassName="Mythic_Paracer_Character_BP_C",ToClassName="")</v>
      </c>
      <c r="N359" s="2"/>
    </row>
    <row r="360">
      <c r="B360" s="6"/>
      <c r="C360" s="4">
        <v>308.0</v>
      </c>
      <c r="D360" s="4">
        <f t="shared" si="61"/>
        <v>5</v>
      </c>
      <c r="E360" s="9" t="s">
        <v>1067</v>
      </c>
      <c r="F360" s="10" t="s">
        <v>1034</v>
      </c>
      <c r="G360" s="10"/>
      <c r="H360" s="10" t="s">
        <v>1068</v>
      </c>
      <c r="I360" s="10" t="str">
        <f t="shared" si="58"/>
        <v>cheat summon Mythic_Ptero_Character_BP_C</v>
      </c>
      <c r="J360" s="10" t="str">
        <f t="shared" si="62"/>
        <v>admincheat GMSummon "Mythic_Ptero_Character_BP_C" 120</v>
      </c>
      <c r="K360" s="10" t="s">
        <v>1069</v>
      </c>
      <c r="L360" s="10" t="str">
        <f t="shared" si="59"/>
        <v>cheat SpawnDino "Blueprint'/PrimalChaos/1Dinos/5MythicAndLegendary/Mythic/Ptero/Mythic_Ptero_Character_BP.Mythic_Ptero_Character_BP'" 150 0 0 35</v>
      </c>
      <c r="M360" s="10" t="str">
        <f t="shared" si="60"/>
        <v>NPCReplacements=(FromClassName="Mythic_Ptero_Character_BP_C",ToClassName="")</v>
      </c>
      <c r="N360" s="2"/>
    </row>
    <row r="361">
      <c r="B361" s="6"/>
      <c r="C361" s="4">
        <v>309.0</v>
      </c>
      <c r="D361" s="4">
        <f t="shared" si="61"/>
        <v>5</v>
      </c>
      <c r="E361" s="7" t="s">
        <v>1070</v>
      </c>
      <c r="F361" s="8" t="s">
        <v>1034</v>
      </c>
      <c r="G361" s="8"/>
      <c r="H361" s="8" t="s">
        <v>1071</v>
      </c>
      <c r="I361" s="8" t="str">
        <f t="shared" si="58"/>
        <v>cheat summon Mythic_Quetz_Character_BP_C</v>
      </c>
      <c r="J361" s="8" t="str">
        <f t="shared" si="62"/>
        <v>admincheat GMSummon "Mythic_Quetz_Character_BP_C" 120</v>
      </c>
      <c r="K361" s="8" t="s">
        <v>1072</v>
      </c>
      <c r="L361" s="8" t="str">
        <f t="shared" si="59"/>
        <v>cheat SpawnDino "Blueprint'/PrimalChaos/1Dinos/5MythicAndLegendary/Mythic/Queltzal/Mythic_Quetz_Character_BP.Mythic_Quetz_Character_BP'" 150 0 0 35</v>
      </c>
      <c r="M361" s="8" t="str">
        <f t="shared" si="60"/>
        <v>NPCReplacements=(FromClassName="Mythic_Quetz_Character_BP_C",ToClassName="")</v>
      </c>
      <c r="N361" s="2"/>
    </row>
    <row r="362">
      <c r="B362" s="6"/>
      <c r="C362" s="4">
        <v>310.0</v>
      </c>
      <c r="D362" s="4">
        <f t="shared" si="61"/>
        <v>5</v>
      </c>
      <c r="E362" s="9" t="s">
        <v>1073</v>
      </c>
      <c r="F362" s="10" t="s">
        <v>1034</v>
      </c>
      <c r="G362" s="10"/>
      <c r="H362" s="10" t="s">
        <v>1074</v>
      </c>
      <c r="I362" s="10" t="str">
        <f t="shared" si="58"/>
        <v>cheat summon Mythic_Sauropod_Character_BP_C</v>
      </c>
      <c r="J362" s="10" t="str">
        <f t="shared" si="62"/>
        <v>admincheat GMSummon "Mythic_Sauropod_Character_BP_C" 120</v>
      </c>
      <c r="K362" s="10" t="s">
        <v>1075</v>
      </c>
      <c r="L362" s="10" t="str">
        <f t="shared" si="59"/>
        <v>cheat SpawnDino "Blueprint'/PrimalChaos/1Dinos/5MythicAndLegendary/Mythic/Sauropod/Mythic_Sauropod_Character_BP.Mythic_Sauropod_Character_BP'" 150 0 0 35</v>
      </c>
      <c r="M362" s="10" t="str">
        <f t="shared" si="60"/>
        <v>NPCReplacements=(FromClassName="Mythic_Sauropod_Character_BP_C",ToClassName="")</v>
      </c>
      <c r="N362" s="2"/>
    </row>
    <row r="363">
      <c r="B363" s="6"/>
      <c r="C363" s="4">
        <v>311.0</v>
      </c>
      <c r="D363" s="4">
        <f t="shared" si="61"/>
        <v>5</v>
      </c>
      <c r="E363" s="7" t="s">
        <v>1076</v>
      </c>
      <c r="F363" s="8" t="s">
        <v>1034</v>
      </c>
      <c r="G363" s="8"/>
      <c r="H363" s="8" t="s">
        <v>1077</v>
      </c>
      <c r="I363" s="8" t="str">
        <f t="shared" si="58"/>
        <v>cheat summon Mythic_Stag_Character_BP_C</v>
      </c>
      <c r="J363" s="8" t="str">
        <f t="shared" si="62"/>
        <v>admincheat GMSummon "Mythic_Stag_Character_BP_C" 120</v>
      </c>
      <c r="K363" s="8" t="s">
        <v>1078</v>
      </c>
      <c r="L363" s="8" t="str">
        <f t="shared" si="59"/>
        <v>cheat SpawnDino "Blueprint'/PrimalChaos/1Dinos/5MythicAndLegendary/Mythic/Stag/Mythic_Stag_Character_BP.Mythic_Stag_Character_BP'" 150 0 0 35</v>
      </c>
      <c r="M363" s="8" t="str">
        <f t="shared" si="60"/>
        <v>NPCReplacements=(FromClassName="Mythic_Stag_Character_BP_C",ToClassName="")</v>
      </c>
      <c r="N363" s="2"/>
    </row>
    <row r="364">
      <c r="B364" s="6"/>
      <c r="C364" s="4">
        <v>312.0</v>
      </c>
      <c r="D364" s="4">
        <f t="shared" si="61"/>
        <v>5</v>
      </c>
      <c r="E364" s="9" t="s">
        <v>1079</v>
      </c>
      <c r="F364" s="10" t="s">
        <v>1034</v>
      </c>
      <c r="G364" s="10"/>
      <c r="H364" s="10" t="s">
        <v>1080</v>
      </c>
      <c r="I364" s="10" t="str">
        <f t="shared" si="58"/>
        <v>cheat summon Mythic_Stego_Character_BP_C</v>
      </c>
      <c r="J364" s="10" t="str">
        <f t="shared" si="62"/>
        <v>admincheat GMSummon "Mythic_Stego_Character_BP_C" 120</v>
      </c>
      <c r="K364" s="10" t="s">
        <v>1081</v>
      </c>
      <c r="L364" s="10" t="str">
        <f t="shared" si="59"/>
        <v>cheat SpawnDino "Blueprint'/PrimalChaos/1Dinos/5MythicAndLegendary/Mythic/Stego/Mythic_Stego_Character_BP.Mythic_Stego_Character_BP'" 150 0 0 35</v>
      </c>
      <c r="M364" s="10" t="str">
        <f t="shared" si="60"/>
        <v>NPCReplacements=(FromClassName="Mythic_Stego_Character_BP_C",ToClassName="")</v>
      </c>
      <c r="N364" s="2"/>
    </row>
    <row r="365">
      <c r="B365" s="6"/>
      <c r="C365" s="4">
        <v>313.0</v>
      </c>
      <c r="D365" s="4">
        <f t="shared" si="61"/>
        <v>5</v>
      </c>
      <c r="E365" s="7" t="s">
        <v>1082</v>
      </c>
      <c r="F365" s="8" t="s">
        <v>1034</v>
      </c>
      <c r="G365" s="8"/>
      <c r="H365" s="8" t="s">
        <v>1083</v>
      </c>
      <c r="I365" s="8" t="str">
        <f t="shared" si="58"/>
        <v>cheat summon Mythic_Tapejara_Character_BP_C</v>
      </c>
      <c r="J365" s="8" t="str">
        <f t="shared" si="62"/>
        <v>admincheat GMSummon "Mythic_Tapejara_Character_BP_C" 120</v>
      </c>
      <c r="K365" s="8" t="s">
        <v>1084</v>
      </c>
      <c r="L365" s="8" t="str">
        <f t="shared" si="59"/>
        <v>cheat SpawnDino "Blueprint'/PrimalChaos/1Dinos/5MythicAndLegendary/Mythic/Tapejara/Mythic_Tapejara_Character_BP.Mythic_Tapejara_Character_BP'" 150 0 0 35</v>
      </c>
      <c r="M365" s="8" t="str">
        <f t="shared" si="60"/>
        <v>NPCReplacements=(FromClassName="Mythic_Tapejara_Character_BP_C",ToClassName="")</v>
      </c>
      <c r="N365" s="2"/>
    </row>
    <row r="366">
      <c r="B366" s="6"/>
      <c r="C366" s="4">
        <v>314.0</v>
      </c>
      <c r="D366" s="4">
        <f t="shared" si="61"/>
        <v>5</v>
      </c>
      <c r="E366" s="9" t="s">
        <v>1085</v>
      </c>
      <c r="F366" s="10" t="s">
        <v>1034</v>
      </c>
      <c r="G366" s="10"/>
      <c r="H366" s="10" t="s">
        <v>1086</v>
      </c>
      <c r="I366" s="10" t="str">
        <f t="shared" si="58"/>
        <v>cheat summon Mythic_Therizino_Character_BP_C</v>
      </c>
      <c r="J366" s="10" t="str">
        <f t="shared" si="62"/>
        <v>admincheat GMSummon "Mythic_Therizino_Character_BP_C" 120</v>
      </c>
      <c r="K366" s="10" t="s">
        <v>1087</v>
      </c>
      <c r="L366" s="10" t="str">
        <f t="shared" si="59"/>
        <v>cheat SpawnDino "Blueprint'/PrimalChaos/1Dinos/5MythicAndLegendary/Mythic/Therizino/Mythic_Therizino_Character_BP.Mythic_Therizino_Character_BP'" 150 0 0 35</v>
      </c>
      <c r="M366" s="10" t="str">
        <f t="shared" si="60"/>
        <v>NPCReplacements=(FromClassName="Mythic_Therizino_Character_BP_C",ToClassName="")</v>
      </c>
      <c r="N366" s="2"/>
    </row>
    <row r="367">
      <c r="B367" s="13"/>
      <c r="C367" s="4">
        <v>315.0</v>
      </c>
      <c r="D367" s="4">
        <f t="shared" si="61"/>
        <v>5</v>
      </c>
      <c r="E367" s="7" t="s">
        <v>1088</v>
      </c>
      <c r="F367" s="8" t="s">
        <v>1034</v>
      </c>
      <c r="G367" s="8"/>
      <c r="H367" s="8" t="s">
        <v>1089</v>
      </c>
      <c r="I367" s="8" t="str">
        <f t="shared" si="58"/>
        <v>cheat summon Mythic_Trike_Character_BP_C</v>
      </c>
      <c r="J367" s="8" t="str">
        <f t="shared" si="62"/>
        <v>admincheat GMSummon "Mythic_Trike_Character_BP_C" 120</v>
      </c>
      <c r="K367" s="8" t="s">
        <v>1090</v>
      </c>
      <c r="L367" s="8" t="str">
        <f t="shared" si="59"/>
        <v>cheat SpawnDino "Blueprint'/PrimalChaos/1Dinos/5MythicAndLegendary/Mythic/Trike/Mythic_Trike_Character_BP.Mythic_Trike_Character_BP'" 150 0 0 35</v>
      </c>
      <c r="M367" s="8" t="str">
        <f t="shared" si="60"/>
        <v>NPCReplacements=(FromClassName="Mythic_Trike_Character_BP_C",ToClassName="")</v>
      </c>
      <c r="N367" s="2"/>
    </row>
    <row r="368">
      <c r="B368" s="40"/>
      <c r="C368" s="15"/>
      <c r="D368" s="15"/>
      <c r="E368" s="16"/>
      <c r="F368" s="16"/>
      <c r="G368" s="16"/>
      <c r="H368" s="16"/>
      <c r="I368" s="16"/>
      <c r="J368" s="16"/>
      <c r="K368" s="16"/>
      <c r="L368" s="16"/>
      <c r="M368" s="16"/>
      <c r="N368" s="2"/>
    </row>
    <row r="369">
      <c r="B369" s="41" t="s">
        <v>1091</v>
      </c>
      <c r="C369" s="4"/>
      <c r="D369" s="4"/>
      <c r="E369" s="20" t="s">
        <v>1092</v>
      </c>
      <c r="F369" s="20" t="s">
        <v>1091</v>
      </c>
      <c r="G369" s="21"/>
      <c r="H369" s="20" t="s">
        <v>1093</v>
      </c>
      <c r="I369" s="8" t="str">
        <f t="shared" ref="I369:I380" si="63">"cheat summon "&amp;H369</f>
        <v>cheat summon Allo_Character_BP_Angelic_C</v>
      </c>
      <c r="J369" s="8" t="str">
        <f t="shared" ref="J369:J380" si="64"> "admincheat GMSummon " &amp;CHAR(34) &amp; H369&amp;CHAR(34)&amp; " 120"</f>
        <v>admincheat GMSummon "Allo_Character_BP_Angelic_C" 120</v>
      </c>
      <c r="K369" s="20" t="s">
        <v>1094</v>
      </c>
      <c r="L369" s="8" t="str">
        <f t="shared" ref="L369:L380" si="65">IF(K369&lt;&gt;"","cheat SpawnDino "&amp;CHAR(34)&amp;"Blueprint'"&amp;K369&amp;"'"&amp;CHAR(34)&amp;" 150 0 0 35","")</f>
        <v>cheat SpawnDino "Blueprint'/PrimalChaos/1Dinos/6DemonicAndAngelic/Angelic/Allo/Allo_Character_BP_Angelic.Allo_Character_BP_Angelic'" 150 0 0 35</v>
      </c>
      <c r="M369" s="8" t="str">
        <f t="shared" ref="M369:M380" si="66">"NPCReplacements=(FromClassName="&amp;CHAR(34)&amp;H369&amp;""&amp;CHAR(34)&amp;",ToClassName="&amp;CHAR(34)&amp;CHAR(34)&amp;")"</f>
        <v>NPCReplacements=(FromClassName="Allo_Character_BP_Angelic_C",ToClassName="")</v>
      </c>
      <c r="N369" s="2"/>
    </row>
    <row r="370">
      <c r="B370" s="6"/>
      <c r="C370" s="4"/>
      <c r="D370" s="4"/>
      <c r="E370" s="9" t="s">
        <v>1095</v>
      </c>
      <c r="F370" s="9" t="s">
        <v>1091</v>
      </c>
      <c r="G370" s="10"/>
      <c r="H370" s="9" t="s">
        <v>1096</v>
      </c>
      <c r="I370" s="10" t="str">
        <f t="shared" si="63"/>
        <v>cheat summon AngelicArgent_Character_BP_C</v>
      </c>
      <c r="J370" s="10" t="str">
        <f t="shared" si="64"/>
        <v>admincheat GMSummon "AngelicArgent_Character_BP_C" 120</v>
      </c>
      <c r="K370" s="9" t="s">
        <v>1097</v>
      </c>
      <c r="L370" s="10" t="str">
        <f t="shared" si="65"/>
        <v>cheat SpawnDino "Blueprint'/PrimalChaos/1Dinos/6DemonicAndAngelic/Angelic/Argy/AngelicArgent_Character_BP.AngelicArgent_Character_BP'" 150 0 0 35</v>
      </c>
      <c r="M370" s="10" t="str">
        <f t="shared" si="66"/>
        <v>NPCReplacements=(FromClassName="AngelicArgent_Character_BP_C",ToClassName="")</v>
      </c>
      <c r="N370" s="2"/>
    </row>
    <row r="371">
      <c r="B371" s="6"/>
      <c r="C371" s="4"/>
      <c r="D371" s="4"/>
      <c r="E371" s="20" t="s">
        <v>1098</v>
      </c>
      <c r="F371" s="20" t="s">
        <v>1091</v>
      </c>
      <c r="G371" s="21"/>
      <c r="H371" s="20" t="s">
        <v>1099</v>
      </c>
      <c r="I371" s="8" t="str">
        <f t="shared" si="63"/>
        <v>cheat summon Direbear_Character_BP_Angelic_C</v>
      </c>
      <c r="J371" s="8" t="str">
        <f t="shared" si="64"/>
        <v>admincheat GMSummon "Direbear_Character_BP_Angelic_C" 120</v>
      </c>
      <c r="K371" s="20" t="s">
        <v>1100</v>
      </c>
      <c r="L371" s="8" t="str">
        <f t="shared" si="65"/>
        <v>cheat SpawnDino "Blueprint'/PrimalChaos/1Dinos/6DemonicAndAngelic/Angelic/DireBear/Direbear_Character_BP_Angelic.Direbear_Character_BP_Angelic'" 150 0 0 35</v>
      </c>
      <c r="M371" s="8" t="str">
        <f t="shared" si="66"/>
        <v>NPCReplacements=(FromClassName="Direbear_Character_BP_Angelic_C",ToClassName="")</v>
      </c>
      <c r="N371" s="2"/>
    </row>
    <row r="372">
      <c r="B372" s="6"/>
      <c r="C372" s="4"/>
      <c r="D372" s="4"/>
      <c r="E372" s="22" t="s">
        <v>1101</v>
      </c>
      <c r="F372" s="9" t="s">
        <v>1091</v>
      </c>
      <c r="G372" s="10"/>
      <c r="H372" s="22" t="s">
        <v>1102</v>
      </c>
      <c r="I372" s="10" t="str">
        <f t="shared" si="63"/>
        <v>cheat summon DireWolf_Character_BP_Angelic_C</v>
      </c>
      <c r="J372" s="10" t="str">
        <f t="shared" si="64"/>
        <v>admincheat GMSummon "DireWolf_Character_BP_Angelic_C" 120</v>
      </c>
      <c r="K372" s="22" t="s">
        <v>1103</v>
      </c>
      <c r="L372" s="10" t="str">
        <f t="shared" si="65"/>
        <v>cheat SpawnDino "Blueprint'/PrimalChaos/1Dinos/6DemonicAndAngelic/Angelic/wolf/DireWolf_Character_BP_Angelic.DireWolf_Character_BP_Angelic'" 150 0 0 35</v>
      </c>
      <c r="M372" s="10" t="str">
        <f t="shared" si="66"/>
        <v>NPCReplacements=(FromClassName="DireWolf_Character_BP_Angelic_C",ToClassName="")</v>
      </c>
      <c r="N372" s="2"/>
    </row>
    <row r="373">
      <c r="B373" s="6"/>
      <c r="C373" s="4">
        <v>96.0</v>
      </c>
      <c r="D373" s="4">
        <f>IF(F373="Beta",1)+IF(F373="Alpha",2)+IF(F373="Electric",3)+IF(F373="Volcanic",3)+IF(F373="Hydro",3)+IF(F373="Shadow",4)+IF(F373="Fairy",4)+IF(F373="Mythic",5)+IF(F373="Legendary",5)+IF(F373="Demonic",6)+IF(F373="Angelic",6)+IF(F373="Jester",7)+IF(F373="Nightmare",8)+IF(F373="Vanilla",9)+IF(F373="Boss",8)</f>
        <v>6</v>
      </c>
      <c r="E373" s="7" t="s">
        <v>1104</v>
      </c>
      <c r="F373" s="7" t="s">
        <v>1091</v>
      </c>
      <c r="G373" s="8"/>
      <c r="H373" s="7" t="s">
        <v>1105</v>
      </c>
      <c r="I373" s="8" t="str">
        <f t="shared" si="63"/>
        <v>cheat summon AngelicGriffin_Character_BP_C</v>
      </c>
      <c r="J373" s="8" t="str">
        <f t="shared" si="64"/>
        <v>admincheat GMSummon "AngelicGriffin_Character_BP_C" 120</v>
      </c>
      <c r="K373" s="7" t="s">
        <v>1106</v>
      </c>
      <c r="L373" s="8" t="str">
        <f t="shared" si="65"/>
        <v>cheat SpawnDino "Blueprint'/PrimalChaos/1Dinos/6DemonicAndAngelic/Angelic/Griffin/AngelicGriffin_Character_BP.AngelicGriffin_Character_BP'" 150 0 0 35</v>
      </c>
      <c r="M373" s="8" t="str">
        <f t="shared" si="66"/>
        <v>NPCReplacements=(FromClassName="AngelicGriffin_Character_BP_C",ToClassName="")</v>
      </c>
      <c r="N373" s="2"/>
    </row>
    <row r="374">
      <c r="B374" s="6"/>
      <c r="C374" s="4"/>
      <c r="D374" s="4"/>
      <c r="E374" s="22" t="s">
        <v>1107</v>
      </c>
      <c r="F374" s="9" t="s">
        <v>1091</v>
      </c>
      <c r="G374" s="10"/>
      <c r="H374" s="22" t="s">
        <v>1108</v>
      </c>
      <c r="I374" s="10" t="str">
        <f t="shared" si="63"/>
        <v>cheat summon Manticore_Character_BP_Angelic_C</v>
      </c>
      <c r="J374" s="10" t="str">
        <f t="shared" si="64"/>
        <v>admincheat GMSummon "Manticore_Character_BP_Angelic_C" 120</v>
      </c>
      <c r="K374" s="42" t="s">
        <v>1109</v>
      </c>
      <c r="L374" s="10" t="str">
        <f t="shared" si="65"/>
        <v>cheat SpawnDino "Blueprint'/PrimalChaos/1Dinos/6DemonicAndAngelic/Angelic/Manticore/Manticore_Character_BP_Angelic.Manticore_Character_BP_Angelic'" 150 0 0 35</v>
      </c>
      <c r="M374" s="10" t="str">
        <f t="shared" si="66"/>
        <v>NPCReplacements=(FromClassName="Manticore_Character_BP_Angelic_C",ToClassName="")</v>
      </c>
      <c r="N374" s="2"/>
    </row>
    <row r="375">
      <c r="B375" s="6"/>
      <c r="C375" s="4"/>
      <c r="D375" s="4"/>
      <c r="E375" s="20" t="s">
        <v>1110</v>
      </c>
      <c r="F375" s="7" t="s">
        <v>1091</v>
      </c>
      <c r="G375" s="8"/>
      <c r="H375" s="20" t="s">
        <v>1111</v>
      </c>
      <c r="I375" s="8" t="str">
        <f t="shared" si="63"/>
        <v>cheat summon Rex_Character_BP_Angelic_C</v>
      </c>
      <c r="J375" s="8" t="str">
        <f t="shared" si="64"/>
        <v>admincheat GMSummon "Rex_Character_BP_Angelic_C" 120</v>
      </c>
      <c r="K375" s="20" t="s">
        <v>1112</v>
      </c>
      <c r="L375" s="8" t="str">
        <f t="shared" si="65"/>
        <v>cheat SpawnDino "Blueprint'/PrimalChaos/1Dinos/6DemonicAndAngelic/Angelic/Rex/Rex_Character_BP_Angelic.Rex_Character_BP_Angelic'" 150 0 0 35</v>
      </c>
      <c r="M375" s="8" t="str">
        <f t="shared" si="66"/>
        <v>NPCReplacements=(FromClassName="Rex_Character_BP_Angelic_C",ToClassName="")</v>
      </c>
      <c r="N375" s="2"/>
    </row>
    <row r="376">
      <c r="B376" s="6"/>
      <c r="C376" s="4"/>
      <c r="D376" s="4"/>
      <c r="E376" s="22" t="s">
        <v>1113</v>
      </c>
      <c r="F376" s="9" t="s">
        <v>1091</v>
      </c>
      <c r="G376" s="10"/>
      <c r="H376" s="22" t="s">
        <v>1114</v>
      </c>
      <c r="I376" s="10" t="str">
        <f t="shared" si="63"/>
        <v>cheat summon Spino_Character_BP_Angelic_C</v>
      </c>
      <c r="J376" s="10" t="str">
        <f t="shared" si="64"/>
        <v>admincheat GMSummon "Spino_Character_BP_Angelic_C" 120</v>
      </c>
      <c r="K376" s="42" t="s">
        <v>1115</v>
      </c>
      <c r="L376" s="10" t="str">
        <f t="shared" si="65"/>
        <v>cheat SpawnDino "Blueprint'/PrimalChaos/1Dinos/6DemonicAndAngelic/Angelic/Spino/Spino_Character_BP_Angelic.Spino_Character_BP_Angelic'" 150 0 0 35</v>
      </c>
      <c r="M376" s="10" t="str">
        <f t="shared" si="66"/>
        <v>NPCReplacements=(FromClassName="Spino_Character_BP_Angelic_C",ToClassName="")</v>
      </c>
      <c r="N376" s="2"/>
    </row>
    <row r="377">
      <c r="B377" s="6"/>
      <c r="C377" s="4"/>
      <c r="D377" s="4"/>
      <c r="E377" s="20" t="s">
        <v>1116</v>
      </c>
      <c r="F377" s="7" t="s">
        <v>1091</v>
      </c>
      <c r="G377" s="8"/>
      <c r="H377" s="20" t="s">
        <v>1117</v>
      </c>
      <c r="I377" s="8" t="str">
        <f t="shared" si="63"/>
        <v>cheat summon Therizino_Character_BP_Angelic_C</v>
      </c>
      <c r="J377" s="8" t="str">
        <f t="shared" si="64"/>
        <v>admincheat GMSummon "Therizino_Character_BP_Angelic_C" 120</v>
      </c>
      <c r="K377" s="43" t="s">
        <v>1118</v>
      </c>
      <c r="L377" s="8" t="str">
        <f t="shared" si="65"/>
        <v>cheat SpawnDino "Blueprint'/PrimalChaos/1Dinos/6DemonicAndAngelic/Angelic/Therizino/Therizino_Character_BP_Angelic.Therizino_Character_BP_Angelic'" 150 0 0 35</v>
      </c>
      <c r="M377" s="8" t="str">
        <f t="shared" si="66"/>
        <v>NPCReplacements=(FromClassName="Therizino_Character_BP_Angelic_C",ToClassName="")</v>
      </c>
      <c r="N377" s="2"/>
    </row>
    <row r="378">
      <c r="B378" s="6"/>
      <c r="C378" s="4"/>
      <c r="D378" s="4"/>
      <c r="E378" s="22" t="s">
        <v>1119</v>
      </c>
      <c r="F378" s="9" t="s">
        <v>1091</v>
      </c>
      <c r="G378" s="10"/>
      <c r="H378" s="22" t="s">
        <v>1120</v>
      </c>
      <c r="I378" s="10" t="str">
        <f t="shared" si="63"/>
        <v>cheat summon Thylacoleo_Character_BP_Angelic_C</v>
      </c>
      <c r="J378" s="10" t="str">
        <f t="shared" si="64"/>
        <v>admincheat GMSummon "Thylacoleo_Character_BP_Angelic_C" 120</v>
      </c>
      <c r="K378" s="42" t="s">
        <v>1121</v>
      </c>
      <c r="L378" s="10" t="str">
        <f t="shared" si="65"/>
        <v>cheat SpawnDino "Blueprint'/PrimalChaos/1Dinos/6DemonicAndAngelic/Angelic/Thyla/Thylacoleo_Character_BP_Angelic.Thylacoleo_Character_BP_Angelic'" 150 0 0 35</v>
      </c>
      <c r="M378" s="10" t="str">
        <f t="shared" si="66"/>
        <v>NPCReplacements=(FromClassName="Thylacoleo_Character_BP_Angelic_C",ToClassName="")</v>
      </c>
      <c r="N378" s="2"/>
    </row>
    <row r="379">
      <c r="B379" s="6"/>
      <c r="C379" s="4"/>
      <c r="D379" s="4"/>
      <c r="E379" s="20" t="s">
        <v>1122</v>
      </c>
      <c r="F379" s="7" t="s">
        <v>1091</v>
      </c>
      <c r="G379" s="8"/>
      <c r="H379" s="20" t="s">
        <v>1123</v>
      </c>
      <c r="I379" s="8" t="str">
        <f t="shared" si="63"/>
        <v>cheat summon Wyvern_Character_BP_Angelic_C</v>
      </c>
      <c r="J379" s="8" t="str">
        <f t="shared" si="64"/>
        <v>admincheat GMSummon "Wyvern_Character_BP_Angelic_C" 120</v>
      </c>
      <c r="K379" s="43" t="s">
        <v>1124</v>
      </c>
      <c r="L379" s="8" t="str">
        <f t="shared" si="65"/>
        <v>cheat SpawnDino "Blueprint'/PrimalChaos/1Dinos/6DemonicAndAngelic/Angelic/Wyvern/Wyvern_Character_BP_Angelic.Wyvern_Character_BP_Angelic'" 150 0 0 35</v>
      </c>
      <c r="M379" s="8" t="str">
        <f t="shared" si="66"/>
        <v>NPCReplacements=(FromClassName="Wyvern_Character_BP_Angelic_C",ToClassName="")</v>
      </c>
      <c r="N379" s="2"/>
    </row>
    <row r="380">
      <c r="B380" s="13"/>
      <c r="C380" s="4"/>
      <c r="D380" s="4"/>
      <c r="E380" s="22" t="s">
        <v>1125</v>
      </c>
      <c r="F380" s="9" t="s">
        <v>1091</v>
      </c>
      <c r="G380" s="10"/>
      <c r="H380" s="22" t="s">
        <v>1126</v>
      </c>
      <c r="I380" s="10" t="str">
        <f t="shared" si="63"/>
        <v>cheat summon Yutyrannus_Character_BP_Angelic_C</v>
      </c>
      <c r="J380" s="10" t="str">
        <f t="shared" si="64"/>
        <v>admincheat GMSummon "Yutyrannus_Character_BP_Angelic_C" 120</v>
      </c>
      <c r="K380" s="42" t="s">
        <v>1127</v>
      </c>
      <c r="L380" s="10" t="str">
        <f t="shared" si="65"/>
        <v>cheat SpawnDino "Blueprint'/PrimalChaos/1Dinos/6DemonicAndAngelic/Angelic/Yuty/Yutyrannus_Character_BP_Angelic.Yutyrannus_Character_BP_Angelic'" 150 0 0 35</v>
      </c>
      <c r="M380" s="10" t="str">
        <f t="shared" si="66"/>
        <v>NPCReplacements=(FromClassName="Yutyrannus_Character_BP_Angelic_C",ToClassName="")</v>
      </c>
      <c r="N380" s="2"/>
    </row>
    <row r="381">
      <c r="B381" s="44"/>
      <c r="C381" s="15"/>
      <c r="D381" s="15"/>
      <c r="E381" s="16"/>
      <c r="F381" s="16"/>
      <c r="G381" s="16"/>
      <c r="H381" s="16"/>
      <c r="I381" s="16"/>
      <c r="J381" s="16"/>
      <c r="K381" s="16"/>
      <c r="L381" s="16"/>
      <c r="M381" s="16"/>
      <c r="N381" s="2"/>
    </row>
    <row r="382">
      <c r="B382" s="45" t="s">
        <v>1128</v>
      </c>
      <c r="C382" s="4"/>
      <c r="D382" s="4"/>
      <c r="E382" s="42" t="s">
        <v>1129</v>
      </c>
      <c r="F382" s="9" t="s">
        <v>1128</v>
      </c>
      <c r="G382" s="46"/>
      <c r="H382" s="42" t="s">
        <v>1130</v>
      </c>
      <c r="I382" s="10" t="str">
        <f t="shared" ref="I382:I397" si="67">"cheat summon "&amp;H382</f>
        <v>cheat summon LanternPug_Character_BP_Demonic_C</v>
      </c>
      <c r="J382" s="10" t="str">
        <f t="shared" ref="J382:J397" si="68"> "admincheat GMSummon " &amp;CHAR(34) &amp; H382&amp;CHAR(34)&amp; " 120"</f>
        <v>admincheat GMSummon "LanternPug_Character_BP_Demonic_C" 120</v>
      </c>
      <c r="K382" s="42" t="s">
        <v>1131</v>
      </c>
      <c r="L382" s="10" t="str">
        <f t="shared" ref="L382:L397" si="69">IF(K382&lt;&gt;"","cheat SpawnDino "&amp;CHAR(34)&amp;"Blueprint'"&amp;K382&amp;"'"&amp;CHAR(34)&amp;" 150 0 0 35","")</f>
        <v>cheat SpawnDino "Blueprint'/PrimalChaos/1Dinos/6DemonicAndAngelic/Demonic/Bulbdog/LanternPug_Character_BP_Demonic.LanternPug_Character_BP_Demonic'" 150 0 0 35</v>
      </c>
      <c r="M382" s="10" t="str">
        <f t="shared" ref="M382:M397" si="70">"NPCReplacements=(FromClassName="&amp;CHAR(34)&amp;H382&amp;""&amp;CHAR(34)&amp;",ToClassName="&amp;CHAR(34)&amp;CHAR(34)&amp;")"</f>
        <v>NPCReplacements=(FromClassName="LanternPug_Character_BP_Demonic_C",ToClassName="")</v>
      </c>
      <c r="N382" s="2"/>
    </row>
    <row r="383">
      <c r="B383" s="6"/>
      <c r="C383" s="4"/>
      <c r="D383" s="4"/>
      <c r="E383" s="7" t="s">
        <v>1132</v>
      </c>
      <c r="F383" s="8" t="s">
        <v>1128</v>
      </c>
      <c r="G383" s="47"/>
      <c r="H383" s="8" t="s">
        <v>1133</v>
      </c>
      <c r="I383" s="8" t="str">
        <f t="shared" si="67"/>
        <v>cheat summon DemonicDilo_Character_BP_C</v>
      </c>
      <c r="J383" s="8" t="str">
        <f t="shared" si="68"/>
        <v>admincheat GMSummon "DemonicDilo_Character_BP_C" 120</v>
      </c>
      <c r="K383" s="7" t="s">
        <v>1134</v>
      </c>
      <c r="L383" s="8" t="str">
        <f t="shared" si="69"/>
        <v>cheat SpawnDino "Blueprint'/PrimalChaos/1Dinos/6Demonic/Dilo/DemonicDilo_Character_BP.DemonicDilo_Character_BP'" 150 0 0 35</v>
      </c>
      <c r="M383" s="8" t="str">
        <f t="shared" si="70"/>
        <v>NPCReplacements=(FromClassName="DemonicDilo_Character_BP_C",ToClassName="")</v>
      </c>
      <c r="N383" s="2"/>
    </row>
    <row r="384">
      <c r="B384" s="6"/>
      <c r="C384" s="4">
        <v>195.0</v>
      </c>
      <c r="D384" s="4">
        <f>IF(F383="Beta",1)+IF(F383="Alpha",2)+IF(F383="Electric",3)+IF(F383="Volcanic",3)+IF(F383="Hydro",3)+IF(F383="Shadow",4)+IF(F383="Fairy",4)+IF(F383="Mythic",5)+IF(F383="Legendary",5)+IF(F383="Demonic",6)+IF(F383="Angelic",6)+IF(F383="Jester",7)+IF(F383="Nightmare",8)+IF(F383="Vanilla",9)+IF(F383="Boss",8)</f>
        <v>6</v>
      </c>
      <c r="E384" s="22" t="s">
        <v>1135</v>
      </c>
      <c r="F384" s="10" t="s">
        <v>1128</v>
      </c>
      <c r="G384" s="46"/>
      <c r="H384" s="22" t="s">
        <v>1136</v>
      </c>
      <c r="I384" s="10" t="str">
        <f t="shared" si="67"/>
        <v>cheat summon Demonic_Dodo_Character_BP_C</v>
      </c>
      <c r="J384" s="10" t="str">
        <f t="shared" si="68"/>
        <v>admincheat GMSummon "Demonic_Dodo_Character_BP_C" 120</v>
      </c>
      <c r="K384" s="22" t="s">
        <v>1137</v>
      </c>
      <c r="L384" s="10" t="str">
        <f t="shared" si="69"/>
        <v>cheat SpawnDino "Blueprint'/PrimalChaos/1Dinos/6DemonicAndAngelic/Demonic/Dodo/Demonic_Dodo_Character_BP.Demonic_Dodo_Character_BP'" 150 0 0 35</v>
      </c>
      <c r="M384" s="10" t="str">
        <f t="shared" si="70"/>
        <v>NPCReplacements=(FromClassName="Demonic_Dodo_Character_BP_C",ToClassName="")</v>
      </c>
      <c r="N384" s="2"/>
    </row>
    <row r="385">
      <c r="B385" s="6"/>
      <c r="C385" s="4">
        <v>192.0</v>
      </c>
      <c r="D385" s="4">
        <f>IF(F386="Beta",1)+IF(F386="Alpha",2)+IF(F386="Electric",3)+IF(F386="Volcanic",3)+IF(F386="Hydro",3)+IF(F386="Shadow",4)+IF(F386="Fairy",4)+IF(F386="Mythic",5)+IF(F386="Legendary",5)+IF(F386="Demonic",6)+IF(F386="Angelic",6)+IF(F386="Jester",7)+IF(F386="Nightmare",8)+IF(F386="Vanilla",9)+IF(F386="Boss",8)</f>
        <v>6</v>
      </c>
      <c r="E385" s="20" t="s">
        <v>1138</v>
      </c>
      <c r="F385" s="20" t="s">
        <v>1128</v>
      </c>
      <c r="G385" s="47"/>
      <c r="H385" s="20" t="s">
        <v>1139</v>
      </c>
      <c r="I385" s="8" t="str">
        <f t="shared" si="67"/>
        <v>cheat summon Equus_Character_BP_Demonic_C</v>
      </c>
      <c r="J385" s="8" t="str">
        <f t="shared" si="68"/>
        <v>admincheat GMSummon "Equus_Character_BP_Demonic_C" 120</v>
      </c>
      <c r="K385" s="20" t="s">
        <v>1140</v>
      </c>
      <c r="L385" s="8" t="str">
        <f t="shared" si="69"/>
        <v>cheat SpawnDino "Blueprint'/PrimalChaos/1Dinos/6DemonicAndAngelic/Demonic/Equus/Equus_Character_BP_Demonic.Equus_Character_BP_Demonic'" 150 0 0 35</v>
      </c>
      <c r="M385" s="8" t="str">
        <f t="shared" si="70"/>
        <v>NPCReplacements=(FromClassName="Equus_Character_BP_Demonic_C",ToClassName="")</v>
      </c>
      <c r="N385" s="2"/>
    </row>
    <row r="386">
      <c r="B386" s="6"/>
      <c r="C386" s="4">
        <v>196.0</v>
      </c>
      <c r="D386" s="4">
        <f>IF(F388="Beta",1)+IF(F388="Alpha",2)+IF(F388="Electric",3)+IF(F388="Volcanic",3)+IF(F388="Hydro",3)+IF(F388="Shadow",4)+IF(F388="Fairy",4)+IF(F388="Mythic",5)+IF(F388="Legendary",5)+IF(F388="Demonic",6)+IF(F388="Angelic",6)+IF(F388="Jester",7)+IF(F388="Nightmare",8)+IF(F388="Vanilla",9)+IF(F388="Boss",8)</f>
        <v>6</v>
      </c>
      <c r="E386" s="9" t="s">
        <v>1141</v>
      </c>
      <c r="F386" s="10" t="s">
        <v>1128</v>
      </c>
      <c r="G386" s="46"/>
      <c r="H386" s="10" t="s">
        <v>1142</v>
      </c>
      <c r="I386" s="10" t="str">
        <f t="shared" si="67"/>
        <v>cheat summon Demonic_Ferox_Character_BP_C</v>
      </c>
      <c r="J386" s="10" t="str">
        <f t="shared" si="68"/>
        <v>admincheat GMSummon "Demonic_Ferox_Character_BP_C" 120</v>
      </c>
      <c r="K386" s="9" t="s">
        <v>1143</v>
      </c>
      <c r="L386" s="10" t="str">
        <f t="shared" si="69"/>
        <v>cheat SpawnDino "Blueprint'/PrimalChaos/1Dinos/6Demonic/Ferox/Demonic_Ferox_Character_BP.Demonic_Ferox_Character_BP'" 150 0 0 35</v>
      </c>
      <c r="M386" s="10" t="str">
        <f t="shared" si="70"/>
        <v>NPCReplacements=(FromClassName="Demonic_Ferox_Character_BP_C",ToClassName="")</v>
      </c>
      <c r="N386" s="2"/>
    </row>
    <row r="387">
      <c r="B387" s="6"/>
      <c r="C387" s="4"/>
      <c r="D387" s="4"/>
      <c r="E387" s="43" t="s">
        <v>1144</v>
      </c>
      <c r="F387" s="7" t="s">
        <v>1128</v>
      </c>
      <c r="G387" s="47"/>
      <c r="H387" s="43" t="s">
        <v>1145</v>
      </c>
      <c r="I387" s="8" t="str">
        <f t="shared" si="67"/>
        <v>cheat summon LanternLizard_Character_BP_Demonic_C</v>
      </c>
      <c r="J387" s="8" t="str">
        <f t="shared" si="68"/>
        <v>admincheat GMSummon "LanternLizard_Character_BP_Demonic_C" 120</v>
      </c>
      <c r="K387" s="43" t="s">
        <v>1146</v>
      </c>
      <c r="L387" s="8" t="str">
        <f t="shared" si="69"/>
        <v>cheat SpawnDino "Blueprint'/PrimalChaos/1Dinos/6DemonicAndAngelic/Demonic/Glowtail/LanternLizard_Character_BP_Demonic.LanternLizard_Character_BP_Demonic'" 150 0 0 35</v>
      </c>
      <c r="M387" s="8" t="str">
        <f t="shared" si="70"/>
        <v>NPCReplacements=(FromClassName="LanternLizard_Character_BP_Demonic_C",ToClassName="")</v>
      </c>
      <c r="N387" s="2"/>
    </row>
    <row r="388">
      <c r="B388" s="6"/>
      <c r="C388" s="4">
        <v>193.0</v>
      </c>
      <c r="D388" s="4">
        <f>IF(F395="Beta",1)+IF(F395="Alpha",2)+IF(F395="Electric",3)+IF(F395="Volcanic",3)+IF(F395="Hydro",3)+IF(F395="Shadow",4)+IF(F395="Fairy",4)+IF(F395="Mythic",5)+IF(F395="Legendary",5)+IF(F395="Demonic",6)+IF(F395="Angelic",6)+IF(F395="Jester",7)+IF(F395="Nightmare",8)+IF(F395="Vanilla",9)+IF(F395="Boss",8)</f>
        <v>6</v>
      </c>
      <c r="E388" s="9" t="s">
        <v>1147</v>
      </c>
      <c r="F388" s="10" t="s">
        <v>1128</v>
      </c>
      <c r="G388" s="46"/>
      <c r="H388" s="10" t="s">
        <v>1148</v>
      </c>
      <c r="I388" s="10" t="str">
        <f t="shared" si="67"/>
        <v>cheat summon DemonicGorilla_Character_BP_C</v>
      </c>
      <c r="J388" s="10" t="str">
        <f t="shared" si="68"/>
        <v>admincheat GMSummon "DemonicGorilla_Character_BP_C" 120</v>
      </c>
      <c r="K388" s="9" t="s">
        <v>1149</v>
      </c>
      <c r="L388" s="10" t="str">
        <f t="shared" si="69"/>
        <v>cheat SpawnDino "Blueprint'/PrimalChaos/1Dinos/6Demonic/Gorilla/DemonicGorilla_Character_BP.DemonicGorilla_Character_BP'" 150 0 0 35</v>
      </c>
      <c r="M388" s="10" t="str">
        <f t="shared" si="70"/>
        <v>NPCReplacements=(FromClassName="DemonicGorilla_Character_BP_C",ToClassName="")</v>
      </c>
      <c r="N388" s="2"/>
    </row>
    <row r="389">
      <c r="B389" s="6"/>
      <c r="C389" s="4"/>
      <c r="D389" s="4"/>
      <c r="E389" s="20" t="s">
        <v>1150</v>
      </c>
      <c r="F389" s="20" t="s">
        <v>1128</v>
      </c>
      <c r="G389" s="47"/>
      <c r="H389" s="20" t="s">
        <v>1151</v>
      </c>
      <c r="I389" s="8" t="str">
        <f t="shared" si="67"/>
        <v>cheat summon Hyaenodon_Character_BP_Demonic_C</v>
      </c>
      <c r="J389" s="8" t="str">
        <f t="shared" si="68"/>
        <v>admincheat GMSummon "Hyaenodon_Character_BP_Demonic_C" 120</v>
      </c>
      <c r="K389" s="20" t="s">
        <v>1152</v>
      </c>
      <c r="L389" s="8" t="str">
        <f t="shared" si="69"/>
        <v>cheat SpawnDino "Blueprint'/PrimalChaos/1Dinos/6DemonicAndAngelic/Demonic/Hyaenodon/Hyaenodon_Character_BP_Demonic.Hyaenodon_Character_BP_Demonic'" 150 0 0 35</v>
      </c>
      <c r="M389" s="8" t="str">
        <f t="shared" si="70"/>
        <v>NPCReplacements=(FromClassName="Hyaenodon_Character_BP_Demonic_C",ToClassName="")</v>
      </c>
      <c r="N389" s="2"/>
    </row>
    <row r="390">
      <c r="B390" s="6"/>
      <c r="C390" s="4"/>
      <c r="D390" s="4"/>
      <c r="E390" s="22" t="s">
        <v>1153</v>
      </c>
      <c r="F390" s="9" t="s">
        <v>1128</v>
      </c>
      <c r="G390" s="46"/>
      <c r="H390" s="22" t="s">
        <v>1154</v>
      </c>
      <c r="I390" s="10" t="str">
        <f t="shared" si="67"/>
        <v>cheat summon Kaprosuchus_Character_BP_Demonic_C</v>
      </c>
      <c r="J390" s="10" t="str">
        <f t="shared" si="68"/>
        <v>admincheat GMSummon "Kaprosuchus_Character_BP_Demonic_C" 120</v>
      </c>
      <c r="K390" s="22" t="s">
        <v>1155</v>
      </c>
      <c r="L390" s="10" t="str">
        <f t="shared" si="69"/>
        <v>cheat SpawnDino "Blueprint'/PrimalChaos/1Dinos/6DemonicAndAngelic/Demonic/Kapro/Kaprosuchus_Character_BP_Demonic.Kaprosuchus_Character_BP_Demonic'" 150 0 0 35</v>
      </c>
      <c r="M390" s="10" t="str">
        <f t="shared" si="70"/>
        <v>NPCReplacements=(FromClassName="Kaprosuchus_Character_BP_Demonic_C",ToClassName="")</v>
      </c>
      <c r="N390" s="2"/>
    </row>
    <row r="391">
      <c r="B391" s="6"/>
      <c r="C391" s="4"/>
      <c r="D391" s="4"/>
      <c r="E391" s="43" t="s">
        <v>1156</v>
      </c>
      <c r="F391" s="7" t="s">
        <v>1128</v>
      </c>
      <c r="G391" s="47"/>
      <c r="H391" s="43" t="s">
        <v>1157</v>
      </c>
      <c r="I391" s="8" t="str">
        <f t="shared" si="67"/>
        <v>cheat summon Megatherium_Character_BP_Demonic_C</v>
      </c>
      <c r="J391" s="8" t="str">
        <f t="shared" si="68"/>
        <v>admincheat GMSummon "Megatherium_Character_BP_Demonic_C" 120</v>
      </c>
      <c r="K391" s="43" t="s">
        <v>1158</v>
      </c>
      <c r="L391" s="8" t="str">
        <f t="shared" si="69"/>
        <v>cheat SpawnDino "Blueprint'/PrimalChaos/1Dinos/6DemonicAndAngelic/Demonic/Megatherium/Megatherium_Character_BP_Demonic.Megatherium_Character_BP_Demonic'" 150 0 0 35</v>
      </c>
      <c r="M391" s="8" t="str">
        <f t="shared" si="70"/>
        <v>NPCReplacements=(FromClassName="Megatherium_Character_BP_Demonic_C",ToClassName="")</v>
      </c>
      <c r="N391" s="2"/>
    </row>
    <row r="392">
      <c r="B392" s="6"/>
      <c r="C392" s="4"/>
      <c r="D392" s="4"/>
      <c r="E392" s="9" t="s">
        <v>1159</v>
      </c>
      <c r="F392" s="9" t="s">
        <v>1128</v>
      </c>
      <c r="G392" s="46"/>
      <c r="H392" s="22" t="s">
        <v>1160</v>
      </c>
      <c r="I392" s="10" t="str">
        <f t="shared" si="67"/>
        <v>cheat summon Monkey_Character_BP_Demonic_C</v>
      </c>
      <c r="J392" s="10" t="str">
        <f t="shared" si="68"/>
        <v>admincheat GMSummon "Monkey_Character_BP_Demonic_C" 120</v>
      </c>
      <c r="K392" s="22" t="s">
        <v>1161</v>
      </c>
      <c r="L392" s="10" t="str">
        <f t="shared" si="69"/>
        <v>cheat SpawnDino "Blueprint'/PrimalChaos/1Dinos/6DemonicAndAngelic/Demonic/Monkey/Monkey_Character_BP_Demonic.Monkey_Character_BP_Demonic'" 150 0 0 35</v>
      </c>
      <c r="M392" s="10" t="str">
        <f t="shared" si="70"/>
        <v>NPCReplacements=(FromClassName="Monkey_Character_BP_Demonic_C",ToClassName="")</v>
      </c>
      <c r="N392" s="2"/>
    </row>
    <row r="393">
      <c r="B393" s="6"/>
      <c r="C393" s="4"/>
      <c r="D393" s="4"/>
      <c r="E393" s="43" t="s">
        <v>1162</v>
      </c>
      <c r="F393" s="7" t="s">
        <v>1128</v>
      </c>
      <c r="G393" s="47"/>
      <c r="H393" s="43" t="s">
        <v>1163</v>
      </c>
      <c r="I393" s="8" t="str">
        <f t="shared" si="67"/>
        <v>cheat summon Sheep_Character_BP_Demonic_C</v>
      </c>
      <c r="J393" s="8" t="str">
        <f t="shared" si="68"/>
        <v>admincheat GMSummon "Sheep_Character_BP_Demonic_C" 120</v>
      </c>
      <c r="K393" s="43" t="s">
        <v>1164</v>
      </c>
      <c r="L393" s="8" t="str">
        <f t="shared" si="69"/>
        <v>cheat SpawnDino "Blueprint'/PrimalChaos/1Dinos/6DemonicAndAngelic/Demonic/Ovis/Sheep_Character_BP_Demonic.Sheep_Character_BP_Demonic'" 150 0 0 35</v>
      </c>
      <c r="M393" s="8" t="str">
        <f t="shared" si="70"/>
        <v>NPCReplacements=(FromClassName="Sheep_Character_BP_Demonic_C",ToClassName="")</v>
      </c>
      <c r="N393" s="2"/>
    </row>
    <row r="394">
      <c r="B394" s="6"/>
      <c r="C394" s="4"/>
      <c r="D394" s="4"/>
      <c r="E394" s="42" t="s">
        <v>1165</v>
      </c>
      <c r="F394" s="9" t="s">
        <v>1128</v>
      </c>
      <c r="G394" s="46"/>
      <c r="H394" s="42" t="s">
        <v>1166</v>
      </c>
      <c r="I394" s="10" t="str">
        <f t="shared" si="67"/>
        <v>cheat summon Para_Character_BP_Demonic_C</v>
      </c>
      <c r="J394" s="10" t="str">
        <f t="shared" si="68"/>
        <v>admincheat GMSummon "Para_Character_BP_Demonic_C" 120</v>
      </c>
      <c r="K394" s="42" t="s">
        <v>1167</v>
      </c>
      <c r="L394" s="10" t="str">
        <f t="shared" si="69"/>
        <v>cheat SpawnDino "Blueprint'/PrimalChaos/1Dinos/6DemonicAndAngelic/Demonic/Parasaur/Para_Character_BP_Demonic.Para_Character_BP_Demonic'" 150 0 0 35</v>
      </c>
      <c r="M394" s="10" t="str">
        <f t="shared" si="70"/>
        <v>NPCReplacements=(FromClassName="Para_Character_BP_Demonic_C",ToClassName="")</v>
      </c>
      <c r="N394" s="2"/>
    </row>
    <row r="395">
      <c r="B395" s="6"/>
      <c r="C395" s="4"/>
      <c r="D395" s="4"/>
      <c r="E395" s="7" t="s">
        <v>1168</v>
      </c>
      <c r="F395" s="8" t="s">
        <v>1128</v>
      </c>
      <c r="G395" s="47"/>
      <c r="H395" s="8" t="s">
        <v>1169</v>
      </c>
      <c r="I395" s="8" t="str">
        <f t="shared" si="67"/>
        <v>cheat summon Demonic_Reaper_Character_BP_C</v>
      </c>
      <c r="J395" s="8" t="str">
        <f t="shared" si="68"/>
        <v>admincheat GMSummon "Demonic_Reaper_Character_BP_C" 120</v>
      </c>
      <c r="K395" s="7" t="s">
        <v>1170</v>
      </c>
      <c r="L395" s="8" t="str">
        <f t="shared" si="69"/>
        <v>cheat SpawnDino "Blueprint'/PrimalChaos/1Dinos/6Demonic/Reaper/Demonic_Reaper_Character_BP.Demonic_Reaper_Character_BP'" 150 0 0 35</v>
      </c>
      <c r="M395" s="8" t="str">
        <f t="shared" si="70"/>
        <v>NPCReplacements=(FromClassName="Demonic_Reaper_Character_BP_C",ToClassName="")</v>
      </c>
      <c r="N395" s="2"/>
    </row>
    <row r="396">
      <c r="B396" s="6"/>
      <c r="C396" s="4"/>
      <c r="D396" s="4"/>
      <c r="E396" s="42" t="s">
        <v>1171</v>
      </c>
      <c r="F396" s="9" t="s">
        <v>1128</v>
      </c>
      <c r="G396" s="46"/>
      <c r="H396" s="42" t="s">
        <v>1172</v>
      </c>
      <c r="I396" s="10" t="str">
        <f t="shared" si="67"/>
        <v>cheat summon LanternGoat_Character_BP_Demonic_C</v>
      </c>
      <c r="J396" s="10" t="str">
        <f t="shared" si="68"/>
        <v>admincheat GMSummon "LanternGoat_Character_BP_Demonic_C" 120</v>
      </c>
      <c r="K396" s="42" t="s">
        <v>1173</v>
      </c>
      <c r="L396" s="10" t="str">
        <f t="shared" si="69"/>
        <v>cheat SpawnDino "Blueprint'/PrimalChaos/1Dinos/6DemonicAndAngelic/Demonic/Shinehorn/LanternGoat_Character_BP_Demonic.LanternGoat_Character_BP_Demonic'" 150 0 0 35</v>
      </c>
      <c r="M396" s="10" t="str">
        <f t="shared" si="70"/>
        <v>NPCReplacements=(FromClassName="LanternGoat_Character_BP_Demonic_C",ToClassName="")</v>
      </c>
      <c r="N396" s="2"/>
    </row>
    <row r="397">
      <c r="B397" s="13"/>
      <c r="C397" s="4"/>
      <c r="D397" s="4"/>
      <c r="E397" s="7" t="s">
        <v>1174</v>
      </c>
      <c r="F397" s="7" t="s">
        <v>1128</v>
      </c>
      <c r="G397" s="48" t="s">
        <v>1175</v>
      </c>
      <c r="H397" s="7" t="s">
        <v>1176</v>
      </c>
      <c r="I397" s="8" t="str">
        <f t="shared" si="67"/>
        <v>cheat summon DemonicThorny_Character_BP_C</v>
      </c>
      <c r="J397" s="8" t="str">
        <f t="shared" si="68"/>
        <v>admincheat GMSummon "DemonicThorny_Character_BP_C" 120</v>
      </c>
      <c r="K397" s="43" t="s">
        <v>1177</v>
      </c>
      <c r="L397" s="8" t="str">
        <f t="shared" si="69"/>
        <v>cheat SpawnDino "Blueprint'/PrimalChaos/1Dinos/6DemonicAndAngelic/Demonic/ThornyDragon/DemonicThorny_Character_BP'" 150 0 0 35</v>
      </c>
      <c r="M397" s="8" t="str">
        <f t="shared" si="70"/>
        <v>NPCReplacements=(FromClassName="DemonicThorny_Character_BP_C",ToClassName="")</v>
      </c>
      <c r="N397" s="2"/>
    </row>
    <row r="398">
      <c r="B398" s="49"/>
      <c r="C398" s="15"/>
      <c r="D398" s="15"/>
      <c r="E398" s="16"/>
      <c r="F398" s="16"/>
      <c r="G398" s="16"/>
      <c r="H398" s="16"/>
      <c r="I398" s="16"/>
      <c r="J398" s="16"/>
      <c r="K398" s="16"/>
      <c r="L398" s="16"/>
      <c r="M398" s="16"/>
      <c r="N398" s="2"/>
    </row>
    <row r="399">
      <c r="B399" s="50" t="s">
        <v>1178</v>
      </c>
      <c r="C399" s="4"/>
      <c r="D399" s="4"/>
      <c r="E399" s="7" t="s">
        <v>1179</v>
      </c>
      <c r="F399" s="7" t="s">
        <v>1178</v>
      </c>
      <c r="G399" s="8"/>
      <c r="H399" s="7" t="s">
        <v>1180</v>
      </c>
      <c r="I399" s="8" t="str">
        <f t="shared" ref="I399:I410" si="71">"cheat summon "&amp;H399</f>
        <v>cheat summon Sauropod_Character_BP_Spirit_C</v>
      </c>
      <c r="J399" s="8" t="str">
        <f t="shared" ref="J399:J410" si="72"> "admincheat GMSummon " &amp;CHAR(34) &amp; H399&amp;CHAR(34)&amp; " 120"</f>
        <v>admincheat GMSummon "Sauropod_Character_BP_Spirit_C" 120</v>
      </c>
      <c r="K399" s="7" t="s">
        <v>1181</v>
      </c>
      <c r="L399" s="8" t="str">
        <f t="shared" ref="L399:L410" si="73">IF(K399&lt;&gt;"","cheat SpawnDino "&amp;CHAR(34)&amp;"Blueprint'"&amp;K399&amp;"'"&amp;CHAR(34)&amp;" 150 0 0 35","")</f>
        <v>cheat SpawnDino "Blueprint'/PrimalChaos/1Dinos/7SpiritAndChaos/Spirit/Bronto/Sauropod_Character_BP_Spirit.Sauropod_Character_BP_Spirit'" 150 0 0 35</v>
      </c>
      <c r="M399" s="8" t="str">
        <f t="shared" ref="M399:M410" si="74">"NPCReplacements=(FromClassName="&amp;CHAR(34)&amp;H399&amp;""&amp;CHAR(34)&amp;",ToClassName="&amp;CHAR(34)&amp;CHAR(34)&amp;")"</f>
        <v>NPCReplacements=(FromClassName="Sauropod_Character_BP_Spirit_C",ToClassName="")</v>
      </c>
      <c r="N399" s="2"/>
    </row>
    <row r="400">
      <c r="B400" s="6"/>
      <c r="C400" s="4"/>
      <c r="D400" s="4"/>
      <c r="E400" s="9" t="s">
        <v>1182</v>
      </c>
      <c r="F400" s="9" t="s">
        <v>1178</v>
      </c>
      <c r="G400" s="10"/>
      <c r="H400" s="9" t="s">
        <v>1183</v>
      </c>
      <c r="I400" s="10" t="str">
        <f t="shared" si="71"/>
        <v>cheat summon Carno_Character_BP_Spirit_C</v>
      </c>
      <c r="J400" s="10" t="str">
        <f t="shared" si="72"/>
        <v>admincheat GMSummon "Carno_Character_BP_Spirit_C" 120</v>
      </c>
      <c r="K400" s="9" t="s">
        <v>1184</v>
      </c>
      <c r="L400" s="10" t="str">
        <f t="shared" si="73"/>
        <v>cheat SpawnDino "Blueprint'/PrimalChaos/1Dinos/7SpiritAndChaos/Spirit/carno/Carno_Character_BP_Spirit.Carno_Character_BP_Spirit'" 150 0 0 35</v>
      </c>
      <c r="M400" s="10" t="str">
        <f t="shared" si="74"/>
        <v>NPCReplacements=(FromClassName="Carno_Character_BP_Spirit_C",ToClassName="")</v>
      </c>
      <c r="N400" s="2"/>
    </row>
    <row r="401">
      <c r="B401" s="6"/>
      <c r="C401" s="4"/>
      <c r="D401" s="4"/>
      <c r="E401" s="7" t="s">
        <v>1185</v>
      </c>
      <c r="F401" s="7" t="s">
        <v>1178</v>
      </c>
      <c r="G401" s="8"/>
      <c r="H401" s="7" t="s">
        <v>1186</v>
      </c>
      <c r="I401" s="8" t="str">
        <f t="shared" si="71"/>
        <v>cheat summon Spirit_DodoRex_Character_BP_C</v>
      </c>
      <c r="J401" s="8" t="str">
        <f t="shared" si="72"/>
        <v>admincheat GMSummon "Spirit_DodoRex_Character_BP_C" 120</v>
      </c>
      <c r="K401" s="7" t="s">
        <v>1187</v>
      </c>
      <c r="L401" s="8" t="str">
        <f t="shared" si="73"/>
        <v>cheat SpawnDino "Blueprint'/PrimalChaos/1Dinos/7SpiritAndChaos/Spirit/Dodorex/Spirit_DodoRex_Character_BP.Spirit_DodoRex_Character_BP'" 150 0 0 35</v>
      </c>
      <c r="M401" s="8" t="str">
        <f t="shared" si="74"/>
        <v>NPCReplacements=(FromClassName="Spirit_DodoRex_Character_BP_C",ToClassName="")</v>
      </c>
      <c r="N401" s="2"/>
    </row>
    <row r="402">
      <c r="B402" s="6"/>
      <c r="C402" s="4"/>
      <c r="D402" s="4"/>
      <c r="E402" s="9" t="s">
        <v>1188</v>
      </c>
      <c r="F402" s="9" t="s">
        <v>1178</v>
      </c>
      <c r="G402" s="10"/>
      <c r="H402" s="9" t="s">
        <v>1189</v>
      </c>
      <c r="I402" s="10" t="str">
        <f t="shared" si="71"/>
        <v>cheat summon Gigant_Character_BP_Spirit_C</v>
      </c>
      <c r="J402" s="10" t="str">
        <f t="shared" si="72"/>
        <v>admincheat GMSummon "Gigant_Character_BP_Spirit_C" 120</v>
      </c>
      <c r="K402" s="9" t="s">
        <v>1190</v>
      </c>
      <c r="L402" s="10" t="str">
        <f t="shared" si="73"/>
        <v>cheat SpawnDino "Blueprint'/PrimalChaos/1Dinos/7SpiritAndChaos/Spirit/giga/Gigant_Character_BP_Spirit.Gigant_Character_BP_Spirit'" 150 0 0 35</v>
      </c>
      <c r="M402" s="10" t="str">
        <f t="shared" si="74"/>
        <v>NPCReplacements=(FromClassName="Gigant_Character_BP_Spirit_C",ToClassName="")</v>
      </c>
      <c r="N402" s="2"/>
    </row>
    <row r="403">
      <c r="B403" s="6"/>
      <c r="C403" s="4"/>
      <c r="D403" s="4"/>
      <c r="E403" s="7" t="s">
        <v>1191</v>
      </c>
      <c r="F403" s="7" t="s">
        <v>1178</v>
      </c>
      <c r="G403" s="8"/>
      <c r="H403" s="7" t="s">
        <v>1192</v>
      </c>
      <c r="I403" s="8" t="str">
        <f t="shared" si="71"/>
        <v>cheat summon Spirit_Indom_Character_BP_C</v>
      </c>
      <c r="J403" s="8" t="str">
        <f t="shared" si="72"/>
        <v>admincheat GMSummon "Spirit_Indom_Character_BP_C" 120</v>
      </c>
      <c r="K403" s="7" t="s">
        <v>1193</v>
      </c>
      <c r="L403" s="8" t="str">
        <f t="shared" si="73"/>
        <v>cheat SpawnDino "Blueprint'/PrimalChaos/1Dinos/7SpiritAndChaos/Spirit/Indom/Spirit_Indom_Character_BP.Spirit_Indom_Character_BP'" 150 0 0 35</v>
      </c>
      <c r="M403" s="8" t="str">
        <f t="shared" si="74"/>
        <v>NPCReplacements=(FromClassName="Spirit_Indom_Character_BP_C",ToClassName="")</v>
      </c>
      <c r="N403" s="2"/>
    </row>
    <row r="404">
      <c r="B404" s="6"/>
      <c r="C404" s="4"/>
      <c r="D404" s="4"/>
      <c r="E404" s="9" t="s">
        <v>1194</v>
      </c>
      <c r="F404" s="9" t="s">
        <v>1178</v>
      </c>
      <c r="G404" s="10"/>
      <c r="H404" s="9" t="s">
        <v>1195</v>
      </c>
      <c r="I404" s="10" t="str">
        <f t="shared" si="71"/>
        <v>cheat summon Jerboa_Character_BP_Spirit_C</v>
      </c>
      <c r="J404" s="10" t="str">
        <f t="shared" si="72"/>
        <v>admincheat GMSummon "Jerboa_Character_BP_Spirit_C" 120</v>
      </c>
      <c r="K404" s="9" t="s">
        <v>1196</v>
      </c>
      <c r="L404" s="10" t="str">
        <f t="shared" si="73"/>
        <v>cheat SpawnDino "Blueprint'/PrimalChaos/1Dinos/7SpiritAndChaos/Spirit/jerboa/Jerboa_Character_BP_Spirit.Jerboa_Character_BP_Spirit'" 150 0 0 35</v>
      </c>
      <c r="M404" s="10" t="str">
        <f t="shared" si="74"/>
        <v>NPCReplacements=(FromClassName="Jerboa_Character_BP_Spirit_C",ToClassName="")</v>
      </c>
      <c r="N404" s="2"/>
    </row>
    <row r="405">
      <c r="B405" s="6"/>
      <c r="C405" s="4"/>
      <c r="D405" s="4"/>
      <c r="E405" s="7" t="s">
        <v>1197</v>
      </c>
      <c r="F405" s="7" t="s">
        <v>1178</v>
      </c>
      <c r="G405" s="26" t="s">
        <v>693</v>
      </c>
      <c r="H405" s="7" t="s">
        <v>1198</v>
      </c>
      <c r="I405" s="8" t="str">
        <f t="shared" si="71"/>
        <v>cheat summon Quetz_Character_BP_Spirit_C</v>
      </c>
      <c r="J405" s="8" t="str">
        <f t="shared" si="72"/>
        <v>admincheat GMSummon "Quetz_Character_BP_Spirit_C" 120</v>
      </c>
      <c r="K405" s="7" t="s">
        <v>1199</v>
      </c>
      <c r="L405" s="8" t="str">
        <f t="shared" si="73"/>
        <v>cheat SpawnDino "Blueprint'/PrimalChaos/1Dinos/7SpiritAndChaos/Spirit/quetz/Quetz_Character_BP_Spirit.Quetz_Character_BP_Spirit'" 150 0 0 35</v>
      </c>
      <c r="M405" s="8" t="str">
        <f t="shared" si="74"/>
        <v>NPCReplacements=(FromClassName="Quetz_Character_BP_Spirit_C",ToClassName="")</v>
      </c>
      <c r="N405" s="2"/>
    </row>
    <row r="406">
      <c r="B406" s="6"/>
      <c r="C406" s="4"/>
      <c r="D406" s="4"/>
      <c r="E406" s="9" t="s">
        <v>1200</v>
      </c>
      <c r="F406" s="9" t="s">
        <v>1178</v>
      </c>
      <c r="G406" s="10"/>
      <c r="H406" s="9" t="s">
        <v>1201</v>
      </c>
      <c r="I406" s="10" t="str">
        <f t="shared" si="71"/>
        <v>cheat summon Raptor_Character_BP_Spirit_C</v>
      </c>
      <c r="J406" s="10" t="str">
        <f t="shared" si="72"/>
        <v>admincheat GMSummon "Raptor_Character_BP_Spirit_C" 120</v>
      </c>
      <c r="K406" s="9" t="s">
        <v>1202</v>
      </c>
      <c r="L406" s="10" t="str">
        <f t="shared" si="73"/>
        <v>cheat SpawnDino "Blueprint'/PrimalChaos/1Dinos/7SpiritAndChaos/Spirit/raptor/Raptor_Character_BP_Spirit.Raptor_Character_BP_Spirit'" 150 0 0 35</v>
      </c>
      <c r="M406" s="10" t="str">
        <f t="shared" si="74"/>
        <v>NPCReplacements=(FromClassName="Raptor_Character_BP_Spirit_C",ToClassName="")</v>
      </c>
      <c r="N406" s="2"/>
    </row>
    <row r="407">
      <c r="B407" s="6"/>
      <c r="C407" s="4"/>
      <c r="D407" s="4"/>
      <c r="E407" s="7" t="s">
        <v>1203</v>
      </c>
      <c r="F407" s="7" t="s">
        <v>1178</v>
      </c>
      <c r="G407" s="8"/>
      <c r="H407" s="7" t="s">
        <v>1204</v>
      </c>
      <c r="I407" s="8" t="str">
        <f t="shared" si="71"/>
        <v>cheat summon Spirit_Rex_Character_BP_C</v>
      </c>
      <c r="J407" s="8" t="str">
        <f t="shared" si="72"/>
        <v>admincheat GMSummon "Spirit_Rex_Character_BP_C" 120</v>
      </c>
      <c r="K407" s="7" t="s">
        <v>1205</v>
      </c>
      <c r="L407" s="8" t="str">
        <f t="shared" si="73"/>
        <v>cheat SpawnDino "Blueprint'/PrimalChaos/1Dinos/7SpiritAndChaos/Spirit/Rex/Spirit_Rex_Character_BP.Spirit_Rex_Character_BP'" 150 0 0 35</v>
      </c>
      <c r="M407" s="8" t="str">
        <f t="shared" si="74"/>
        <v>NPCReplacements=(FromClassName="Spirit_Rex_Character_BP_C",ToClassName="")</v>
      </c>
      <c r="N407" s="2"/>
    </row>
    <row r="408">
      <c r="B408" s="6"/>
      <c r="C408" s="4">
        <v>260.0</v>
      </c>
      <c r="D408" s="4">
        <f>IF(F408="Beta",1)+IF(F408="Alpha",2)+IF(F408="Electric",3)+IF(F408="Volcanic",3)+IF(F408="Hydro",3)+IF(F408="Shadow",4)+IF(F408="Fairy",4)+IF(F408="Mythic",5)+IF(F408="Legendary",5)+IF(F408="Demonic",6)+IF(F408="Angelic",6)+IF(F408="Jester",7)+IF(F408="Nightmare",8)+IF(F408="Vanilla",9)+IF(F408="Boss",8)</f>
        <v>0</v>
      </c>
      <c r="E408" s="9" t="s">
        <v>1206</v>
      </c>
      <c r="F408" s="9" t="s">
        <v>1178</v>
      </c>
      <c r="G408" s="12"/>
      <c r="H408" s="9" t="s">
        <v>1207</v>
      </c>
      <c r="I408" s="10" t="str">
        <f t="shared" si="71"/>
        <v>cheat summon Stego_Character_BP_Spirit_C</v>
      </c>
      <c r="J408" s="10" t="str">
        <f t="shared" si="72"/>
        <v>admincheat GMSummon "Stego_Character_BP_Spirit_C" 120</v>
      </c>
      <c r="K408" s="9" t="s">
        <v>1208</v>
      </c>
      <c r="L408" s="10" t="str">
        <f t="shared" si="73"/>
        <v>cheat SpawnDino "Blueprint'/PrimalChaos/1Dinos/7SpiritAndChaos/Spirit/stego/Stego_Character_BP_Spirit.Stego_Character_BP_Spirit'" 150 0 0 35</v>
      </c>
      <c r="M408" s="10" t="str">
        <f t="shared" si="74"/>
        <v>NPCReplacements=(FromClassName="Stego_Character_BP_Spirit_C",ToClassName="")</v>
      </c>
      <c r="N408" s="2"/>
    </row>
    <row r="409">
      <c r="B409" s="6"/>
      <c r="C409" s="4"/>
      <c r="D409" s="4"/>
      <c r="E409" s="7" t="s">
        <v>1209</v>
      </c>
      <c r="F409" s="7" t="s">
        <v>1178</v>
      </c>
      <c r="G409" s="8"/>
      <c r="H409" s="7" t="s">
        <v>1210</v>
      </c>
      <c r="I409" s="8" t="str">
        <f t="shared" si="71"/>
        <v>cheat summon Trike_Character_BP_Spirit_C</v>
      </c>
      <c r="J409" s="8" t="str">
        <f t="shared" si="72"/>
        <v>admincheat GMSummon "Trike_Character_BP_Spirit_C" 120</v>
      </c>
      <c r="K409" s="7" t="s">
        <v>1211</v>
      </c>
      <c r="L409" s="8" t="str">
        <f t="shared" si="73"/>
        <v>cheat SpawnDino "Blueprint'/PrimalChaos/1Dinos/7SpiritAndChaos/Spirit/trike/Trike_Character_BP_Spirit.Trike_Character_BP_Spirit'" 150 0 0 35</v>
      </c>
      <c r="M409" s="8" t="str">
        <f t="shared" si="74"/>
        <v>NPCReplacements=(FromClassName="Trike_Character_BP_Spirit_C",ToClassName="")</v>
      </c>
      <c r="N409" s="2"/>
    </row>
    <row r="410">
      <c r="B410" s="13"/>
      <c r="C410" s="4"/>
      <c r="D410" s="4"/>
      <c r="E410" s="9" t="s">
        <v>1212</v>
      </c>
      <c r="F410" s="9" t="s">
        <v>1178</v>
      </c>
      <c r="G410" s="10"/>
      <c r="H410" s="9" t="s">
        <v>1213</v>
      </c>
      <c r="I410" s="10" t="str">
        <f t="shared" si="71"/>
        <v>cheat summon Spirit_Wyvern_Character_BP_Base_C</v>
      </c>
      <c r="J410" s="10" t="str">
        <f t="shared" si="72"/>
        <v>admincheat GMSummon "Spirit_Wyvern_Character_BP_Base_C" 120</v>
      </c>
      <c r="K410" s="9" t="s">
        <v>1214</v>
      </c>
      <c r="L410" s="10" t="str">
        <f t="shared" si="73"/>
        <v>cheat SpawnDino "Blueprint'/PrimalChaos/1Dinos/7SpiritAndChaos/Spirit/Wyvern/Spirit_Wyvern_Character_BP_Base.Spirit_Wyvern_Character_BP_Base'" 150 0 0 35</v>
      </c>
      <c r="M410" s="10" t="str">
        <f t="shared" si="74"/>
        <v>NPCReplacements=(FromClassName="Spirit_Wyvern_Character_BP_Base_C",ToClassName="")</v>
      </c>
      <c r="N410" s="2"/>
    </row>
    <row r="411">
      <c r="B411" s="51"/>
      <c r="C411" s="15"/>
      <c r="D411" s="15"/>
      <c r="E411" s="16"/>
      <c r="F411" s="16"/>
      <c r="G411" s="16"/>
      <c r="H411" s="16"/>
      <c r="I411" s="16"/>
      <c r="J411" s="16"/>
      <c r="K411" s="16"/>
      <c r="L411" s="16"/>
      <c r="M411" s="16"/>
      <c r="N411" s="2"/>
    </row>
    <row r="412">
      <c r="B412" s="52" t="s">
        <v>1215</v>
      </c>
      <c r="C412" s="4"/>
      <c r="D412" s="4"/>
      <c r="E412" s="9" t="s">
        <v>1216</v>
      </c>
      <c r="F412" s="9" t="s">
        <v>1217</v>
      </c>
      <c r="G412" s="10"/>
      <c r="H412" s="9" t="s">
        <v>1218</v>
      </c>
      <c r="I412" s="10" t="str">
        <f t="shared" ref="I412:I420" si="75">"cheat summon "&amp;H412</f>
        <v>cheat summon Chaos_DodoRex_Character_BP_C</v>
      </c>
      <c r="J412" s="10" t="str">
        <f t="shared" ref="J412:J420" si="76"> "admincheat GMSummon " &amp;CHAR(34) &amp; H412&amp;CHAR(34)&amp; " 120"</f>
        <v>admincheat GMSummon "Chaos_DodoRex_Character_BP_C" 120</v>
      </c>
      <c r="K412" s="9" t="s">
        <v>1219</v>
      </c>
      <c r="L412" s="10" t="str">
        <f t="shared" ref="L412:L420" si="77">IF(K412&lt;&gt;"","cheat SpawnDino "&amp;CHAR(34)&amp;"Blueprint'"&amp;K412&amp;"'"&amp;CHAR(34)&amp;" 150 0 0 35","")</f>
        <v>cheat SpawnDino "Blueprint'/PrimalChaos/1Dinos/7SpiritAndChaos/Chaos/Dodorex/Chaos_DodoRex_Character_BP.Chaos_DodoRex_Character_BP'" 150 0 0 35</v>
      </c>
      <c r="M412" s="10" t="str">
        <f t="shared" ref="M412:M420" si="78">"NPCReplacements=(FromClassName="&amp;CHAR(34)&amp;H412&amp;""&amp;CHAR(34)&amp;",ToClassName="&amp;CHAR(34)&amp;CHAR(34)&amp;")"</f>
        <v>NPCReplacements=(FromClassName="Chaos_DodoRex_Character_BP_C",ToClassName="")</v>
      </c>
      <c r="N412" s="2"/>
    </row>
    <row r="413">
      <c r="B413" s="6"/>
      <c r="C413" s="4"/>
      <c r="D413" s="4"/>
      <c r="E413" s="7" t="s">
        <v>1220</v>
      </c>
      <c r="F413" s="7" t="s">
        <v>1217</v>
      </c>
      <c r="G413" s="8"/>
      <c r="H413" s="7" t="s">
        <v>1221</v>
      </c>
      <c r="I413" s="8" t="str">
        <f t="shared" si="75"/>
        <v>cheat summon Chaos_Griffin_Character_BP_C</v>
      </c>
      <c r="J413" s="8" t="str">
        <f t="shared" si="76"/>
        <v>admincheat GMSummon "Chaos_Griffin_Character_BP_C" 120</v>
      </c>
      <c r="K413" s="7" t="s">
        <v>1222</v>
      </c>
      <c r="L413" s="8" t="str">
        <f t="shared" si="77"/>
        <v>cheat SpawnDino "Blueprint'/PrimalChaos/1Dinos/7SpiritAndChaos/Chaos/Griffin/Chaos_Griffin_Character_BP.Chaos_Griffin_Character_BP'" 150 0 0 35</v>
      </c>
      <c r="M413" s="8" t="str">
        <f t="shared" si="78"/>
        <v>NPCReplacements=(FromClassName="Chaos_Griffin_Character_BP_C",ToClassName="")</v>
      </c>
      <c r="N413" s="2"/>
    </row>
    <row r="414">
      <c r="B414" s="6"/>
      <c r="C414" s="4"/>
      <c r="D414" s="4"/>
      <c r="E414" s="9" t="s">
        <v>1223</v>
      </c>
      <c r="F414" s="9" t="s">
        <v>1217</v>
      </c>
      <c r="G414" s="10"/>
      <c r="H414" s="9" t="s">
        <v>1224</v>
      </c>
      <c r="I414" s="10" t="str">
        <f t="shared" si="75"/>
        <v>cheat summon Chaos_Indom_Character_BP_C</v>
      </c>
      <c r="J414" s="10" t="str">
        <f t="shared" si="76"/>
        <v>admincheat GMSummon "Chaos_Indom_Character_BP_C" 120</v>
      </c>
      <c r="K414" s="9" t="s">
        <v>1225</v>
      </c>
      <c r="L414" s="10" t="str">
        <f t="shared" si="77"/>
        <v>cheat SpawnDino "Blueprint'/PrimalChaos/1Dinos/7SpiritAndChaos/Chaos/Indom/Chaos_Indom_Character_BP.Chaos_Indom_Character_BP'" 150 0 0 35</v>
      </c>
      <c r="M414" s="10" t="str">
        <f t="shared" si="78"/>
        <v>NPCReplacements=(FromClassName="Chaos_Indom_Character_BP_C",ToClassName="")</v>
      </c>
      <c r="N414" s="2"/>
    </row>
    <row r="415">
      <c r="B415" s="6"/>
      <c r="C415" s="4"/>
      <c r="D415" s="4"/>
      <c r="E415" s="7" t="s">
        <v>1226</v>
      </c>
      <c r="F415" s="7" t="s">
        <v>1217</v>
      </c>
      <c r="G415" s="8"/>
      <c r="H415" s="7" t="s">
        <v>1227</v>
      </c>
      <c r="I415" s="8" t="str">
        <f t="shared" si="75"/>
        <v>cheat summon Chaos_Rex_Character_BP_C</v>
      </c>
      <c r="J415" s="8" t="str">
        <f t="shared" si="76"/>
        <v>admincheat GMSummon "Chaos_Rex_Character_BP_C" 120</v>
      </c>
      <c r="K415" s="7" t="s">
        <v>1228</v>
      </c>
      <c r="L415" s="8" t="str">
        <f t="shared" si="77"/>
        <v>cheat SpawnDino "Blueprint'/PrimalChaos/1Dinos/7SpiritAndChaos/Chaos/Rex/Chaos_Rex_Character_BP.Chaos_Rex_Character_BP'" 150 0 0 35</v>
      </c>
      <c r="M415" s="8" t="str">
        <f t="shared" si="78"/>
        <v>NPCReplacements=(FromClassName="Chaos_Rex_Character_BP_C",ToClassName="")</v>
      </c>
      <c r="N415" s="2"/>
    </row>
    <row r="416">
      <c r="B416" s="6"/>
      <c r="C416" s="4"/>
      <c r="D416" s="4"/>
      <c r="E416" s="9" t="s">
        <v>1229</v>
      </c>
      <c r="F416" s="9" t="s">
        <v>1217</v>
      </c>
      <c r="G416" s="10"/>
      <c r="H416" s="9" t="s">
        <v>1230</v>
      </c>
      <c r="I416" s="10" t="str">
        <f t="shared" si="75"/>
        <v>cheat summon Chaos_RockDrake_Character_BP_C</v>
      </c>
      <c r="J416" s="10" t="str">
        <f t="shared" si="76"/>
        <v>admincheat GMSummon "Chaos_RockDrake_Character_BP_C" 120</v>
      </c>
      <c r="K416" s="9" t="s">
        <v>1231</v>
      </c>
      <c r="L416" s="10" t="str">
        <f t="shared" si="77"/>
        <v>cheat SpawnDino "Blueprint'/PrimalChaos/1Dinos/7SpiritAndChaos/Chaos/Rockdrake/Chaos_RockDrake_Character_BP.Chaos_RockDrake_Character_BP'" 150 0 0 35</v>
      </c>
      <c r="M416" s="10" t="str">
        <f t="shared" si="78"/>
        <v>NPCReplacements=(FromClassName="Chaos_RockDrake_Character_BP_C",ToClassName="")</v>
      </c>
      <c r="N416" s="2"/>
    </row>
    <row r="417">
      <c r="B417" s="6"/>
      <c r="C417" s="4"/>
      <c r="D417" s="4"/>
      <c r="E417" s="7" t="s">
        <v>1232</v>
      </c>
      <c r="F417" s="7" t="s">
        <v>1217</v>
      </c>
      <c r="G417" s="8"/>
      <c r="H417" s="7" t="s">
        <v>1233</v>
      </c>
      <c r="I417" s="8" t="str">
        <f t="shared" si="75"/>
        <v>cheat summon Chaos_Spino_Character_BP_C</v>
      </c>
      <c r="J417" s="8" t="str">
        <f t="shared" si="76"/>
        <v>admincheat GMSummon "Chaos_Spino_Character_BP_C" 120</v>
      </c>
      <c r="K417" s="7" t="s">
        <v>1234</v>
      </c>
      <c r="L417" s="8" t="str">
        <f t="shared" si="77"/>
        <v>cheat SpawnDino "Blueprint'/PrimalChaos/1Dinos/7SpiritAndChaos/Chaos/Spino/Chaos_Spino_Character_BP.Chaos_Spino_Character_BP'" 150 0 0 35</v>
      </c>
      <c r="M417" s="8" t="str">
        <f t="shared" si="78"/>
        <v>NPCReplacements=(FromClassName="Chaos_Spino_Character_BP_C",ToClassName="")</v>
      </c>
      <c r="N417" s="2"/>
    </row>
    <row r="418">
      <c r="B418" s="6"/>
      <c r="C418" s="4"/>
      <c r="D418" s="4"/>
      <c r="E418" s="9" t="s">
        <v>1235</v>
      </c>
      <c r="F418" s="9" t="s">
        <v>1217</v>
      </c>
      <c r="G418" s="10"/>
      <c r="H418" s="9" t="s">
        <v>1236</v>
      </c>
      <c r="I418" s="10" t="str">
        <f t="shared" si="75"/>
        <v>cheat summon Chaos_Therizino_Character_BP_C</v>
      </c>
      <c r="J418" s="10" t="str">
        <f t="shared" si="76"/>
        <v>admincheat GMSummon "Chaos_Therizino_Character_BP_C" 120</v>
      </c>
      <c r="K418" s="9" t="s">
        <v>1237</v>
      </c>
      <c r="L418" s="10" t="str">
        <f t="shared" si="77"/>
        <v>cheat SpawnDino "Blueprint'/PrimalChaos/1Dinos/7SpiritAndChaos/Chaos/Theri/Chaos_Therizino_Character_BP.Chaos_Therizino_Character_BP'" 150 0 0 35</v>
      </c>
      <c r="M418" s="10" t="str">
        <f t="shared" si="78"/>
        <v>NPCReplacements=(FromClassName="Chaos_Therizino_Character_BP_C",ToClassName="")</v>
      </c>
      <c r="N418" s="2"/>
    </row>
    <row r="419">
      <c r="B419" s="6"/>
      <c r="C419" s="4"/>
      <c r="D419" s="4"/>
      <c r="E419" s="7" t="s">
        <v>1238</v>
      </c>
      <c r="F419" s="7" t="s">
        <v>1217</v>
      </c>
      <c r="G419" s="8"/>
      <c r="H419" s="7" t="s">
        <v>1239</v>
      </c>
      <c r="I419" s="8" t="str">
        <f t="shared" si="75"/>
        <v>cheat summon Chaos_Thylacoleo_Character_BP_C</v>
      </c>
      <c r="J419" s="8" t="str">
        <f t="shared" si="76"/>
        <v>admincheat GMSummon "Chaos_Thylacoleo_Character_BP_C" 120</v>
      </c>
      <c r="K419" s="7" t="s">
        <v>1240</v>
      </c>
      <c r="L419" s="8" t="str">
        <f t="shared" si="77"/>
        <v>cheat SpawnDino "Blueprint'/PrimalChaos/1Dinos/7SpiritAndChaos/Chaos/Thyla/Chaos_Thylacoleo_Character_BP.Chaos_Thylacoleo_Character_BP'" 150 0 0 35</v>
      </c>
      <c r="M419" s="8" t="str">
        <f t="shared" si="78"/>
        <v>NPCReplacements=(FromClassName="Chaos_Thylacoleo_Character_BP_C",ToClassName="")</v>
      </c>
      <c r="N419" s="2"/>
    </row>
    <row r="420">
      <c r="B420" s="13"/>
      <c r="C420" s="4"/>
      <c r="D420" s="4"/>
      <c r="E420" s="9" t="s">
        <v>1241</v>
      </c>
      <c r="F420" s="9" t="s">
        <v>1217</v>
      </c>
      <c r="G420" s="10"/>
      <c r="H420" s="9" t="s">
        <v>1242</v>
      </c>
      <c r="I420" s="10" t="str">
        <f t="shared" si="75"/>
        <v>cheat summon Chaos_Wyvern_Character_BP_Base_C</v>
      </c>
      <c r="J420" s="10" t="str">
        <f t="shared" si="76"/>
        <v>admincheat GMSummon "Chaos_Wyvern_Character_BP_Base_C" 120</v>
      </c>
      <c r="K420" s="9" t="s">
        <v>1243</v>
      </c>
      <c r="L420" s="10" t="str">
        <f t="shared" si="77"/>
        <v>cheat SpawnDino "Blueprint'/PrimalChaos/1Dinos/7SpiritAndChaos/Chaos/Wyvern/Chaos_Wyvern_Character_BP_Base.Chaos_Wyvern_Character_BP_Base'" 150 0 0 35</v>
      </c>
      <c r="M420" s="10" t="str">
        <f t="shared" si="78"/>
        <v>NPCReplacements=(FromClassName="Chaos_Wyvern_Character_BP_Base_C",ToClassName="")</v>
      </c>
      <c r="N420" s="2"/>
    </row>
    <row r="421">
      <c r="B421" s="51"/>
      <c r="C421" s="15"/>
      <c r="D421" s="15"/>
      <c r="E421" s="53"/>
      <c r="F421" s="53"/>
      <c r="G421" s="16"/>
      <c r="H421" s="53"/>
      <c r="I421" s="16"/>
      <c r="J421" s="16"/>
      <c r="K421" s="53"/>
      <c r="L421" s="16"/>
      <c r="M421" s="16"/>
      <c r="N421" s="2"/>
    </row>
    <row r="422">
      <c r="B422" s="54" t="s">
        <v>1244</v>
      </c>
      <c r="C422" s="4"/>
      <c r="D422" s="4"/>
      <c r="E422" s="9" t="s">
        <v>1245</v>
      </c>
      <c r="F422" s="9" t="s">
        <v>1245</v>
      </c>
      <c r="G422" s="10"/>
      <c r="H422" s="9" t="s">
        <v>1246</v>
      </c>
      <c r="I422" s="10" t="str">
        <f t="shared" ref="I422:I531" si="79">"cheat summon "&amp;H422</f>
        <v>cheat summon DeathKnight_Character_BP_C</v>
      </c>
      <c r="J422" s="10" t="str">
        <f t="shared" ref="J422:J531" si="80"> "admincheat GMSummon " &amp;CHAR(34) &amp; H422&amp;CHAR(34)&amp; " 120"</f>
        <v>admincheat GMSummon "DeathKnight_Character_BP_C" 120</v>
      </c>
      <c r="K422" s="9" t="s">
        <v>1247</v>
      </c>
      <c r="L422" s="10" t="str">
        <f t="shared" ref="L422:L531" si="81">IF(K422&lt;&gt;"","cheat SpawnDino "&amp;CHAR(34)&amp;"Blueprint'"&amp;K422&amp;"'"&amp;CHAR(34)&amp;" 150 0 0 35","")</f>
        <v>cheat SpawnDino "Blueprint'/PrimalChaos/1Bosses/Nightmares/Deathknight/DeathKnight_Character_BP.DeathKnight_Character_BP'" 150 0 0 35</v>
      </c>
      <c r="M422" s="10" t="str">
        <f t="shared" ref="M422:M531" si="82">"NPCReplacements=(FromClassName="&amp;CHAR(34)&amp;H422&amp;""&amp;CHAR(34)&amp;",ToClassName="&amp;CHAR(34)&amp;CHAR(34)&amp;")"</f>
        <v>NPCReplacements=(FromClassName="DeathKnight_Character_BP_C",ToClassName="")</v>
      </c>
      <c r="N422" s="2"/>
    </row>
    <row r="423">
      <c r="B423" s="6"/>
      <c r="C423" s="4"/>
      <c r="D423" s="4"/>
      <c r="E423" s="7" t="s">
        <v>1248</v>
      </c>
      <c r="F423" s="7" t="s">
        <v>1245</v>
      </c>
      <c r="G423" s="8"/>
      <c r="H423" s="7" t="s">
        <v>1249</v>
      </c>
      <c r="I423" s="8" t="str">
        <f t="shared" si="79"/>
        <v>cheat summon TameableDeathKnight_Character_BP_C</v>
      </c>
      <c r="J423" s="8" t="str">
        <f t="shared" si="80"/>
        <v>admincheat GMSummon "TameableDeathKnight_Character_BP_C" 120</v>
      </c>
      <c r="K423" s="7" t="s">
        <v>1250</v>
      </c>
      <c r="L423" s="8" t="str">
        <f t="shared" si="81"/>
        <v>cheat SpawnDino "Blueprint'/PrimalChaos/1Bosses/Nightmares/TameableDeathKnight/TameableDeathKnight_Character_BP.TameableDeathKnight_Character_BP'" 150 0 0 35</v>
      </c>
      <c r="M423" s="8" t="str">
        <f t="shared" si="82"/>
        <v>NPCReplacements=(FromClassName="TameableDeathKnight_Character_BP_C",ToClassName="")</v>
      </c>
      <c r="N423" s="2"/>
    </row>
    <row r="424">
      <c r="B424" s="6"/>
      <c r="C424" s="4">
        <v>216.0</v>
      </c>
      <c r="D424" s="4">
        <f t="shared" ref="D424:D432" si="83">IF(F424="Beta",1)+IF(F424="Alpha",2)+IF(F424="Electric",3)+IF(F424="Volcanic",3)+IF(F424="Hydro",3)+IF(F424="Shadow",4)+IF(F424="Fairy",4)+IF(F424="Mythic",5)+IF(F424="Legendary",5)+IF(F424="Demonic",6)+IF(F424="Angelic",6)+IF(F424="Jester",7)+IF(F424="Nightmare",8)+IF(F424="Vanilla",9)+IF(F424="Boss",8)</f>
        <v>0</v>
      </c>
      <c r="E424" s="10" t="s">
        <v>1251</v>
      </c>
      <c r="F424" s="9" t="s">
        <v>1252</v>
      </c>
      <c r="G424" s="10"/>
      <c r="H424" s="10" t="s">
        <v>1253</v>
      </c>
      <c r="I424" s="10" t="str">
        <f t="shared" si="79"/>
        <v>cheat summon ElectricBoss_Enforcer_Character_BP_C</v>
      </c>
      <c r="J424" s="10" t="str">
        <f t="shared" si="80"/>
        <v>admincheat GMSummon "ElectricBoss_Enforcer_Character_BP_C" 120</v>
      </c>
      <c r="K424" s="10" t="s">
        <v>1254</v>
      </c>
      <c r="L424" s="10" t="str">
        <f t="shared" si="81"/>
        <v>cheat SpawnDino "Blueprint'/PrimalChaos/1Bosses/ElementalBosses/GuardianElectric/ElectricBossWiLD/ElectricBoss_Enforcer_Character_BP.ElectricBoss_Enforcer_Character_BP'" 150 0 0 35</v>
      </c>
      <c r="M424" s="10" t="str">
        <f t="shared" si="82"/>
        <v>NPCReplacements=(FromClassName="ElectricBoss_Enforcer_Character_BP_C",ToClassName="")</v>
      </c>
      <c r="N424" s="2"/>
    </row>
    <row r="425">
      <c r="B425" s="6"/>
      <c r="C425" s="4">
        <v>217.0</v>
      </c>
      <c r="D425" s="4">
        <f t="shared" si="83"/>
        <v>0</v>
      </c>
      <c r="E425" s="8" t="s">
        <v>1255</v>
      </c>
      <c r="F425" s="7" t="s">
        <v>1252</v>
      </c>
      <c r="G425" s="8"/>
      <c r="H425" s="8" t="s">
        <v>1256</v>
      </c>
      <c r="I425" s="8" t="str">
        <f t="shared" si="79"/>
        <v>cheat summon ElectricBoss_Enforcer_Character_BP_Summon_C</v>
      </c>
      <c r="J425" s="8" t="str">
        <f t="shared" si="80"/>
        <v>admincheat GMSummon "ElectricBoss_Enforcer_Character_BP_Summon_C" 120</v>
      </c>
      <c r="K425" s="8" t="s">
        <v>1257</v>
      </c>
      <c r="L425" s="8" t="str">
        <f t="shared" si="81"/>
        <v>cheat SpawnDino "Blueprint'/PrimalChaos/1Bosses/ElementalBosses/GuardianElectric/ElectricBossSummon/ElectricBoss_Enforcer_Character_BP_Summon.ElectricBoss_Enforcer_Character_BP_Summon'" 150 0 0 35</v>
      </c>
      <c r="M425" s="8" t="str">
        <f t="shared" si="82"/>
        <v>NPCReplacements=(FromClassName="ElectricBoss_Enforcer_Character_BP_Summon_C",ToClassName="")</v>
      </c>
      <c r="N425" s="2"/>
    </row>
    <row r="426">
      <c r="B426" s="6"/>
      <c r="C426" s="4">
        <v>218.0</v>
      </c>
      <c r="D426" s="4">
        <f t="shared" si="83"/>
        <v>0</v>
      </c>
      <c r="E426" s="10" t="s">
        <v>1258</v>
      </c>
      <c r="F426" s="9" t="s">
        <v>1252</v>
      </c>
      <c r="G426" s="10"/>
      <c r="H426" s="10" t="s">
        <v>1259</v>
      </c>
      <c r="I426" s="10" t="str">
        <f t="shared" si="79"/>
        <v>cheat summon ElectricBoss_Enforcer_Character_BP_Tameable_C</v>
      </c>
      <c r="J426" s="10" t="str">
        <f t="shared" si="80"/>
        <v>admincheat GMSummon "ElectricBoss_Enforcer_Character_BP_Tameable_C" 120</v>
      </c>
      <c r="K426" s="10" t="s">
        <v>1260</v>
      </c>
      <c r="L426" s="10" t="str">
        <f t="shared" si="81"/>
        <v>cheat SpawnDino "Blueprint'/PrimalChaos/1Bosses/ElementalBosses/GuardianElectric/ElectricBossTameable/ElectricBoss_Enforcer_Character_BP_Tameable.ElectricBoss_Enforcer_Character_BP_Tameable'" 150 0 0 35</v>
      </c>
      <c r="M426" s="10" t="str">
        <f t="shared" si="82"/>
        <v>NPCReplacements=(FromClassName="ElectricBoss_Enforcer_Character_BP_Tameable_C",ToClassName="")</v>
      </c>
      <c r="N426" s="2"/>
    </row>
    <row r="427">
      <c r="B427" s="6"/>
      <c r="C427" s="4">
        <v>253.0</v>
      </c>
      <c r="D427" s="4">
        <f t="shared" si="83"/>
        <v>0</v>
      </c>
      <c r="E427" s="8" t="s">
        <v>1261</v>
      </c>
      <c r="F427" s="7" t="s">
        <v>1252</v>
      </c>
      <c r="G427" s="8"/>
      <c r="H427" s="8" t="s">
        <v>1262</v>
      </c>
      <c r="I427" s="8" t="str">
        <f t="shared" si="79"/>
        <v>cheat summon HydroGuardian_Character_BP_C</v>
      </c>
      <c r="J427" s="8" t="str">
        <f t="shared" si="80"/>
        <v>admincheat GMSummon "HydroGuardian_Character_BP_C" 120</v>
      </c>
      <c r="K427" s="8" t="s">
        <v>1263</v>
      </c>
      <c r="L427" s="8" t="str">
        <f t="shared" si="81"/>
        <v>cheat SpawnDino "Blueprint'/PrimalChaos/1Bosses/ElementalBosses/GuardianHydro/HydroBossWILD/HydroGuardian_Character_BP.HydroGuardian_Character_BP'" 150 0 0 35</v>
      </c>
      <c r="M427" s="8" t="str">
        <f t="shared" si="82"/>
        <v>NPCReplacements=(FromClassName="HydroGuardian_Character_BP_C",ToClassName="")</v>
      </c>
      <c r="N427" s="2"/>
    </row>
    <row r="428">
      <c r="B428" s="6"/>
      <c r="C428" s="4">
        <v>254.0</v>
      </c>
      <c r="D428" s="4">
        <f t="shared" si="83"/>
        <v>0</v>
      </c>
      <c r="E428" s="10" t="s">
        <v>1264</v>
      </c>
      <c r="F428" s="9" t="s">
        <v>1252</v>
      </c>
      <c r="G428" s="10"/>
      <c r="H428" s="10" t="s">
        <v>1265</v>
      </c>
      <c r="I428" s="10" t="str">
        <f t="shared" si="79"/>
        <v>cheat summon HydroGuardian_Character_BP_Summon_C</v>
      </c>
      <c r="J428" s="10" t="str">
        <f t="shared" si="80"/>
        <v>admincheat GMSummon "HydroGuardian_Character_BP_Summon_C" 120</v>
      </c>
      <c r="K428" s="10" t="s">
        <v>1266</v>
      </c>
      <c r="L428" s="10" t="str">
        <f t="shared" si="81"/>
        <v>cheat SpawnDino "Blueprint'/PrimalChaos/1Bosses/ElementalBosses/GuardianHydro/HydroBossSummon/HydroGuardian_Character_BP_Summon.HydroGuardian_Character_BP_Summon'" 150 0 0 35</v>
      </c>
      <c r="M428" s="10" t="str">
        <f t="shared" si="82"/>
        <v>NPCReplacements=(FromClassName="HydroGuardian_Character_BP_Summon_C",ToClassName="")</v>
      </c>
      <c r="N428" s="2"/>
    </row>
    <row r="429">
      <c r="B429" s="6"/>
      <c r="C429" s="4">
        <v>255.0</v>
      </c>
      <c r="D429" s="4">
        <f t="shared" si="83"/>
        <v>0</v>
      </c>
      <c r="E429" s="8" t="s">
        <v>1267</v>
      </c>
      <c r="F429" s="7" t="s">
        <v>1252</v>
      </c>
      <c r="G429" s="8"/>
      <c r="H429" s="8" t="s">
        <v>1268</v>
      </c>
      <c r="I429" s="8" t="str">
        <f t="shared" si="79"/>
        <v>cheat summon HydroGuardian_Character_BP_Tameable_C</v>
      </c>
      <c r="J429" s="8" t="str">
        <f t="shared" si="80"/>
        <v>admincheat GMSummon "HydroGuardian_Character_BP_Tameable_C" 120</v>
      </c>
      <c r="K429" s="8" t="s">
        <v>1269</v>
      </c>
      <c r="L429" s="8" t="str">
        <f t="shared" si="81"/>
        <v>cheat SpawnDino "Blueprint'/PrimalChaos/1Bosses/ElementalBosses/GuardianHydro/HydroBossTameable/HydroGuardian_Character_BP_Tameable.HydroGuardian_Character_BP_Tameable'" 150 0 0 35</v>
      </c>
      <c r="M429" s="8" t="str">
        <f t="shared" si="82"/>
        <v>NPCReplacements=(FromClassName="HydroGuardian_Character_BP_Tameable_C",ToClassName="")</v>
      </c>
      <c r="N429" s="2"/>
    </row>
    <row r="430">
      <c r="B430" s="6"/>
      <c r="C430" s="4">
        <v>372.0</v>
      </c>
      <c r="D430" s="4">
        <f t="shared" si="83"/>
        <v>0</v>
      </c>
      <c r="E430" s="10" t="s">
        <v>1270</v>
      </c>
      <c r="F430" s="9" t="s">
        <v>1252</v>
      </c>
      <c r="G430" s="10"/>
      <c r="H430" s="10" t="s">
        <v>1271</v>
      </c>
      <c r="I430" s="10" t="str">
        <f t="shared" si="79"/>
        <v>cheat summon VolcanicGuardian_Character_BP_C</v>
      </c>
      <c r="J430" s="10" t="str">
        <f t="shared" si="80"/>
        <v>admincheat GMSummon "VolcanicGuardian_Character_BP_C" 120</v>
      </c>
      <c r="K430" s="10" t="s">
        <v>1272</v>
      </c>
      <c r="L430" s="10" t="str">
        <f t="shared" si="81"/>
        <v>cheat SpawnDino "Blueprint'/PrimalChaos/1Bosses/ElementalBosses/GuardianVolcanic/VolcanicBossWILD/VolcanicGuardian_Character_BP.VolcanicGuardian_Character_BP'" 150 0 0 35</v>
      </c>
      <c r="M430" s="10" t="str">
        <f t="shared" si="82"/>
        <v>NPCReplacements=(FromClassName="VolcanicGuardian_Character_BP_C",ToClassName="")</v>
      </c>
      <c r="N430" s="2"/>
    </row>
    <row r="431">
      <c r="B431" s="6"/>
      <c r="C431" s="4">
        <v>373.0</v>
      </c>
      <c r="D431" s="4">
        <f t="shared" si="83"/>
        <v>0</v>
      </c>
      <c r="E431" s="8" t="s">
        <v>1273</v>
      </c>
      <c r="F431" s="7" t="s">
        <v>1252</v>
      </c>
      <c r="G431" s="8"/>
      <c r="H431" s="8" t="s">
        <v>1274</v>
      </c>
      <c r="I431" s="8" t="str">
        <f t="shared" si="79"/>
        <v>cheat summon VolcanicGuardian_Character_BP_Summon_C</v>
      </c>
      <c r="J431" s="8" t="str">
        <f t="shared" si="80"/>
        <v>admincheat GMSummon "VolcanicGuardian_Character_BP_Summon_C" 120</v>
      </c>
      <c r="K431" s="8" t="s">
        <v>1275</v>
      </c>
      <c r="L431" s="8" t="str">
        <f t="shared" si="81"/>
        <v>cheat SpawnDino "Blueprint'/PrimalChaos/1Bosses/ElementalBosses/GuardianVolcanic/VolcanicBossSummon/VolcanicGuardian_Character_BP_Summon.VolcanicGuardian_Character_BP_Summon'" 150 0 0 35</v>
      </c>
      <c r="M431" s="8" t="str">
        <f t="shared" si="82"/>
        <v>NPCReplacements=(FromClassName="VolcanicGuardian_Character_BP_Summon_C",ToClassName="")</v>
      </c>
      <c r="N431" s="2"/>
    </row>
    <row r="432">
      <c r="B432" s="6"/>
      <c r="C432" s="4">
        <v>374.0</v>
      </c>
      <c r="D432" s="4">
        <f t="shared" si="83"/>
        <v>0</v>
      </c>
      <c r="E432" s="10" t="s">
        <v>1276</v>
      </c>
      <c r="F432" s="9" t="s">
        <v>1252</v>
      </c>
      <c r="G432" s="10"/>
      <c r="H432" s="10" t="s">
        <v>1277</v>
      </c>
      <c r="I432" s="10" t="str">
        <f t="shared" si="79"/>
        <v>cheat summon VolcanicGuardian_Character_BP_Tameable_C</v>
      </c>
      <c r="J432" s="10" t="str">
        <f t="shared" si="80"/>
        <v>admincheat GMSummon "VolcanicGuardian_Character_BP_Tameable_C" 120</v>
      </c>
      <c r="K432" s="10" t="s">
        <v>1278</v>
      </c>
      <c r="L432" s="10" t="str">
        <f t="shared" si="81"/>
        <v>cheat SpawnDino "Blueprint'/PrimalChaos/1Bosses/ElementalBosses/GuardianVolcanic/VolcanicBossTameable/VolcanicGuardian_Character_BP_Tameable.VolcanicGuardian_Character_BP_Tameable'" 150 0 0 35</v>
      </c>
      <c r="M432" s="10" t="str">
        <f t="shared" si="82"/>
        <v>NPCReplacements=(FromClassName="VolcanicGuardian_Character_BP_Tameable_C",ToClassName="")</v>
      </c>
      <c r="N432" s="2"/>
    </row>
    <row r="433">
      <c r="B433" s="6"/>
      <c r="C433" s="4"/>
      <c r="D433" s="4"/>
      <c r="E433" s="38" t="s">
        <v>1279</v>
      </c>
      <c r="F433" s="7" t="s">
        <v>1091</v>
      </c>
      <c r="G433" s="8"/>
      <c r="H433" s="20" t="s">
        <v>1280</v>
      </c>
      <c r="I433" s="8" t="str">
        <f t="shared" si="79"/>
        <v>cheat summon Angelic_Shapeshifter_Large_Character_BP_C</v>
      </c>
      <c r="J433" s="8" t="str">
        <f t="shared" si="80"/>
        <v>admincheat GMSummon "Angelic_Shapeshifter_Large_Character_BP_C" 120</v>
      </c>
      <c r="K433" s="20" t="s">
        <v>1281</v>
      </c>
      <c r="L433" s="8" t="str">
        <f t="shared" si="81"/>
        <v>cheat SpawnDino "Blueprint'/PrimalChaos/1Bosses/Bosses/DemonicAndAngelicBOSS/Angelic/Angelic_Shapeshifter_Large_Character_BP.Angelic_Shapeshifter_Large_Character_BP'" 150 0 0 35</v>
      </c>
      <c r="M433" s="8" t="str">
        <f t="shared" si="82"/>
        <v>NPCReplacements=(FromClassName="Angelic_Shapeshifter_Large_Character_BP_C",ToClassName="")</v>
      </c>
      <c r="N433" s="2"/>
    </row>
    <row r="434">
      <c r="B434" s="6"/>
      <c r="C434" s="4"/>
      <c r="D434" s="4"/>
      <c r="E434" s="55" t="s">
        <v>1282</v>
      </c>
      <c r="F434" s="9" t="s">
        <v>1128</v>
      </c>
      <c r="G434" s="10"/>
      <c r="H434" s="56" t="s">
        <v>1283</v>
      </c>
      <c r="I434" s="10" t="str">
        <f t="shared" si="79"/>
        <v>cheat summon Demonic_Scorpion_Character_BP_C</v>
      </c>
      <c r="J434" s="10" t="str">
        <f t="shared" si="80"/>
        <v>admincheat GMSummon "Demonic_Scorpion_Character_BP_C" 120</v>
      </c>
      <c r="K434" s="56" t="s">
        <v>1284</v>
      </c>
      <c r="L434" s="10" t="str">
        <f t="shared" si="81"/>
        <v>cheat SpawnDino "Blueprint'/PrimalChaos/1Bosses/Bosses/DemonicAndAngelicBOSS/Demonic/Demonic_Scorpion_Character_BP.Demonic_Scorpion_Character_BP'" 150 0 0 35</v>
      </c>
      <c r="M434" s="10" t="str">
        <f t="shared" si="82"/>
        <v>NPCReplacements=(FromClassName="Demonic_Scorpion_Character_BP_C",ToClassName="")</v>
      </c>
      <c r="N434" s="2"/>
    </row>
    <row r="435">
      <c r="B435" s="6"/>
      <c r="C435" s="4"/>
      <c r="D435" s="4"/>
      <c r="E435" s="38" t="s">
        <v>1285</v>
      </c>
      <c r="F435" s="7" t="s">
        <v>1128</v>
      </c>
      <c r="G435" s="8"/>
      <c r="H435" s="57" t="s">
        <v>1286</v>
      </c>
      <c r="I435" s="8" t="str">
        <f t="shared" si="79"/>
        <v>cheat summon Demonic_Scorpion_Character_BP_Tameable_C</v>
      </c>
      <c r="J435" s="8" t="str">
        <f t="shared" si="80"/>
        <v>admincheat GMSummon "Demonic_Scorpion_Character_BP_Tameable_C" 120</v>
      </c>
      <c r="K435" s="57" t="s">
        <v>1287</v>
      </c>
      <c r="L435" s="8" t="str">
        <f t="shared" si="81"/>
        <v>cheat SpawnDino "Blueprint'/PrimalChaos/1Bosses/Bosses/DemonicAndAngelicBOSS/Demonic/Tameable/Demonic_Scorpion_Character_BP_Tameable.Demonic_Scorpion_Character_BP_Tameable'" 150 0 0 35</v>
      </c>
      <c r="M435" s="8" t="str">
        <f t="shared" si="82"/>
        <v>NPCReplacements=(FromClassName="Demonic_Scorpion_Character_BP_Tameable_C",ToClassName="")</v>
      </c>
      <c r="N435" s="2"/>
    </row>
    <row r="436">
      <c r="B436" s="6"/>
      <c r="C436" s="4"/>
      <c r="D436" s="4"/>
      <c r="E436" s="22" t="s">
        <v>1288</v>
      </c>
      <c r="F436" s="9" t="s">
        <v>1178</v>
      </c>
      <c r="G436" s="10"/>
      <c r="H436" s="22" t="s">
        <v>1289</v>
      </c>
      <c r="I436" s="10" t="str">
        <f t="shared" si="79"/>
        <v>cheat summon Spirit_Titan_Character_BP_BOSS_C</v>
      </c>
      <c r="J436" s="10" t="str">
        <f t="shared" si="80"/>
        <v>admincheat GMSummon "Spirit_Titan_Character_BP_BOSS_C" 120</v>
      </c>
      <c r="K436" s="42" t="s">
        <v>1290</v>
      </c>
      <c r="L436" s="10" t="str">
        <f t="shared" si="81"/>
        <v>cheat SpawnDino "Blueprint'/PrimalChaos/1Bosses/Bosses/SpiritAndChaosTITAN/Spirit/Spirit_Titan_Character_BP_BOSS.Spirit_Titan_Character_BP_BOSS'" 150 0 0 35</v>
      </c>
      <c r="M436" s="10" t="str">
        <f t="shared" si="82"/>
        <v>NPCReplacements=(FromClassName="Spirit_Titan_Character_BP_BOSS_C",ToClassName="")</v>
      </c>
      <c r="N436" s="2"/>
    </row>
    <row r="437">
      <c r="B437" s="6"/>
      <c r="C437" s="4"/>
      <c r="D437" s="4"/>
      <c r="E437" s="20" t="s">
        <v>1291</v>
      </c>
      <c r="F437" s="7" t="s">
        <v>1217</v>
      </c>
      <c r="G437" s="8"/>
      <c r="H437" s="20" t="s">
        <v>1292</v>
      </c>
      <c r="I437" s="8" t="str">
        <f t="shared" si="79"/>
        <v>cheat summon Chaos_Titan_Character_BP_BOSS_C</v>
      </c>
      <c r="J437" s="8" t="str">
        <f t="shared" si="80"/>
        <v>admincheat GMSummon "Chaos_Titan_Character_BP_BOSS_C" 120</v>
      </c>
      <c r="K437" s="43" t="s">
        <v>1293</v>
      </c>
      <c r="L437" s="8" t="str">
        <f t="shared" si="81"/>
        <v>cheat SpawnDino "Blueprint'/PrimalChaos/1Bosses/Bosses/SpiritAndChaosTITAN/Chaos/Chaos_Titan_Character_BP_BOSS.Chaos_Titan_Character_BP_BOSS'" 150 0 0 35</v>
      </c>
      <c r="M437" s="8" t="str">
        <f t="shared" si="82"/>
        <v>NPCReplacements=(FromClassName="Chaos_Titan_Character_BP_BOSS_C",ToClassName="")</v>
      </c>
      <c r="N437" s="2"/>
    </row>
    <row r="438">
      <c r="B438" s="6"/>
      <c r="C438" s="4"/>
      <c r="D438" s="4"/>
      <c r="E438" s="58" t="s">
        <v>1294</v>
      </c>
      <c r="F438" s="10" t="s">
        <v>1295</v>
      </c>
      <c r="G438" s="10"/>
      <c r="H438" s="59" t="s">
        <v>1296</v>
      </c>
      <c r="I438" s="10" t="str">
        <f t="shared" si="79"/>
        <v>cheat summon NightmareArgent_Character_BP_C</v>
      </c>
      <c r="J438" s="10" t="str">
        <f t="shared" si="80"/>
        <v>admincheat GMSummon "NightmareArgent_Character_BP_C" 120</v>
      </c>
      <c r="K438" s="59" t="s">
        <v>1297</v>
      </c>
      <c r="L438" s="10" t="str">
        <f t="shared" si="81"/>
        <v>cheat SpawnDino "Blueprint'/PrimalChaos/1Bosses/Bosses/DeathknightBOSS/Deathknight/Attack_Minions/Nightmares/NightmareArgent_Character_BP.NightmareArgent_Character_BP'" 150 0 0 35</v>
      </c>
      <c r="M438" s="10" t="str">
        <f t="shared" si="82"/>
        <v>NPCReplacements=(FromClassName="NightmareArgent_Character_BP_C",ToClassName="")</v>
      </c>
      <c r="N438" s="2"/>
    </row>
    <row r="439">
      <c r="B439" s="6"/>
      <c r="C439" s="4"/>
      <c r="D439" s="4"/>
      <c r="E439" s="60" t="s">
        <v>1298</v>
      </c>
      <c r="F439" s="8" t="s">
        <v>1295</v>
      </c>
      <c r="G439" s="8"/>
      <c r="H439" s="61" t="s">
        <v>1299</v>
      </c>
      <c r="I439" s="8" t="str">
        <f t="shared" si="79"/>
        <v>cheat summon NightmareArgent_Character_BP_Summon_C</v>
      </c>
      <c r="J439" s="8" t="str">
        <f t="shared" si="80"/>
        <v>admincheat GMSummon "NightmareArgent_Character_BP_Summon_C" 120</v>
      </c>
      <c r="K439" s="61" t="s">
        <v>1300</v>
      </c>
      <c r="L439" s="8" t="str">
        <f t="shared" si="81"/>
        <v>cheat SpawnDino "Blueprint'/PrimalChaos/1Bosses/Bosstiers/4Nightmare/Argy/Summon/NightmareArgent_Character_BP_Summon.NightmareArgent_Character_BP_Summon'" 150 0 0 35</v>
      </c>
      <c r="M439" s="8" t="str">
        <f t="shared" si="82"/>
        <v>NPCReplacements=(FromClassName="NightmareArgent_Character_BP_Summon_C",ToClassName="")</v>
      </c>
      <c r="N439" s="2"/>
    </row>
    <row r="440">
      <c r="B440" s="6"/>
      <c r="C440" s="4"/>
      <c r="D440" s="4"/>
      <c r="E440" s="58" t="s">
        <v>1301</v>
      </c>
      <c r="F440" s="10" t="s">
        <v>1295</v>
      </c>
      <c r="G440" s="10"/>
      <c r="H440" s="59" t="s">
        <v>1302</v>
      </c>
      <c r="I440" s="10" t="str">
        <f t="shared" si="79"/>
        <v>cheat summon NightmareArgent_Character_BP_Tameable_C</v>
      </c>
      <c r="J440" s="10" t="str">
        <f t="shared" si="80"/>
        <v>admincheat GMSummon "NightmareArgent_Character_BP_Tameable_C" 120</v>
      </c>
      <c r="K440" s="59" t="s">
        <v>1303</v>
      </c>
      <c r="L440" s="10" t="str">
        <f t="shared" si="81"/>
        <v>cheat SpawnDino "Blueprint'/PrimalChaos/1Bosses/Bosstiers/4Nightmare/Argy/Tameable/NightmareArgent_Character_BP_Tameable.NightmareArgent_Character_BP_Tameable'" 150 0 0 35</v>
      </c>
      <c r="M440" s="10" t="str">
        <f t="shared" si="82"/>
        <v>NPCReplacements=(FromClassName="NightmareArgent_Character_BP_Tameable_C",ToClassName="")</v>
      </c>
      <c r="N440" s="2"/>
    </row>
    <row r="441">
      <c r="B441" s="6"/>
      <c r="C441" s="4">
        <v>318.0</v>
      </c>
      <c r="D441" s="4">
        <f t="shared" ref="D441:D442" si="84">IF(F441="Beta",1)+IF(F441="Alpha",2)+IF(F441="Electric",3)+IF(F441="Volcanic",3)+IF(F441="Hydro",3)+IF(F441="Shadow",4)+IF(F441="Fairy",4)+IF(F441="Mythic",5)+IF(F441="Legendary",5)+IF(F441="Demonic",6)+IF(F441="Angelic",6)+IF(F441="Jester",7)+IF(F441="Nightmare",8)+IF(F441="Vanilla",9)+IF(F441="Boss",8)</f>
        <v>8</v>
      </c>
      <c r="E441" s="7" t="s">
        <v>1304</v>
      </c>
      <c r="F441" s="8" t="s">
        <v>1295</v>
      </c>
      <c r="G441" s="8"/>
      <c r="H441" s="8" t="s">
        <v>1305</v>
      </c>
      <c r="I441" s="8" t="str">
        <f t="shared" si="79"/>
        <v>cheat summon Nightmare_Carno_Character_BP_C</v>
      </c>
      <c r="J441" s="8" t="str">
        <f t="shared" si="80"/>
        <v>admincheat GMSummon "Nightmare_Carno_Character_BP_C" 120</v>
      </c>
      <c r="K441" s="8" t="s">
        <v>1306</v>
      </c>
      <c r="L441" s="8" t="str">
        <f t="shared" si="81"/>
        <v>cheat SpawnDino "Blueprint'/PrimalChaos/1Dinos/6Nightmare/Carno/Nightmare_Carno_Character_BP.Nightmare_Carno_Character_BP'" 150 0 0 35</v>
      </c>
      <c r="M441" s="8" t="str">
        <f t="shared" si="82"/>
        <v>NPCReplacements=(FromClassName="Nightmare_Carno_Character_BP_C",ToClassName="")</v>
      </c>
      <c r="N441" s="2"/>
    </row>
    <row r="442">
      <c r="B442" s="6"/>
      <c r="C442" s="4">
        <v>319.0</v>
      </c>
      <c r="D442" s="4">
        <f t="shared" si="84"/>
        <v>8</v>
      </c>
      <c r="E442" s="9" t="s">
        <v>1307</v>
      </c>
      <c r="F442" s="10" t="s">
        <v>1295</v>
      </c>
      <c r="G442" s="10"/>
      <c r="H442" s="10" t="s">
        <v>1308</v>
      </c>
      <c r="I442" s="10" t="str">
        <f t="shared" si="79"/>
        <v>cheat summon Nightmare_Carno_Character_BP_Summon_C</v>
      </c>
      <c r="J442" s="10" t="str">
        <f t="shared" si="80"/>
        <v>admincheat GMSummon "Nightmare_Carno_Character_BP_Summon_C" 120</v>
      </c>
      <c r="K442" s="10" t="s">
        <v>1309</v>
      </c>
      <c r="L442" s="10" t="str">
        <f t="shared" si="81"/>
        <v>cheat SpawnDino "Blueprint'/PrimalChaos/1Dinos/6Nightmare/Carno/Summon/Nightmare_Carno_Character_BP_Summon.Nightmare_Carno_Character_BP_Summon'" 150 0 0 35</v>
      </c>
      <c r="M442" s="10" t="str">
        <f t="shared" si="82"/>
        <v>NPCReplacements=(FromClassName="Nightmare_Carno_Character_BP_Summon_C",ToClassName="")</v>
      </c>
      <c r="N442" s="2"/>
    </row>
    <row r="443">
      <c r="B443" s="6"/>
      <c r="C443" s="4"/>
      <c r="D443" s="4"/>
      <c r="E443" s="20" t="s">
        <v>1310</v>
      </c>
      <c r="F443" s="7" t="s">
        <v>1311</v>
      </c>
      <c r="G443" s="21"/>
      <c r="H443" s="20" t="s">
        <v>1312</v>
      </c>
      <c r="I443" s="8" t="str">
        <f t="shared" si="79"/>
        <v>cheat summon Nightmare_Carno_Character_BP_Tameable_C</v>
      </c>
      <c r="J443" s="8" t="str">
        <f t="shared" si="80"/>
        <v>admincheat GMSummon "Nightmare_Carno_Character_BP_Tameable_C" 120</v>
      </c>
      <c r="K443" s="20" t="s">
        <v>1313</v>
      </c>
      <c r="L443" s="8" t="str">
        <f t="shared" si="81"/>
        <v>cheat SpawnDino "Blueprint'/PrimalChaos/1Bosses/Bosstiers/4Nightmare/Carno/Tameable/Nightmare_Carno_Character_BP_Tameable.Nightmare_Carno_Character_BP_Tameable'" 150 0 0 35</v>
      </c>
      <c r="M443" s="8" t="str">
        <f t="shared" si="82"/>
        <v>NPCReplacements=(FromClassName="Nightmare_Carno_Character_BP_Tameable_C",ToClassName="")</v>
      </c>
      <c r="N443" s="2"/>
    </row>
    <row r="444">
      <c r="B444" s="6"/>
      <c r="C444" s="4"/>
      <c r="D444" s="4"/>
      <c r="E444" s="55" t="s">
        <v>1314</v>
      </c>
      <c r="F444" s="10" t="s">
        <v>1295</v>
      </c>
      <c r="G444" s="23"/>
      <c r="H444" s="56" t="s">
        <v>1315</v>
      </c>
      <c r="I444" s="10" t="str">
        <f t="shared" si="79"/>
        <v>cheat summon NightmareDirebear_Character_BP_C</v>
      </c>
      <c r="J444" s="10" t="str">
        <f t="shared" si="80"/>
        <v>admincheat GMSummon "NightmareDirebear_Character_BP_C" 120</v>
      </c>
      <c r="K444" s="56" t="s">
        <v>1316</v>
      </c>
      <c r="L444" s="10" t="str">
        <f t="shared" si="81"/>
        <v>cheat SpawnDino "Blueprint'/PrimalChaos/1Bosses/Bosstiers/4Nightmare/bear/NightmareDirebear_Character_BP.NightmareDirebear_Character_BP'" 150 0 0 35</v>
      </c>
      <c r="M444" s="10" t="str">
        <f t="shared" si="82"/>
        <v>NPCReplacements=(FromClassName="NightmareDirebear_Character_BP_C",ToClassName="")</v>
      </c>
      <c r="N444" s="2"/>
    </row>
    <row r="445">
      <c r="B445" s="6"/>
      <c r="C445" s="4"/>
      <c r="D445" s="4"/>
      <c r="E445" s="38" t="s">
        <v>1317</v>
      </c>
      <c r="F445" s="8" t="s">
        <v>1295</v>
      </c>
      <c r="G445" s="21"/>
      <c r="H445" s="57" t="s">
        <v>1318</v>
      </c>
      <c r="I445" s="8" t="str">
        <f t="shared" si="79"/>
        <v>cheat summon NightmareDirebear_Character_BP_Summon_C</v>
      </c>
      <c r="J445" s="8" t="str">
        <f t="shared" si="80"/>
        <v>admincheat GMSummon "NightmareDirebear_Character_BP_Summon_C" 120</v>
      </c>
      <c r="K445" s="57" t="s">
        <v>1319</v>
      </c>
      <c r="L445" s="8" t="str">
        <f t="shared" si="81"/>
        <v>cheat SpawnDino "Blueprint'/PrimalChaos/1Bosses/Bosstiers/4Nightmare/bear/Summon/NightmareDirebear_Character_BP_Summon.NightmareDirebear_Character_BP_Summon'" 150 0 0 35</v>
      </c>
      <c r="M445" s="8" t="str">
        <f t="shared" si="82"/>
        <v>NPCReplacements=(FromClassName="NightmareDirebear_Character_BP_Summon_C",ToClassName="")</v>
      </c>
      <c r="N445" s="2"/>
    </row>
    <row r="446">
      <c r="B446" s="6"/>
      <c r="C446" s="4"/>
      <c r="D446" s="4"/>
      <c r="E446" s="55" t="s">
        <v>1320</v>
      </c>
      <c r="F446" s="10" t="s">
        <v>1295</v>
      </c>
      <c r="G446" s="10"/>
      <c r="H446" s="56" t="s">
        <v>1321</v>
      </c>
      <c r="I446" s="10" t="str">
        <f t="shared" si="79"/>
        <v>cheat summon NightmareDirebear_Character_BP_Tameable_C</v>
      </c>
      <c r="J446" s="10" t="str">
        <f t="shared" si="80"/>
        <v>admincheat GMSummon "NightmareDirebear_Character_BP_Tameable_C" 120</v>
      </c>
      <c r="K446" s="56" t="s">
        <v>1322</v>
      </c>
      <c r="L446" s="10" t="str">
        <f t="shared" si="81"/>
        <v>cheat SpawnDino "Blueprint'/PrimalChaos/1Bosses/Bosstiers/4Nightmare/bear/Tameable/NightmareDirebear_Character_BP_Tameable.NightmareDirebear_Character_BP_Tameable'" 150 0 0 35</v>
      </c>
      <c r="M446" s="10" t="str">
        <f t="shared" si="82"/>
        <v>NPCReplacements=(FromClassName="NightmareDirebear_Character_BP_Tameable_C",ToClassName="")</v>
      </c>
      <c r="N446" s="2"/>
    </row>
    <row r="447">
      <c r="B447" s="6"/>
      <c r="C447" s="4"/>
      <c r="D447" s="4"/>
      <c r="E447" s="7" t="s">
        <v>1323</v>
      </c>
      <c r="F447" s="8" t="s">
        <v>1295</v>
      </c>
      <c r="G447" s="8"/>
      <c r="H447" s="7" t="s">
        <v>1324</v>
      </c>
      <c r="I447" s="8" t="str">
        <f t="shared" si="79"/>
        <v>cheat summon NightmareDodoreaper_Character_BP_C</v>
      </c>
      <c r="J447" s="8" t="str">
        <f t="shared" si="80"/>
        <v>admincheat GMSummon "NightmareDodoreaper_Character_BP_C" 120</v>
      </c>
      <c r="K447" s="7" t="s">
        <v>1325</v>
      </c>
      <c r="L447" s="8" t="str">
        <f t="shared" si="81"/>
        <v>cheat SpawnDino "Blueprint'/PrimalChaos/1Dinos/6Nightmare/DodoReaper/NightmareDodoreaper_Character_BP.NightmareDodoreaper_Character_BP'" 150 0 0 35</v>
      </c>
      <c r="M447" s="8" t="str">
        <f t="shared" si="82"/>
        <v>NPCReplacements=(FromClassName="NightmareDodoreaper_Character_BP_C",ToClassName="")</v>
      </c>
      <c r="N447" s="2"/>
    </row>
    <row r="448">
      <c r="B448" s="6"/>
      <c r="C448" s="4"/>
      <c r="D448" s="4"/>
      <c r="E448" s="22" t="s">
        <v>1326</v>
      </c>
      <c r="F448" s="10" t="s">
        <v>1295</v>
      </c>
      <c r="G448" s="10"/>
      <c r="H448" s="22" t="s">
        <v>1327</v>
      </c>
      <c r="I448" s="10" t="str">
        <f t="shared" si="79"/>
        <v>cheat summon NightmareDodoreaper_Character_BP_Tameable_C</v>
      </c>
      <c r="J448" s="10" t="str">
        <f t="shared" si="80"/>
        <v>admincheat GMSummon "NightmareDodoreaper_Character_BP_Tameable_C" 120</v>
      </c>
      <c r="K448" s="22" t="s">
        <v>1328</v>
      </c>
      <c r="L448" s="10" t="str">
        <f t="shared" si="81"/>
        <v>cheat SpawnDino "Blueprint'/PrimalChaos/1Bosses/Bosstiers/4Nightmare/DodoReaper/Tameable/NightmareDodoreaper_Character_BP_Tameable.NightmareDodoreaper_Character_BP_Tameable'" 150 0 0 35</v>
      </c>
      <c r="M448" s="10" t="str">
        <f t="shared" si="82"/>
        <v>NPCReplacements=(FromClassName="NightmareDodoreaper_Character_BP_Tameable_C",ToClassName="")</v>
      </c>
      <c r="N448" s="2"/>
    </row>
    <row r="449">
      <c r="B449" s="6"/>
      <c r="C449" s="4"/>
      <c r="D449" s="4"/>
      <c r="E449" s="38" t="s">
        <v>1329</v>
      </c>
      <c r="F449" s="8" t="s">
        <v>1295</v>
      </c>
      <c r="G449" s="8"/>
      <c r="H449" s="57" t="s">
        <v>1330</v>
      </c>
      <c r="I449" s="8" t="str">
        <f t="shared" si="79"/>
        <v>cheat summon NightmareKairuku_Character_BP_C</v>
      </c>
      <c r="J449" s="8" t="str">
        <f t="shared" si="80"/>
        <v>admincheat GMSummon "NightmareKairuku_Character_BP_C" 120</v>
      </c>
      <c r="K449" s="57" t="s">
        <v>1331</v>
      </c>
      <c r="L449" s="8" t="str">
        <f t="shared" si="81"/>
        <v>cheat SpawnDino "Blueprint'/PrimalChaos/1Bosses/Bosstiers/4Nightmare/Kairuku/NightmareKairuku_Character_BP.NightmareKairuku_Character_BP'" 150 0 0 35</v>
      </c>
      <c r="M449" s="8" t="str">
        <f t="shared" si="82"/>
        <v>NPCReplacements=(FromClassName="NightmareKairuku_Character_BP_C",ToClassName="")</v>
      </c>
      <c r="N449" s="2"/>
    </row>
    <row r="450">
      <c r="B450" s="6"/>
      <c r="C450" s="4"/>
      <c r="D450" s="4"/>
      <c r="E450" s="55" t="s">
        <v>1332</v>
      </c>
      <c r="F450" s="10" t="s">
        <v>1295</v>
      </c>
      <c r="G450" s="10"/>
      <c r="H450" s="56" t="s">
        <v>1333</v>
      </c>
      <c r="I450" s="10" t="str">
        <f t="shared" si="79"/>
        <v>cheat summon NightmareKairuku_Character_BP_Summon_C</v>
      </c>
      <c r="J450" s="10" t="str">
        <f t="shared" si="80"/>
        <v>admincheat GMSummon "NightmareKairuku_Character_BP_Summon_C" 120</v>
      </c>
      <c r="K450" s="56" t="s">
        <v>1334</v>
      </c>
      <c r="L450" s="10" t="str">
        <f t="shared" si="81"/>
        <v>cheat SpawnDino "Blueprint'/PrimalChaos/1Bosses/Bosstiers/4Nightmare/Kairuku/Summon/NightmareKairuku_Character_BP_Summon.NightmareKairuku_Character_BP_Summon'" 150 0 0 35</v>
      </c>
      <c r="M450" s="10" t="str">
        <f t="shared" si="82"/>
        <v>NPCReplacements=(FromClassName="NightmareKairuku_Character_BP_Summon_C",ToClassName="")</v>
      </c>
      <c r="N450" s="2"/>
    </row>
    <row r="451">
      <c r="B451" s="6"/>
      <c r="C451" s="4"/>
      <c r="D451" s="4"/>
      <c r="E451" s="38" t="s">
        <v>1335</v>
      </c>
      <c r="F451" s="8" t="s">
        <v>1295</v>
      </c>
      <c r="G451" s="8"/>
      <c r="H451" s="57" t="s">
        <v>1336</v>
      </c>
      <c r="I451" s="8" t="str">
        <f t="shared" si="79"/>
        <v>cheat summon NightmareKairuku_Character_BP_Tameable_C</v>
      </c>
      <c r="J451" s="8" t="str">
        <f t="shared" si="80"/>
        <v>admincheat GMSummon "NightmareKairuku_Character_BP_Tameable_C" 120</v>
      </c>
      <c r="K451" s="57" t="s">
        <v>1337</v>
      </c>
      <c r="L451" s="8" t="str">
        <f t="shared" si="81"/>
        <v>cheat SpawnDino "Blueprint'/PrimalChaos/1Bosses/Bosstiers/4Nightmare/Kairuku/Tameable/NightmareKairuku_Character_BP_Tameable.NightmareKairuku_Character_BP_Tameable'" 150 0 0 35</v>
      </c>
      <c r="M451" s="8" t="str">
        <f t="shared" si="82"/>
        <v>NPCReplacements=(FromClassName="NightmareKairuku_Character_BP_Tameable_C",ToClassName="")</v>
      </c>
      <c r="N451" s="2"/>
    </row>
    <row r="452">
      <c r="B452" s="6"/>
      <c r="C452" s="4">
        <v>320.0</v>
      </c>
      <c r="D452" s="4">
        <f t="shared" ref="D452:D453" si="85">IF(F452="Beta",1)+IF(F452="Alpha",2)+IF(F452="Electric",3)+IF(F452="Volcanic",3)+IF(F452="Hydro",3)+IF(F452="Shadow",4)+IF(F452="Fairy",4)+IF(F452="Mythic",5)+IF(F452="Legendary",5)+IF(F452="Demonic",6)+IF(F452="Angelic",6)+IF(F452="Jester",7)+IF(F452="Nightmare",8)+IF(F452="Vanilla",9)+IF(F452="Boss",8)</f>
        <v>8</v>
      </c>
      <c r="E452" s="9" t="s">
        <v>1338</v>
      </c>
      <c r="F452" s="10" t="s">
        <v>1295</v>
      </c>
      <c r="G452" s="10"/>
      <c r="H452" s="10" t="s">
        <v>1339</v>
      </c>
      <c r="I452" s="10" t="str">
        <f t="shared" si="79"/>
        <v>cheat summon Nightmare_Raptor_Character_BP_C</v>
      </c>
      <c r="J452" s="10" t="str">
        <f t="shared" si="80"/>
        <v>admincheat GMSummon "Nightmare_Raptor_Character_BP_C" 120</v>
      </c>
      <c r="K452" s="10" t="s">
        <v>1340</v>
      </c>
      <c r="L452" s="10" t="str">
        <f t="shared" si="81"/>
        <v>cheat SpawnDino "Blueprint'/PrimalChaos/1Dinos/6Nightmare/Raptor/Nightmare_Raptor_Character_BP.Nightmare_Raptor_Character_BP'" 150 0 0 35</v>
      </c>
      <c r="M452" s="10" t="str">
        <f t="shared" si="82"/>
        <v>NPCReplacements=(FromClassName="Nightmare_Raptor_Character_BP_C",ToClassName="")</v>
      </c>
      <c r="N452" s="2"/>
    </row>
    <row r="453">
      <c r="B453" s="6"/>
      <c r="C453" s="4">
        <v>321.0</v>
      </c>
      <c r="D453" s="4">
        <f t="shared" si="85"/>
        <v>8</v>
      </c>
      <c r="E453" s="7" t="s">
        <v>1341</v>
      </c>
      <c r="F453" s="8" t="s">
        <v>1295</v>
      </c>
      <c r="G453" s="8"/>
      <c r="H453" s="8" t="s">
        <v>1342</v>
      </c>
      <c r="I453" s="8" t="str">
        <f t="shared" si="79"/>
        <v>cheat summon Nightmare_Raptor_Character_BP_Summon_C</v>
      </c>
      <c r="J453" s="8" t="str">
        <f t="shared" si="80"/>
        <v>admincheat GMSummon "Nightmare_Raptor_Character_BP_Summon_C" 120</v>
      </c>
      <c r="K453" s="8" t="s">
        <v>1343</v>
      </c>
      <c r="L453" s="8" t="str">
        <f t="shared" si="81"/>
        <v>cheat SpawnDino "Blueprint'/PrimalChaos/1Dinos/6Nightmare/Raptor/Summon/Nightmare_Raptor_Character_BP_Summon.Nightmare_Raptor_Character_BP_Summon'" 150 0 0 35</v>
      </c>
      <c r="M453" s="8" t="str">
        <f t="shared" si="82"/>
        <v>NPCReplacements=(FromClassName="Nightmare_Raptor_Character_BP_Summon_C",ToClassName="")</v>
      </c>
      <c r="N453" s="2"/>
    </row>
    <row r="454">
      <c r="B454" s="6"/>
      <c r="C454" s="4"/>
      <c r="D454" s="4"/>
      <c r="E454" s="22" t="s">
        <v>1344</v>
      </c>
      <c r="F454" s="9" t="s">
        <v>1311</v>
      </c>
      <c r="G454" s="10"/>
      <c r="H454" s="22" t="s">
        <v>1345</v>
      </c>
      <c r="I454" s="10" t="str">
        <f t="shared" si="79"/>
        <v>cheat summon Nightmare_Raptor_Character_BP_Tameable_C</v>
      </c>
      <c r="J454" s="10" t="str">
        <f t="shared" si="80"/>
        <v>admincheat GMSummon "Nightmare_Raptor_Character_BP_Tameable_C" 120</v>
      </c>
      <c r="K454" s="22" t="s">
        <v>1346</v>
      </c>
      <c r="L454" s="10" t="str">
        <f t="shared" si="81"/>
        <v>cheat SpawnDino "Blueprint'/PrimalChaos/1Bosses/Bosstiers/4Nightmare/Raptor/Tameable/Nightmare_Raptor_Character_BP_Tameable.Nightmare_Raptor_Character_BP_Tameable'" 150 0 0 35</v>
      </c>
      <c r="M454" s="10" t="str">
        <f t="shared" si="82"/>
        <v>NPCReplacements=(FromClassName="Nightmare_Raptor_Character_BP_Tameable_C",ToClassName="")</v>
      </c>
      <c r="N454" s="2"/>
    </row>
    <row r="455">
      <c r="B455" s="6"/>
      <c r="C455" s="4">
        <v>322.0</v>
      </c>
      <c r="D455" s="4">
        <f t="shared" ref="D455:D456" si="86">IF(F455="Beta",1)+IF(F455="Alpha",2)+IF(F455="Electric",3)+IF(F455="Volcanic",3)+IF(F455="Hydro",3)+IF(F455="Shadow",4)+IF(F455="Fairy",4)+IF(F455="Mythic",5)+IF(F455="Legendary",5)+IF(F455="Demonic",6)+IF(F455="Angelic",6)+IF(F455="Jester",7)+IF(F455="Nightmare",8)+IF(F455="Vanilla",9)+IF(F455="Boss",8)</f>
        <v>8</v>
      </c>
      <c r="E455" s="7" t="s">
        <v>1347</v>
      </c>
      <c r="F455" s="8" t="s">
        <v>1295</v>
      </c>
      <c r="G455" s="8"/>
      <c r="H455" s="8" t="s">
        <v>1348</v>
      </c>
      <c r="I455" s="8" t="str">
        <f t="shared" si="79"/>
        <v>cheat summon Nightmare_Rex_Character_BP_C</v>
      </c>
      <c r="J455" s="8" t="str">
        <f t="shared" si="80"/>
        <v>admincheat GMSummon "Nightmare_Rex_Character_BP_C" 120</v>
      </c>
      <c r="K455" s="8" t="s">
        <v>1349</v>
      </c>
      <c r="L455" s="8" t="str">
        <f t="shared" si="81"/>
        <v>cheat SpawnDino "Blueprint'/PrimalChaos/1Dinos/6Nightmare/Rex/Nightmare_Rex_Character_BP.Nightmare_Rex_Character_BP'" 150 0 0 35</v>
      </c>
      <c r="M455" s="8" t="str">
        <f t="shared" si="82"/>
        <v>NPCReplacements=(FromClassName="Nightmare_Rex_Character_BP_C",ToClassName="")</v>
      </c>
      <c r="N455" s="2"/>
    </row>
    <row r="456">
      <c r="B456" s="6"/>
      <c r="C456" s="4">
        <v>323.0</v>
      </c>
      <c r="D456" s="4">
        <f t="shared" si="86"/>
        <v>8</v>
      </c>
      <c r="E456" s="9" t="s">
        <v>1350</v>
      </c>
      <c r="F456" s="10" t="s">
        <v>1295</v>
      </c>
      <c r="G456" s="10"/>
      <c r="H456" s="10" t="s">
        <v>1351</v>
      </c>
      <c r="I456" s="10" t="str">
        <f t="shared" si="79"/>
        <v>cheat summon Nightmare_Rex_Character_BP_Summon_C</v>
      </c>
      <c r="J456" s="10" t="str">
        <f t="shared" si="80"/>
        <v>admincheat GMSummon "Nightmare_Rex_Character_BP_Summon_C" 120</v>
      </c>
      <c r="K456" s="10" t="s">
        <v>1352</v>
      </c>
      <c r="L456" s="10" t="str">
        <f t="shared" si="81"/>
        <v>cheat SpawnDino "Blueprint'/PrimalChaos/1Dinos/6Nightmare/Rex/Summon/Nightmare_Rex_Character_BP_Summon.Nightmare_Rex_Character_BP_Summon'" 150 0 0 35</v>
      </c>
      <c r="M456" s="10" t="str">
        <f t="shared" si="82"/>
        <v>NPCReplacements=(FromClassName="Nightmare_Rex_Character_BP_Summon_C",ToClassName="")</v>
      </c>
      <c r="N456" s="2"/>
    </row>
    <row r="457">
      <c r="B457" s="6"/>
      <c r="C457" s="4"/>
      <c r="D457" s="4"/>
      <c r="E457" s="20" t="s">
        <v>1353</v>
      </c>
      <c r="F457" s="7" t="s">
        <v>1311</v>
      </c>
      <c r="G457" s="8"/>
      <c r="H457" s="20" t="s">
        <v>1354</v>
      </c>
      <c r="I457" s="8" t="str">
        <f t="shared" si="79"/>
        <v>cheat summon Nightmare_Rex_Character_BP_Tameable_C</v>
      </c>
      <c r="J457" s="8" t="str">
        <f t="shared" si="80"/>
        <v>admincheat GMSummon "Nightmare_Rex_Character_BP_Tameable_C" 120</v>
      </c>
      <c r="K457" s="20" t="s">
        <v>1355</v>
      </c>
      <c r="L457" s="8" t="str">
        <f t="shared" si="81"/>
        <v>cheat SpawnDino "Blueprint'/PrimalChaos/1Bosses/Bosstiers/4Nightmare/Rex/Tameable/Nightmare_Rex_Character_BP_Tameable.Nightmare_Rex_Character_BP_Tameable'" 150 0 0 35</v>
      </c>
      <c r="M457" s="8" t="str">
        <f t="shared" si="82"/>
        <v>NPCReplacements=(FromClassName="Nightmare_Rex_Character_BP_Tameable_C",ToClassName="")</v>
      </c>
      <c r="N457" s="2"/>
    </row>
    <row r="458">
      <c r="B458" s="6"/>
      <c r="C458" s="4">
        <v>324.0</v>
      </c>
      <c r="D458" s="4">
        <f t="shared" ref="D458:D459" si="87">IF(F458="Beta",1)+IF(F458="Alpha",2)+IF(F458="Electric",3)+IF(F458="Volcanic",3)+IF(F458="Hydro",3)+IF(F458="Shadow",4)+IF(F458="Fairy",4)+IF(F458="Mythic",5)+IF(F458="Legendary",5)+IF(F458="Demonic",6)+IF(F458="Angelic",6)+IF(F458="Jester",7)+IF(F458="Nightmare",8)+IF(F458="Vanilla",9)+IF(F458="Boss",8)</f>
        <v>8</v>
      </c>
      <c r="E458" s="9" t="s">
        <v>1356</v>
      </c>
      <c r="F458" s="10" t="s">
        <v>1295</v>
      </c>
      <c r="G458" s="10"/>
      <c r="H458" s="10" t="s">
        <v>1357</v>
      </c>
      <c r="I458" s="10" t="str">
        <f t="shared" si="79"/>
        <v>cheat summon Nightmare_Spino_Character_BP_C</v>
      </c>
      <c r="J458" s="10" t="str">
        <f t="shared" si="80"/>
        <v>admincheat GMSummon "Nightmare_Spino_Character_BP_C" 120</v>
      </c>
      <c r="K458" s="10" t="s">
        <v>1358</v>
      </c>
      <c r="L458" s="10" t="str">
        <f t="shared" si="81"/>
        <v>cheat SpawnDino "Blueprint'/PrimalChaos/1Dinos/6Nightmare/Spino/Nightmare_Spino_Character_BP.Nightmare_Spino_Character_BP'" 150 0 0 35</v>
      </c>
      <c r="M458" s="10" t="str">
        <f t="shared" si="82"/>
        <v>NPCReplacements=(FromClassName="Nightmare_Spino_Character_BP_C",ToClassName="")</v>
      </c>
      <c r="N458" s="2"/>
    </row>
    <row r="459">
      <c r="B459" s="6"/>
      <c r="C459" s="4">
        <v>325.0</v>
      </c>
      <c r="D459" s="4">
        <f t="shared" si="87"/>
        <v>8</v>
      </c>
      <c r="E459" s="7" t="s">
        <v>1359</v>
      </c>
      <c r="F459" s="8" t="s">
        <v>1295</v>
      </c>
      <c r="G459" s="8"/>
      <c r="H459" s="8" t="s">
        <v>1360</v>
      </c>
      <c r="I459" s="8" t="str">
        <f t="shared" si="79"/>
        <v>cheat summon Nightmare_Spino_Character_BP_Summon_C</v>
      </c>
      <c r="J459" s="8" t="str">
        <f t="shared" si="80"/>
        <v>admincheat GMSummon "Nightmare_Spino_Character_BP_Summon_C" 120</v>
      </c>
      <c r="K459" s="8" t="s">
        <v>1361</v>
      </c>
      <c r="L459" s="8" t="str">
        <f t="shared" si="81"/>
        <v>cheat SpawnDino "Blueprint'/PrimalChaos/1Dinos/6Nightmare/Spino/Summon/Nightmare_Spino_Character_BP_Summon.Nightmare_Spino_Character_BP_Summon'" 150 0 0 35</v>
      </c>
      <c r="M459" s="8" t="str">
        <f t="shared" si="82"/>
        <v>NPCReplacements=(FromClassName="Nightmare_Spino_Character_BP_Summon_C",ToClassName="")</v>
      </c>
      <c r="N459" s="2"/>
    </row>
    <row r="460">
      <c r="B460" s="6"/>
      <c r="C460" s="4"/>
      <c r="D460" s="4"/>
      <c r="E460" s="22" t="s">
        <v>1362</v>
      </c>
      <c r="F460" s="9" t="s">
        <v>1311</v>
      </c>
      <c r="G460" s="10"/>
      <c r="H460" s="22" t="s">
        <v>1363</v>
      </c>
      <c r="I460" s="10" t="str">
        <f t="shared" si="79"/>
        <v>cheat summon Nightmare_Spino_Character_BP_Tameable_C</v>
      </c>
      <c r="J460" s="10" t="str">
        <f t="shared" si="80"/>
        <v>admincheat GMSummon "Nightmare_Spino_Character_BP_Tameable_C" 120</v>
      </c>
      <c r="K460" s="22" t="s">
        <v>1364</v>
      </c>
      <c r="L460" s="10" t="str">
        <f t="shared" si="81"/>
        <v>cheat SpawnDino "Blueprint'/PrimalChaos/1Bosses/Bosstiers/4Nightmare/Spino/Tameable/Nightmare_Spino_Character_BP_Tameable.Nightmare_Spino_Character_BP_Tameable'" 150 0 0 35</v>
      </c>
      <c r="M460" s="10" t="str">
        <f t="shared" si="82"/>
        <v>NPCReplacements=(FromClassName="Nightmare_Spino_Character_BP_Tameable_C",ToClassName="")</v>
      </c>
      <c r="N460" s="2"/>
    </row>
    <row r="461">
      <c r="B461" s="6"/>
      <c r="C461" s="4">
        <v>326.0</v>
      </c>
      <c r="D461" s="4">
        <f t="shared" ref="D461:D462" si="88">IF(F461="Beta",1)+IF(F461="Alpha",2)+IF(F461="Electric",3)+IF(F461="Volcanic",3)+IF(F461="Hydro",3)+IF(F461="Shadow",4)+IF(F461="Fairy",4)+IF(F461="Mythic",5)+IF(F461="Legendary",5)+IF(F461="Demonic",6)+IF(F461="Angelic",6)+IF(F461="Jester",7)+IF(F461="Nightmare",8)+IF(F461="Vanilla",9)+IF(F461="Boss",8)</f>
        <v>8</v>
      </c>
      <c r="E461" s="7" t="s">
        <v>1365</v>
      </c>
      <c r="F461" s="8" t="s">
        <v>1295</v>
      </c>
      <c r="G461" s="8"/>
      <c r="H461" s="8" t="s">
        <v>1366</v>
      </c>
      <c r="I461" s="8" t="str">
        <f t="shared" si="79"/>
        <v>cheat summon Nightmare_Trike_Character_BP_C</v>
      </c>
      <c r="J461" s="8" t="str">
        <f t="shared" si="80"/>
        <v>admincheat GMSummon "Nightmare_Trike_Character_BP_C" 120</v>
      </c>
      <c r="K461" s="8" t="s">
        <v>1367</v>
      </c>
      <c r="L461" s="8" t="str">
        <f t="shared" si="81"/>
        <v>cheat SpawnDino "Blueprint'/PrimalChaos/1Dinos/6Nightmare/Trike/Nightmare_Trike_Character_BP.Nightmare_Trike_Character_BP'" 150 0 0 35</v>
      </c>
      <c r="M461" s="8" t="str">
        <f t="shared" si="82"/>
        <v>NPCReplacements=(FromClassName="Nightmare_Trike_Character_BP_C",ToClassName="")</v>
      </c>
      <c r="N461" s="2"/>
    </row>
    <row r="462">
      <c r="B462" s="6"/>
      <c r="C462" s="4">
        <v>327.0</v>
      </c>
      <c r="D462" s="4">
        <f t="shared" si="88"/>
        <v>8</v>
      </c>
      <c r="E462" s="9" t="s">
        <v>1368</v>
      </c>
      <c r="F462" s="10" t="s">
        <v>1295</v>
      </c>
      <c r="G462" s="10"/>
      <c r="H462" s="10" t="s">
        <v>1369</v>
      </c>
      <c r="I462" s="10" t="str">
        <f t="shared" si="79"/>
        <v>cheat summon Nightmare_Trike_Character_BP_Summon_C</v>
      </c>
      <c r="J462" s="10" t="str">
        <f t="shared" si="80"/>
        <v>admincheat GMSummon "Nightmare_Trike_Character_BP_Summon_C" 120</v>
      </c>
      <c r="K462" s="10" t="s">
        <v>1370</v>
      </c>
      <c r="L462" s="10" t="str">
        <f t="shared" si="81"/>
        <v>cheat SpawnDino "Blueprint'/PrimalChaos/1Dinos/6Nightmare/Trike/Summon/Nightmare_Trike_Character_BP_Summon.Nightmare_Trike_Character_BP_Summon'" 150 0 0 35</v>
      </c>
      <c r="M462" s="10" t="str">
        <f t="shared" si="82"/>
        <v>NPCReplacements=(FromClassName="Nightmare_Trike_Character_BP_Summon_C",ToClassName="")</v>
      </c>
      <c r="N462" s="2"/>
    </row>
    <row r="463">
      <c r="B463" s="6"/>
      <c r="C463" s="4"/>
      <c r="D463" s="4"/>
      <c r="E463" s="20" t="s">
        <v>1371</v>
      </c>
      <c r="F463" s="7" t="s">
        <v>1311</v>
      </c>
      <c r="G463" s="8"/>
      <c r="H463" s="20" t="s">
        <v>1372</v>
      </c>
      <c r="I463" s="8" t="str">
        <f t="shared" si="79"/>
        <v>cheat summon Nightmare_Trike_Character_BP_Tameable_C</v>
      </c>
      <c r="J463" s="8" t="str">
        <f t="shared" si="80"/>
        <v>admincheat GMSummon "Nightmare_Trike_Character_BP_Tameable_C" 120</v>
      </c>
      <c r="K463" s="20" t="s">
        <v>1373</v>
      </c>
      <c r="L463" s="8" t="str">
        <f t="shared" si="81"/>
        <v>cheat SpawnDino "Blueprint'/PrimalChaos/1Bosses/Bosstiers/4Nightmare/Trike/Tameable/Nightmare_Trike_Character_BP_Tameable.Nightmare_Trike_Character_BP_Tameable'" 150 0 0 35</v>
      </c>
      <c r="M463" s="8" t="str">
        <f t="shared" si="82"/>
        <v>NPCReplacements=(FromClassName="Nightmare_Trike_Character_BP_Tameable_C",ToClassName="")</v>
      </c>
      <c r="N463" s="2"/>
    </row>
    <row r="464">
      <c r="B464" s="6"/>
      <c r="C464" s="4"/>
      <c r="D464" s="4"/>
      <c r="E464" s="55" t="s">
        <v>1374</v>
      </c>
      <c r="F464" s="10" t="s">
        <v>1295</v>
      </c>
      <c r="G464" s="10"/>
      <c r="H464" s="58" t="s">
        <v>1375</v>
      </c>
      <c r="I464" s="10" t="str">
        <f t="shared" si="79"/>
        <v>cheat summon NightmareWyvern_Character_BP_C</v>
      </c>
      <c r="J464" s="10" t="str">
        <f t="shared" si="80"/>
        <v>admincheat GMSummon "NightmareWyvern_Character_BP_C" 120</v>
      </c>
      <c r="K464" s="58" t="s">
        <v>1376</v>
      </c>
      <c r="L464" s="10" t="str">
        <f t="shared" si="81"/>
        <v>cheat SpawnDino "Blueprint'/PrimalChaos/1Bosses/Bosstiers/4Nightmare/Wyvern/NightmareWyvern_Character_BP.NightmareWyvern_Character_BP'" 150 0 0 35</v>
      </c>
      <c r="M464" s="10" t="str">
        <f t="shared" si="82"/>
        <v>NPCReplacements=(FromClassName="NightmareWyvern_Character_BP_C",ToClassName="")</v>
      </c>
      <c r="N464" s="2"/>
    </row>
    <row r="465">
      <c r="B465" s="6"/>
      <c r="C465" s="4"/>
      <c r="D465" s="4"/>
      <c r="E465" s="38" t="s">
        <v>1377</v>
      </c>
      <c r="F465" s="8" t="s">
        <v>1295</v>
      </c>
      <c r="G465" s="8"/>
      <c r="H465" s="60" t="s">
        <v>1378</v>
      </c>
      <c r="I465" s="8" t="str">
        <f t="shared" si="79"/>
        <v>cheat summon NightmareWyvern_Character_BP_Summon_C</v>
      </c>
      <c r="J465" s="8" t="str">
        <f t="shared" si="80"/>
        <v>admincheat GMSummon "NightmareWyvern_Character_BP_Summon_C" 120</v>
      </c>
      <c r="K465" s="60" t="s">
        <v>1379</v>
      </c>
      <c r="L465" s="8" t="str">
        <f t="shared" si="81"/>
        <v>cheat SpawnDino "Blueprint'/PrimalChaos/1Bosses/Bosstiers/4Nightmare/Wyvern/Summon/NightmareWyvern_Character_BP_Summon.NightmareWyvern_Character_BP_Summon'" 150 0 0 35</v>
      </c>
      <c r="M465" s="8" t="str">
        <f t="shared" si="82"/>
        <v>NPCReplacements=(FromClassName="NightmareWyvern_Character_BP_Summon_C",ToClassName="")</v>
      </c>
      <c r="N465" s="2"/>
    </row>
    <row r="466">
      <c r="B466" s="6"/>
      <c r="C466" s="4"/>
      <c r="D466" s="4"/>
      <c r="E466" s="55" t="s">
        <v>1380</v>
      </c>
      <c r="F466" s="10" t="s">
        <v>1295</v>
      </c>
      <c r="G466" s="10"/>
      <c r="H466" s="58" t="s">
        <v>1381</v>
      </c>
      <c r="I466" s="10" t="str">
        <f t="shared" si="79"/>
        <v>cheat summon NightmareWyvern_Character_BP_Tameable_C</v>
      </c>
      <c r="J466" s="10" t="str">
        <f t="shared" si="80"/>
        <v>admincheat GMSummon "NightmareWyvern_Character_BP_Tameable_C" 120</v>
      </c>
      <c r="K466" s="58" t="s">
        <v>1382</v>
      </c>
      <c r="L466" s="10" t="str">
        <f t="shared" si="81"/>
        <v>cheat SpawnDino "Blueprint'/PrimalChaos/1Bosses/Bosstiers/4Nightmare/Wyvern/Tameable/NightmareWyvern_Character_BP_Tameable.NightmareWyvern_Character_BP_Tameable'" 150 0 0 35</v>
      </c>
      <c r="M466" s="10" t="str">
        <f t="shared" si="82"/>
        <v>NPCReplacements=(FromClassName="NightmareWyvern_Character_BP_Tameable_C",ToClassName="")</v>
      </c>
      <c r="N466" s="2"/>
    </row>
    <row r="467">
      <c r="B467" s="6"/>
      <c r="C467" s="4"/>
      <c r="D467" s="4"/>
      <c r="E467" s="7" t="s">
        <v>1383</v>
      </c>
      <c r="F467" s="8" t="s">
        <v>1295</v>
      </c>
      <c r="G467" s="8"/>
      <c r="H467" s="8" t="s">
        <v>1384</v>
      </c>
      <c r="I467" s="8" t="str">
        <f t="shared" si="79"/>
        <v>cheat summon NightmareYutyrannus_Character_BP_C</v>
      </c>
      <c r="J467" s="8" t="str">
        <f t="shared" si="80"/>
        <v>admincheat GMSummon "NightmareYutyrannus_Character_BP_C" 120</v>
      </c>
      <c r="K467" s="8" t="s">
        <v>1385</v>
      </c>
      <c r="L467" s="8" t="str">
        <f t="shared" si="81"/>
        <v>cheat SpawnDino "Blueprint'/PrimalChaos/1Dinos/6Nightmare/Yuty/NightmareYutyrannus_Character_BP.NightmareYutyrannus_Character_BP'" 150 0 0 35</v>
      </c>
      <c r="M467" s="8" t="str">
        <f t="shared" si="82"/>
        <v>NPCReplacements=(FromClassName="NightmareYutyrannus_Character_BP_C",ToClassName="")</v>
      </c>
      <c r="N467" s="2"/>
    </row>
    <row r="468">
      <c r="B468" s="6"/>
      <c r="C468" s="4"/>
      <c r="D468" s="4"/>
      <c r="E468" s="9" t="s">
        <v>1386</v>
      </c>
      <c r="F468" s="10" t="s">
        <v>1295</v>
      </c>
      <c r="G468" s="10"/>
      <c r="H468" s="10" t="s">
        <v>1387</v>
      </c>
      <c r="I468" s="10" t="str">
        <f t="shared" si="79"/>
        <v>cheat summon NightmareYutyrannus_Character_BP_Summon_C</v>
      </c>
      <c r="J468" s="10" t="str">
        <f t="shared" si="80"/>
        <v>admincheat GMSummon "NightmareYutyrannus_Character_BP_Summon_C" 120</v>
      </c>
      <c r="K468" s="10" t="s">
        <v>1388</v>
      </c>
      <c r="L468" s="10" t="str">
        <f t="shared" si="81"/>
        <v>cheat SpawnDino "Blueprint'/PrimalChaos/1Dinos/6Nightmare/Yuty/Summon/NightmareYutyrannus_Character_BP_Summon.NightmareYutyrannus_Character_BP_Summon'" 150 0 0 35</v>
      </c>
      <c r="M468" s="10" t="str">
        <f t="shared" si="82"/>
        <v>NPCReplacements=(FromClassName="NightmareYutyrannus_Character_BP_Summon_C",ToClassName="")</v>
      </c>
      <c r="N468" s="2"/>
    </row>
    <row r="469">
      <c r="B469" s="6"/>
      <c r="C469" s="4"/>
      <c r="D469" s="4"/>
      <c r="E469" s="20" t="s">
        <v>1389</v>
      </c>
      <c r="F469" s="7" t="s">
        <v>1311</v>
      </c>
      <c r="G469" s="8"/>
      <c r="H469" s="20" t="s">
        <v>1390</v>
      </c>
      <c r="I469" s="8" t="str">
        <f t="shared" si="79"/>
        <v>cheat summon NightmareYutyrannus_Character_BP_Tameable_C</v>
      </c>
      <c r="J469" s="8" t="str">
        <f t="shared" si="80"/>
        <v>admincheat GMSummon "NightmareYutyrannus_Character_BP_Tameable_C" 120</v>
      </c>
      <c r="K469" s="20" t="s">
        <v>1391</v>
      </c>
      <c r="L469" s="8" t="str">
        <f t="shared" si="81"/>
        <v>cheat SpawnDino "Blueprint'/PrimalChaos/1Bosses/Bosstiers/4Nightmare/Yuty/Tameable/NightmareYutyrannus_Character_BP_Tameable.NightmareYutyrannus_Character_BP_Tameable'" 150 0 0 35</v>
      </c>
      <c r="M469" s="8" t="str">
        <f t="shared" si="82"/>
        <v>NPCReplacements=(FromClassName="NightmareYutyrannus_Character_BP_Tameable_C",ToClassName="")</v>
      </c>
      <c r="N469" s="2"/>
    </row>
    <row r="470">
      <c r="B470" s="6"/>
      <c r="C470" s="4"/>
      <c r="D470" s="4"/>
      <c r="E470" s="55" t="s">
        <v>1392</v>
      </c>
      <c r="F470" s="9" t="s">
        <v>1393</v>
      </c>
      <c r="G470" s="10"/>
      <c r="H470" s="58" t="s">
        <v>1394</v>
      </c>
      <c r="I470" s="10" t="str">
        <f t="shared" si="79"/>
        <v>cheat summon Draconis_Character_BP_C</v>
      </c>
      <c r="J470" s="10" t="str">
        <f t="shared" si="80"/>
        <v>admincheat GMSummon "Draconis_Character_BP_C" 120</v>
      </c>
      <c r="K470" s="58" t="s">
        <v>1395</v>
      </c>
      <c r="L470" s="10" t="str">
        <f t="shared" si="81"/>
        <v>cheat SpawnDino "Blueprint'/PrimalChaos/1Bosses/Bosses/OriginBOSS/Draconis_Character_BP.Draconis_Character_BP'" 150 0 0 35</v>
      </c>
      <c r="M470" s="10" t="str">
        <f t="shared" si="82"/>
        <v>NPCReplacements=(FromClassName="Draconis_Character_BP_C",ToClassName="")</v>
      </c>
      <c r="N470" s="2"/>
    </row>
    <row r="471">
      <c r="B471" s="6"/>
      <c r="C471" s="4"/>
      <c r="D471" s="4"/>
      <c r="E471" s="60" t="s">
        <v>1396</v>
      </c>
      <c r="F471" s="7" t="s">
        <v>1393</v>
      </c>
      <c r="G471" s="8"/>
      <c r="H471" s="60" t="s">
        <v>1397</v>
      </c>
      <c r="I471" s="8" t="str">
        <f t="shared" si="79"/>
        <v>cheat summon Draconis_Character_BP_Tameable_C</v>
      </c>
      <c r="J471" s="8" t="str">
        <f t="shared" si="80"/>
        <v>admincheat GMSummon "Draconis_Character_BP_Tameable_C" 120</v>
      </c>
      <c r="K471" s="60" t="s">
        <v>1398</v>
      </c>
      <c r="L471" s="8" t="str">
        <f t="shared" si="81"/>
        <v>cheat SpawnDino "Blueprint'/PrimalChaos/1Bosses/Bosses/OriginBOSS/Tameable/Draconis_Character_BP_Tameable.Draconis_Character_BP_Tameable'" 150 0 0 35</v>
      </c>
      <c r="M471" s="8" t="str">
        <f t="shared" si="82"/>
        <v>NPCReplacements=(FromClassName="Draconis_Character_BP_Tameable_C",ToClassName="")</v>
      </c>
      <c r="N471" s="2"/>
    </row>
    <row r="472">
      <c r="B472" s="6"/>
      <c r="C472" s="4"/>
      <c r="D472" s="4"/>
      <c r="E472" s="9" t="s">
        <v>1399</v>
      </c>
      <c r="F472" s="9" t="s">
        <v>1393</v>
      </c>
      <c r="G472" s="10"/>
      <c r="H472" s="9" t="s">
        <v>1400</v>
      </c>
      <c r="I472" s="10" t="str">
        <f t="shared" si="79"/>
        <v>cheat summon OriginArgent_Character_BP_C</v>
      </c>
      <c r="J472" s="10" t="str">
        <f t="shared" si="80"/>
        <v>admincheat GMSummon "OriginArgent_Character_BP_C" 120</v>
      </c>
      <c r="K472" s="9" t="s">
        <v>1401</v>
      </c>
      <c r="L472" s="10" t="str">
        <f t="shared" si="81"/>
        <v>cheat SpawnDino "Blueprint'/PrimalChaos/1Bosses/Bosstiers/2Origins/Argent/OriginArgent_Character_BP.OriginArgent_Character_BP'" 150 0 0 35</v>
      </c>
      <c r="M472" s="10" t="str">
        <f t="shared" si="82"/>
        <v>NPCReplacements=(FromClassName="OriginArgent_Character_BP_C",ToClassName="")</v>
      </c>
      <c r="N472" s="2"/>
    </row>
    <row r="473">
      <c r="B473" s="6"/>
      <c r="C473" s="4"/>
      <c r="D473" s="4"/>
      <c r="E473" s="60" t="s">
        <v>1402</v>
      </c>
      <c r="F473" s="7" t="s">
        <v>1393</v>
      </c>
      <c r="G473" s="8"/>
      <c r="H473" s="60" t="s">
        <v>1403</v>
      </c>
      <c r="I473" s="8" t="str">
        <f t="shared" si="79"/>
        <v>cheat summon OriginArgent_Character_BP_Summon_C</v>
      </c>
      <c r="J473" s="8" t="str">
        <f t="shared" si="80"/>
        <v>admincheat GMSummon "OriginArgent_Character_BP_Summon_C" 120</v>
      </c>
      <c r="K473" s="60" t="s">
        <v>1404</v>
      </c>
      <c r="L473" s="8" t="str">
        <f t="shared" si="81"/>
        <v>cheat SpawnDino "Blueprint'/PrimalChaos/1Bosses/Bosstiers/2Origins/Argent/BossSummon/OriginArgent_Character_BP_Summon.OriginArgent_Character_BP_Summon'" 150 0 0 35</v>
      </c>
      <c r="M473" s="8" t="str">
        <f t="shared" si="82"/>
        <v>NPCReplacements=(FromClassName="OriginArgent_Character_BP_Summon_C",ToClassName="")</v>
      </c>
      <c r="N473" s="2"/>
    </row>
    <row r="474">
      <c r="B474" s="6"/>
      <c r="C474" s="4"/>
      <c r="D474" s="4"/>
      <c r="E474" s="58" t="s">
        <v>1405</v>
      </c>
      <c r="F474" s="9" t="s">
        <v>1393</v>
      </c>
      <c r="G474" s="10"/>
      <c r="H474" s="58" t="s">
        <v>1406</v>
      </c>
      <c r="I474" s="10" t="str">
        <f t="shared" si="79"/>
        <v>cheat summon OriginArgent_Character_BP_Tameable_C</v>
      </c>
      <c r="J474" s="10" t="str">
        <f t="shared" si="80"/>
        <v>admincheat GMSummon "OriginArgent_Character_BP_Tameable_C" 120</v>
      </c>
      <c r="K474" s="58" t="s">
        <v>1407</v>
      </c>
      <c r="L474" s="10" t="str">
        <f t="shared" si="81"/>
        <v>cheat SpawnDino "Blueprint'/PrimalChaos/1Bosses/Bosstiers/2Origins/Argent/Tameable/OriginArgent_Character_BP_Tameable.OriginArgent_Character_BP_Tameable'" 150 0 0 35</v>
      </c>
      <c r="M474" s="10" t="str">
        <f t="shared" si="82"/>
        <v>NPCReplacements=(FromClassName="OriginArgent_Character_BP_Tameable_C",ToClassName="")</v>
      </c>
      <c r="N474" s="2"/>
    </row>
    <row r="475">
      <c r="B475" s="6"/>
      <c r="C475" s="4"/>
      <c r="D475" s="4"/>
      <c r="E475" s="7" t="s">
        <v>1408</v>
      </c>
      <c r="F475" s="7" t="s">
        <v>1393</v>
      </c>
      <c r="G475" s="8"/>
      <c r="H475" s="7" t="s">
        <v>1409</v>
      </c>
      <c r="I475" s="8" t="str">
        <f t="shared" si="79"/>
        <v>cheat summon OriginCarno_Character_BP_C</v>
      </c>
      <c r="J475" s="8" t="str">
        <f t="shared" si="80"/>
        <v>admincheat GMSummon "OriginCarno_Character_BP_C" 120</v>
      </c>
      <c r="K475" s="7" t="s">
        <v>1410</v>
      </c>
      <c r="L475" s="8" t="str">
        <f t="shared" si="81"/>
        <v>cheat SpawnDino "Blueprint'/PrimalChaos/1Bosses/Bosstiers/2Origins/Carno/OriginCarno_Character_BP.OriginCarno_Character_BP'" 150 0 0 35</v>
      </c>
      <c r="M475" s="8" t="str">
        <f t="shared" si="82"/>
        <v>NPCReplacements=(FromClassName="OriginCarno_Character_BP_C",ToClassName="")</v>
      </c>
      <c r="N475" s="2"/>
    </row>
    <row r="476">
      <c r="B476" s="6"/>
      <c r="C476" s="4"/>
      <c r="D476" s="4"/>
      <c r="E476" s="58" t="s">
        <v>1411</v>
      </c>
      <c r="F476" s="9" t="s">
        <v>1393</v>
      </c>
      <c r="G476" s="10"/>
      <c r="H476" s="58" t="s">
        <v>1412</v>
      </c>
      <c r="I476" s="10" t="str">
        <f t="shared" si="79"/>
        <v>cheat summon OriginCarno_Character_BP_Summon_C</v>
      </c>
      <c r="J476" s="10" t="str">
        <f t="shared" si="80"/>
        <v>admincheat GMSummon "OriginCarno_Character_BP_Summon_C" 120</v>
      </c>
      <c r="K476" s="58" t="s">
        <v>1413</v>
      </c>
      <c r="L476" s="10" t="str">
        <f t="shared" si="81"/>
        <v>cheat SpawnDino "Blueprint'/PrimalChaos/1Bosses/Bosstiers/2Origins/Carno/BossSummon/OriginCarno_Character_BP_Summon.OriginCarno_Character_BP_Summon'" 150 0 0 35</v>
      </c>
      <c r="M476" s="10" t="str">
        <f t="shared" si="82"/>
        <v>NPCReplacements=(FromClassName="OriginCarno_Character_BP_Summon_C",ToClassName="")</v>
      </c>
      <c r="N476" s="2"/>
    </row>
    <row r="477">
      <c r="B477" s="6"/>
      <c r="C477" s="4"/>
      <c r="D477" s="4"/>
      <c r="E477" s="60" t="s">
        <v>1414</v>
      </c>
      <c r="F477" s="7" t="s">
        <v>1393</v>
      </c>
      <c r="G477" s="8"/>
      <c r="H477" s="60" t="s">
        <v>1415</v>
      </c>
      <c r="I477" s="8" t="str">
        <f t="shared" si="79"/>
        <v>cheat summon OriginCarno_Character_BP_Tameable_C</v>
      </c>
      <c r="J477" s="8" t="str">
        <f t="shared" si="80"/>
        <v>admincheat GMSummon "OriginCarno_Character_BP_Tameable_C" 120</v>
      </c>
      <c r="K477" s="60" t="s">
        <v>1416</v>
      </c>
      <c r="L477" s="8" t="str">
        <f t="shared" si="81"/>
        <v>cheat SpawnDino "Blueprint'/PrimalChaos/1Bosses/Bosstiers/2Origins/Carno/Tameable/OriginCarno_Character_BP_Tameable.OriginCarno_Character_BP_Tameable'" 150 0 0 35</v>
      </c>
      <c r="M477" s="8" t="str">
        <f t="shared" si="82"/>
        <v>NPCReplacements=(FromClassName="OriginCarno_Character_BP_Tameable_C",ToClassName="")</v>
      </c>
      <c r="N477" s="2"/>
    </row>
    <row r="478">
      <c r="B478" s="6"/>
      <c r="C478" s="4"/>
      <c r="D478" s="4"/>
      <c r="E478" s="9" t="s">
        <v>1417</v>
      </c>
      <c r="F478" s="9" t="s">
        <v>1393</v>
      </c>
      <c r="G478" s="10"/>
      <c r="H478" s="9" t="s">
        <v>1418</v>
      </c>
      <c r="I478" s="10" t="str">
        <f t="shared" si="79"/>
        <v>cheat summon OriginDirebear_Character_BP_C</v>
      </c>
      <c r="J478" s="10" t="str">
        <f t="shared" si="80"/>
        <v>admincheat GMSummon "OriginDirebear_Character_BP_C" 120</v>
      </c>
      <c r="K478" s="9" t="s">
        <v>1419</v>
      </c>
      <c r="L478" s="10" t="str">
        <f t="shared" si="81"/>
        <v>cheat SpawnDino "Blueprint'/PrimalChaos/1Bosses/Bosstiers/2Origins/DireBear/OriginDirebear_Character_BP.OriginDirebear_Character_BP'" 150 0 0 35</v>
      </c>
      <c r="M478" s="10" t="str">
        <f t="shared" si="82"/>
        <v>NPCReplacements=(FromClassName="OriginDirebear_Character_BP_C",ToClassName="")</v>
      </c>
      <c r="N478" s="2"/>
    </row>
    <row r="479">
      <c r="B479" s="6"/>
      <c r="C479" s="4"/>
      <c r="D479" s="4"/>
      <c r="E479" s="60" t="s">
        <v>1420</v>
      </c>
      <c r="F479" s="7" t="s">
        <v>1393</v>
      </c>
      <c r="G479" s="8"/>
      <c r="H479" s="60" t="s">
        <v>1421</v>
      </c>
      <c r="I479" s="8" t="str">
        <f t="shared" si="79"/>
        <v>cheat summon OriginDirebear_Character_BP_Summon_C</v>
      </c>
      <c r="J479" s="8" t="str">
        <f t="shared" si="80"/>
        <v>admincheat GMSummon "OriginDirebear_Character_BP_Summon_C" 120</v>
      </c>
      <c r="K479" s="60" t="s">
        <v>1422</v>
      </c>
      <c r="L479" s="8" t="str">
        <f t="shared" si="81"/>
        <v>cheat SpawnDino "Blueprint'/PrimalChaos/1Bosses/Bosstiers/2Origins/DireBear/BossSummon/OriginDirebear_Character_BP_Summon.OriginDirebear_Character_BP_Summon'" 150 0 0 35</v>
      </c>
      <c r="M479" s="8" t="str">
        <f t="shared" si="82"/>
        <v>NPCReplacements=(FromClassName="OriginDirebear_Character_BP_Summon_C",ToClassName="")</v>
      </c>
      <c r="N479" s="2"/>
    </row>
    <row r="480">
      <c r="B480" s="6"/>
      <c r="C480" s="4"/>
      <c r="D480" s="4"/>
      <c r="E480" s="58" t="s">
        <v>1423</v>
      </c>
      <c r="F480" s="9" t="s">
        <v>1393</v>
      </c>
      <c r="G480" s="10"/>
      <c r="H480" s="58" t="s">
        <v>1424</v>
      </c>
      <c r="I480" s="10" t="str">
        <f t="shared" si="79"/>
        <v>cheat summon OriginDirebear_Character_BP_Tameable_C</v>
      </c>
      <c r="J480" s="10" t="str">
        <f t="shared" si="80"/>
        <v>admincheat GMSummon "OriginDirebear_Character_BP_Tameable_C" 120</v>
      </c>
      <c r="K480" s="58" t="s">
        <v>1425</v>
      </c>
      <c r="L480" s="10" t="str">
        <f t="shared" si="81"/>
        <v>cheat SpawnDino "Blueprint'/PrimalChaos/1Bosses/Bosstiers/2Origins/DireBear/Tameable/OriginDirebear_Character_BP_Tameable.OriginDirebear_Character_BP_Tameable'" 150 0 0 35</v>
      </c>
      <c r="M480" s="10" t="str">
        <f t="shared" si="82"/>
        <v>NPCReplacements=(FromClassName="OriginDirebear_Character_BP_Tameable_C",ToClassName="")</v>
      </c>
      <c r="N480" s="2"/>
    </row>
    <row r="481">
      <c r="B481" s="6"/>
      <c r="C481" s="4"/>
      <c r="D481" s="4"/>
      <c r="E481" s="7" t="s">
        <v>1426</v>
      </c>
      <c r="F481" s="7" t="s">
        <v>1393</v>
      </c>
      <c r="G481" s="8"/>
      <c r="H481" s="60" t="s">
        <v>1427</v>
      </c>
      <c r="I481" s="8" t="str">
        <f t="shared" si="79"/>
        <v>cheat summon OriginDodoreaper_Character_BP_C</v>
      </c>
      <c r="J481" s="8" t="str">
        <f t="shared" si="80"/>
        <v>admincheat GMSummon "OriginDodoreaper_Character_BP_C" 120</v>
      </c>
      <c r="K481" s="60" t="s">
        <v>1428</v>
      </c>
      <c r="L481" s="8" t="str">
        <f t="shared" si="81"/>
        <v>cheat SpawnDino "Blueprint'/PrimalChaos/1Bosses/Bosstiers/2Origins/Dodoreaper/OriginDodoreaper_Character_BP.OriginDodoreaper_Character_BP'" 150 0 0 35</v>
      </c>
      <c r="M481" s="8" t="str">
        <f t="shared" si="82"/>
        <v>NPCReplacements=(FromClassName="OriginDodoreaper_Character_BP_C",ToClassName="")</v>
      </c>
      <c r="N481" s="2"/>
    </row>
    <row r="482">
      <c r="B482" s="6"/>
      <c r="C482" s="4"/>
      <c r="D482" s="4"/>
      <c r="E482" s="58" t="s">
        <v>1429</v>
      </c>
      <c r="F482" s="9" t="s">
        <v>1393</v>
      </c>
      <c r="G482" s="10"/>
      <c r="H482" s="58" t="s">
        <v>1430</v>
      </c>
      <c r="I482" s="10" t="str">
        <f t="shared" si="79"/>
        <v>cheat summon OriginDodoreaper_Character_BP_Summon_C</v>
      </c>
      <c r="J482" s="10" t="str">
        <f t="shared" si="80"/>
        <v>admincheat GMSummon "OriginDodoreaper_Character_BP_Summon_C" 120</v>
      </c>
      <c r="K482" s="58" t="s">
        <v>1431</v>
      </c>
      <c r="L482" s="10" t="str">
        <f t="shared" si="81"/>
        <v>cheat SpawnDino "Blueprint'/PrimalChaos/1Bosses/Bosstiers/2Origins/Dodoreaper/BossSummon/OriginDodoreaper_Character_BP_Summon.OriginDodoreaper_Character_BP_Summon'" 150 0 0 35</v>
      </c>
      <c r="M482" s="10" t="str">
        <f t="shared" si="82"/>
        <v>NPCReplacements=(FromClassName="OriginDodoreaper_Character_BP_Summon_C",ToClassName="")</v>
      </c>
      <c r="N482" s="2"/>
    </row>
    <row r="483">
      <c r="B483" s="6"/>
      <c r="C483" s="4"/>
      <c r="D483" s="4"/>
      <c r="E483" s="60" t="s">
        <v>1432</v>
      </c>
      <c r="F483" s="7" t="s">
        <v>1393</v>
      </c>
      <c r="G483" s="8"/>
      <c r="H483" s="60" t="s">
        <v>1433</v>
      </c>
      <c r="I483" s="8" t="str">
        <f t="shared" si="79"/>
        <v>cheat summon OriginDodoreaper_Character_BP_Tameable_C</v>
      </c>
      <c r="J483" s="8" t="str">
        <f t="shared" si="80"/>
        <v>admincheat GMSummon "OriginDodoreaper_Character_BP_Tameable_C" 120</v>
      </c>
      <c r="K483" s="60" t="s">
        <v>1434</v>
      </c>
      <c r="L483" s="8" t="str">
        <f t="shared" si="81"/>
        <v>cheat SpawnDino "Blueprint'/PrimalChaos/1Bosses/Bosstiers/2Origins/Dodoreaper/Tameable/OriginDodoreaper_Character_BP_Tameable.OriginDodoreaper_Character_BP_Tameable'" 150 0 0 35</v>
      </c>
      <c r="M483" s="8" t="str">
        <f t="shared" si="82"/>
        <v>NPCReplacements=(FromClassName="OriginDodoreaper_Character_BP_Tameable_C",ToClassName="")</v>
      </c>
      <c r="N483" s="2"/>
    </row>
    <row r="484">
      <c r="B484" s="6"/>
      <c r="C484" s="4"/>
      <c r="D484" s="4"/>
      <c r="E484" s="9" t="s">
        <v>1435</v>
      </c>
      <c r="F484" s="9" t="s">
        <v>1393</v>
      </c>
      <c r="G484" s="10"/>
      <c r="H484" s="9" t="s">
        <v>1436</v>
      </c>
      <c r="I484" s="10" t="str">
        <f t="shared" si="79"/>
        <v>cheat summon OriginKairuku_Character_BP_C</v>
      </c>
      <c r="J484" s="10" t="str">
        <f t="shared" si="80"/>
        <v>admincheat GMSummon "OriginKairuku_Character_BP_C" 120</v>
      </c>
      <c r="K484" s="9" t="s">
        <v>1437</v>
      </c>
      <c r="L484" s="10" t="str">
        <f t="shared" si="81"/>
        <v>cheat SpawnDino "Blueprint'/PrimalChaos/1Bosses/Bosstiers/2Origins/Kairuku/OriginKairuku_Character_BP.OriginKairuku_Character_BP'" 150 0 0 35</v>
      </c>
      <c r="M484" s="10" t="str">
        <f t="shared" si="82"/>
        <v>NPCReplacements=(FromClassName="OriginKairuku_Character_BP_C",ToClassName="")</v>
      </c>
      <c r="N484" s="2"/>
    </row>
    <row r="485">
      <c r="B485" s="6"/>
      <c r="C485" s="4"/>
      <c r="D485" s="4"/>
      <c r="E485" s="60" t="s">
        <v>1438</v>
      </c>
      <c r="F485" s="7" t="s">
        <v>1393</v>
      </c>
      <c r="G485" s="8"/>
      <c r="H485" s="60" t="s">
        <v>1439</v>
      </c>
      <c r="I485" s="8" t="str">
        <f t="shared" si="79"/>
        <v>cheat summon OriginKairuku_Character_BP_Summon_C</v>
      </c>
      <c r="J485" s="8" t="str">
        <f t="shared" si="80"/>
        <v>admincheat GMSummon "OriginKairuku_Character_BP_Summon_C" 120</v>
      </c>
      <c r="K485" s="60" t="s">
        <v>1440</v>
      </c>
      <c r="L485" s="8" t="str">
        <f t="shared" si="81"/>
        <v>cheat SpawnDino "Blueprint'/PrimalChaos/1Bosses/Bosstiers/2Origins/Kairuku/BossSummon/OriginKairuku_Character_BP_Summon.OriginKairuku_Character_BP_Summon'" 150 0 0 35</v>
      </c>
      <c r="M485" s="8" t="str">
        <f t="shared" si="82"/>
        <v>NPCReplacements=(FromClassName="OriginKairuku_Character_BP_Summon_C",ToClassName="")</v>
      </c>
      <c r="N485" s="2"/>
    </row>
    <row r="486">
      <c r="B486" s="6"/>
      <c r="C486" s="4"/>
      <c r="D486" s="4"/>
      <c r="E486" s="58" t="s">
        <v>1441</v>
      </c>
      <c r="F486" s="9" t="s">
        <v>1393</v>
      </c>
      <c r="G486" s="10"/>
      <c r="H486" s="58" t="s">
        <v>1442</v>
      </c>
      <c r="I486" s="10" t="str">
        <f t="shared" si="79"/>
        <v>cheat summon OriginKairuku_Character_BP_Tameable_C</v>
      </c>
      <c r="J486" s="10" t="str">
        <f t="shared" si="80"/>
        <v>admincheat GMSummon "OriginKairuku_Character_BP_Tameable_C" 120</v>
      </c>
      <c r="K486" s="58" t="s">
        <v>1443</v>
      </c>
      <c r="L486" s="10" t="str">
        <f t="shared" si="81"/>
        <v>cheat SpawnDino "Blueprint'/PrimalChaos/1Bosses/Bosstiers/2Origins/Kairuku/Tameable/OriginKairuku_Character_BP_Tameable.OriginKairuku_Character_BP_Tameable'" 150 0 0 35</v>
      </c>
      <c r="M486" s="10" t="str">
        <f t="shared" si="82"/>
        <v>NPCReplacements=(FromClassName="OriginKairuku_Character_BP_Tameable_C",ToClassName="")</v>
      </c>
      <c r="N486" s="2"/>
    </row>
    <row r="487">
      <c r="B487" s="6"/>
      <c r="C487" s="4"/>
      <c r="D487" s="4"/>
      <c r="E487" s="7" t="s">
        <v>1444</v>
      </c>
      <c r="F487" s="7" t="s">
        <v>1393</v>
      </c>
      <c r="G487" s="8"/>
      <c r="H487" s="7" t="s">
        <v>1445</v>
      </c>
      <c r="I487" s="8" t="str">
        <f t="shared" si="79"/>
        <v>cheat summon OriginRaptor_Character_BP_C</v>
      </c>
      <c r="J487" s="8" t="str">
        <f t="shared" si="80"/>
        <v>admincheat GMSummon "OriginRaptor_Character_BP_C" 120</v>
      </c>
      <c r="K487" s="7" t="s">
        <v>1446</v>
      </c>
      <c r="L487" s="8" t="str">
        <f t="shared" si="81"/>
        <v>cheat SpawnDino "Blueprint'/PrimalChaos/1Bosses/Bosstiers/2Origins/Raptor/OriginRaptor_Character_BP.OriginRaptor_Character_BP'" 150 0 0 35</v>
      </c>
      <c r="M487" s="8" t="str">
        <f t="shared" si="82"/>
        <v>NPCReplacements=(FromClassName="OriginRaptor_Character_BP_C",ToClassName="")</v>
      </c>
      <c r="N487" s="2"/>
    </row>
    <row r="488">
      <c r="B488" s="6"/>
      <c r="C488" s="4"/>
      <c r="D488" s="4"/>
      <c r="E488" s="58" t="s">
        <v>1447</v>
      </c>
      <c r="F488" s="9" t="s">
        <v>1393</v>
      </c>
      <c r="G488" s="10"/>
      <c r="H488" s="58" t="s">
        <v>1448</v>
      </c>
      <c r="I488" s="10" t="str">
        <f t="shared" si="79"/>
        <v>cheat summon OriginRaptor_Character_BP_Summon_C</v>
      </c>
      <c r="J488" s="10" t="str">
        <f t="shared" si="80"/>
        <v>admincheat GMSummon "OriginRaptor_Character_BP_Summon_C" 120</v>
      </c>
      <c r="K488" s="58" t="s">
        <v>1449</v>
      </c>
      <c r="L488" s="10" t="str">
        <f t="shared" si="81"/>
        <v>cheat SpawnDino "Blueprint'/PrimalChaos/1Bosses/Bosstiers/2Origins/Raptor/BossSummon/OriginRaptor_Character_BP_Summon.OriginRaptor_Character_BP_Summon'" 150 0 0 35</v>
      </c>
      <c r="M488" s="10" t="str">
        <f t="shared" si="82"/>
        <v>NPCReplacements=(FromClassName="OriginRaptor_Character_BP_Summon_C",ToClassName="")</v>
      </c>
      <c r="N488" s="2"/>
    </row>
    <row r="489">
      <c r="B489" s="6"/>
      <c r="C489" s="4"/>
      <c r="D489" s="4"/>
      <c r="E489" s="60" t="s">
        <v>1450</v>
      </c>
      <c r="F489" s="7" t="s">
        <v>1393</v>
      </c>
      <c r="G489" s="8"/>
      <c r="H489" s="60" t="s">
        <v>1451</v>
      </c>
      <c r="I489" s="8" t="str">
        <f t="shared" si="79"/>
        <v>cheat summon OriginRaptor_Character_BP_Tameable_C</v>
      </c>
      <c r="J489" s="8" t="str">
        <f t="shared" si="80"/>
        <v>admincheat GMSummon "OriginRaptor_Character_BP_Tameable_C" 120</v>
      </c>
      <c r="K489" s="60" t="s">
        <v>1452</v>
      </c>
      <c r="L489" s="8" t="str">
        <f t="shared" si="81"/>
        <v>cheat SpawnDino "Blueprint'/PrimalChaos/1Bosses/Bosstiers/2Origins/Raptor/Tameable/OriginRaptor_Character_BP_Tameable.OriginRaptor_Character_BP_Tameable'" 150 0 0 35</v>
      </c>
      <c r="M489" s="8" t="str">
        <f t="shared" si="82"/>
        <v>NPCReplacements=(FromClassName="OriginRaptor_Character_BP_Tameable_C",ToClassName="")</v>
      </c>
      <c r="N489" s="2"/>
    </row>
    <row r="490">
      <c r="B490" s="6"/>
      <c r="C490" s="4"/>
      <c r="D490" s="4"/>
      <c r="E490" s="9" t="s">
        <v>1453</v>
      </c>
      <c r="F490" s="9" t="s">
        <v>1393</v>
      </c>
      <c r="G490" s="10"/>
      <c r="H490" s="9" t="s">
        <v>1454</v>
      </c>
      <c r="I490" s="10" t="str">
        <f t="shared" si="79"/>
        <v>cheat summon OriginRex_Character_BP_C</v>
      </c>
      <c r="J490" s="10" t="str">
        <f t="shared" si="80"/>
        <v>admincheat GMSummon "OriginRex_Character_BP_C" 120</v>
      </c>
      <c r="K490" s="9" t="s">
        <v>1455</v>
      </c>
      <c r="L490" s="10" t="str">
        <f t="shared" si="81"/>
        <v>cheat SpawnDino "Blueprint'/PrimalChaos/1Bosses/Bosstiers/2Origins/rex/OriginRex_Character_BP.OriginRex_Character_BP'" 150 0 0 35</v>
      </c>
      <c r="M490" s="10" t="str">
        <f t="shared" si="82"/>
        <v>NPCReplacements=(FromClassName="OriginRex_Character_BP_C",ToClassName="")</v>
      </c>
      <c r="N490" s="2"/>
    </row>
    <row r="491">
      <c r="B491" s="6"/>
      <c r="C491" s="4"/>
      <c r="D491" s="4"/>
      <c r="E491" s="60" t="s">
        <v>1456</v>
      </c>
      <c r="F491" s="7" t="s">
        <v>1393</v>
      </c>
      <c r="G491" s="8"/>
      <c r="H491" s="60" t="s">
        <v>1457</v>
      </c>
      <c r="I491" s="8" t="str">
        <f t="shared" si="79"/>
        <v>cheat summon OriginRex_Character_BP_Summon_C</v>
      </c>
      <c r="J491" s="8" t="str">
        <f t="shared" si="80"/>
        <v>admincheat GMSummon "OriginRex_Character_BP_Summon_C" 120</v>
      </c>
      <c r="K491" s="60" t="s">
        <v>1458</v>
      </c>
      <c r="L491" s="8" t="str">
        <f t="shared" si="81"/>
        <v>cheat SpawnDino "Blueprint'/PrimalChaos/1Bosses/Bosstiers/2Origins/rex/BossSummon/OriginRex_Character_BP_Summon.OriginRex_Character_BP_Summon'" 150 0 0 35</v>
      </c>
      <c r="M491" s="8" t="str">
        <f t="shared" si="82"/>
        <v>NPCReplacements=(FromClassName="OriginRex_Character_BP_Summon_C",ToClassName="")</v>
      </c>
      <c r="N491" s="2"/>
    </row>
    <row r="492">
      <c r="B492" s="6"/>
      <c r="C492" s="4"/>
      <c r="D492" s="4"/>
      <c r="E492" s="58" t="s">
        <v>1459</v>
      </c>
      <c r="F492" s="9" t="s">
        <v>1393</v>
      </c>
      <c r="G492" s="10"/>
      <c r="H492" s="58" t="s">
        <v>1460</v>
      </c>
      <c r="I492" s="10" t="str">
        <f t="shared" si="79"/>
        <v>cheat summon OriginRex_Character_BP_Tameable_C</v>
      </c>
      <c r="J492" s="10" t="str">
        <f t="shared" si="80"/>
        <v>admincheat GMSummon "OriginRex_Character_BP_Tameable_C" 120</v>
      </c>
      <c r="K492" s="58" t="s">
        <v>1461</v>
      </c>
      <c r="L492" s="10" t="str">
        <f t="shared" si="81"/>
        <v>cheat SpawnDino "Blueprint'/PrimalChaos/1Bosses/Bosstiers/2Origins/rex/Tameable/OriginRex_Character_BP_Tameable.OriginRex_Character_BP_Tameable'" 150 0 0 35</v>
      </c>
      <c r="M492" s="10" t="str">
        <f t="shared" si="82"/>
        <v>NPCReplacements=(FromClassName="OriginRex_Character_BP_Tameable_C",ToClassName="")</v>
      </c>
      <c r="N492" s="2"/>
    </row>
    <row r="493">
      <c r="B493" s="6"/>
      <c r="C493" s="4"/>
      <c r="D493" s="4"/>
      <c r="E493" s="7" t="s">
        <v>1462</v>
      </c>
      <c r="F493" s="7" t="s">
        <v>1393</v>
      </c>
      <c r="G493" s="8"/>
      <c r="H493" s="7" t="s">
        <v>1463</v>
      </c>
      <c r="I493" s="8" t="str">
        <f t="shared" si="79"/>
        <v>cheat summon OriginSpino_Character_BP_C</v>
      </c>
      <c r="J493" s="8" t="str">
        <f t="shared" si="80"/>
        <v>admincheat GMSummon "OriginSpino_Character_BP_C" 120</v>
      </c>
      <c r="K493" s="7" t="s">
        <v>1464</v>
      </c>
      <c r="L493" s="8" t="str">
        <f t="shared" si="81"/>
        <v>cheat SpawnDino "Blueprint'/PrimalChaos/1Bosses/Bosstiers/2Origins/Spino/OriginSpino_Character_BP.OriginSpino_Character_BP'" 150 0 0 35</v>
      </c>
      <c r="M493" s="8" t="str">
        <f t="shared" si="82"/>
        <v>NPCReplacements=(FromClassName="OriginSpino_Character_BP_C",ToClassName="")</v>
      </c>
      <c r="N493" s="2"/>
    </row>
    <row r="494">
      <c r="B494" s="6"/>
      <c r="C494" s="4"/>
      <c r="D494" s="4"/>
      <c r="E494" s="58" t="s">
        <v>1465</v>
      </c>
      <c r="F494" s="9" t="s">
        <v>1393</v>
      </c>
      <c r="G494" s="10"/>
      <c r="H494" s="58" t="s">
        <v>1466</v>
      </c>
      <c r="I494" s="10" t="str">
        <f t="shared" si="79"/>
        <v>cheat summon OriginSpino_Character_BP_Summon_C</v>
      </c>
      <c r="J494" s="10" t="str">
        <f t="shared" si="80"/>
        <v>admincheat GMSummon "OriginSpino_Character_BP_Summon_C" 120</v>
      </c>
      <c r="K494" s="58" t="s">
        <v>1467</v>
      </c>
      <c r="L494" s="10" t="str">
        <f t="shared" si="81"/>
        <v>cheat SpawnDino "Blueprint'/PrimalChaos/1Bosses/Bosstiers/2Origins/Spino/BossSummon/OriginSpino_Character_BP_Summon.OriginSpino_Character_BP_Summon'" 150 0 0 35</v>
      </c>
      <c r="M494" s="10" t="str">
        <f t="shared" si="82"/>
        <v>NPCReplacements=(FromClassName="OriginSpino_Character_BP_Summon_C",ToClassName="")</v>
      </c>
      <c r="N494" s="2"/>
    </row>
    <row r="495">
      <c r="B495" s="6"/>
      <c r="C495" s="4"/>
      <c r="D495" s="4"/>
      <c r="E495" s="60" t="s">
        <v>1468</v>
      </c>
      <c r="F495" s="7" t="s">
        <v>1393</v>
      </c>
      <c r="G495" s="8"/>
      <c r="H495" s="60" t="s">
        <v>1469</v>
      </c>
      <c r="I495" s="8" t="str">
        <f t="shared" si="79"/>
        <v>cheat summon OriginSpino_Character_BP_Tameable_C</v>
      </c>
      <c r="J495" s="8" t="str">
        <f t="shared" si="80"/>
        <v>admincheat GMSummon "OriginSpino_Character_BP_Tameable_C" 120</v>
      </c>
      <c r="K495" s="60" t="s">
        <v>1470</v>
      </c>
      <c r="L495" s="8" t="str">
        <f t="shared" si="81"/>
        <v>cheat SpawnDino "Blueprint'/PrimalChaos/1Bosses/Bosstiers/2Origins/Spino/Tameable/OriginSpino_Character_BP_Tameable.OriginSpino_Character_BP_Tameable'" 150 0 0 35</v>
      </c>
      <c r="M495" s="8" t="str">
        <f t="shared" si="82"/>
        <v>NPCReplacements=(FromClassName="OriginSpino_Character_BP_Tameable_C",ToClassName="")</v>
      </c>
      <c r="N495" s="2"/>
    </row>
    <row r="496">
      <c r="B496" s="6"/>
      <c r="C496" s="4"/>
      <c r="D496" s="4"/>
      <c r="E496" s="58" t="s">
        <v>1471</v>
      </c>
      <c r="F496" s="9" t="s">
        <v>1393</v>
      </c>
      <c r="G496" s="10"/>
      <c r="H496" s="58" t="s">
        <v>1472</v>
      </c>
      <c r="I496" s="10" t="str">
        <f t="shared" si="79"/>
        <v>cheat summon OriginTrike_Character_BP_C</v>
      </c>
      <c r="J496" s="10" t="str">
        <f t="shared" si="80"/>
        <v>admincheat GMSummon "OriginTrike_Character_BP_C" 120</v>
      </c>
      <c r="K496" s="58" t="s">
        <v>1473</v>
      </c>
      <c r="L496" s="10" t="str">
        <f t="shared" si="81"/>
        <v>cheat SpawnDino "Blueprint'/PrimalChaos/1Bosses/Bosstiers/2Origins/Trike/OriginTrike_Character_BP.OriginTrike_Character_BP'" 150 0 0 35</v>
      </c>
      <c r="M496" s="10" t="str">
        <f t="shared" si="82"/>
        <v>NPCReplacements=(FromClassName="OriginTrike_Character_BP_C",ToClassName="")</v>
      </c>
      <c r="N496" s="2"/>
    </row>
    <row r="497">
      <c r="B497" s="6"/>
      <c r="C497" s="4"/>
      <c r="D497" s="4"/>
      <c r="E497" s="60" t="s">
        <v>1474</v>
      </c>
      <c r="F497" s="7" t="s">
        <v>1393</v>
      </c>
      <c r="G497" s="8"/>
      <c r="H497" s="60" t="s">
        <v>1475</v>
      </c>
      <c r="I497" s="8" t="str">
        <f t="shared" si="79"/>
        <v>cheat summon OriginTrike_Character_BP_Summon_C</v>
      </c>
      <c r="J497" s="8" t="str">
        <f t="shared" si="80"/>
        <v>admincheat GMSummon "OriginTrike_Character_BP_Summon_C" 120</v>
      </c>
      <c r="K497" s="60" t="s">
        <v>1476</v>
      </c>
      <c r="L497" s="8" t="str">
        <f t="shared" si="81"/>
        <v>cheat SpawnDino "Blueprint'/PrimalChaos/1Bosses/Bosstiers/2Origins/Trike/BossSummon/OriginTrike_Character_BP_Summon.OriginTrike_Character_BP_Summon'" 150 0 0 35</v>
      </c>
      <c r="M497" s="8" t="str">
        <f t="shared" si="82"/>
        <v>NPCReplacements=(FromClassName="OriginTrike_Character_BP_Summon_C",ToClassName="")</v>
      </c>
      <c r="N497" s="2"/>
    </row>
    <row r="498">
      <c r="B498" s="6"/>
      <c r="C498" s="4"/>
      <c r="D498" s="4"/>
      <c r="E498" s="58" t="s">
        <v>1477</v>
      </c>
      <c r="F498" s="9" t="s">
        <v>1393</v>
      </c>
      <c r="G498" s="10"/>
      <c r="H498" s="58" t="s">
        <v>1478</v>
      </c>
      <c r="I498" s="10" t="str">
        <f t="shared" si="79"/>
        <v>cheat summon OriginTrike_Character_BP_Tameable_C</v>
      </c>
      <c r="J498" s="10" t="str">
        <f t="shared" si="80"/>
        <v>admincheat GMSummon "OriginTrike_Character_BP_Tameable_C" 120</v>
      </c>
      <c r="K498" s="58" t="s">
        <v>1479</v>
      </c>
      <c r="L498" s="10" t="str">
        <f t="shared" si="81"/>
        <v>cheat SpawnDino "Blueprint'/PrimalChaos/1Bosses/Bosstiers/2Origins/Trike/Tameable/OriginTrike_Character_BP_Tameable.OriginTrike_Character_BP_Tameable'" 150 0 0 35</v>
      </c>
      <c r="M498" s="10" t="str">
        <f t="shared" si="82"/>
        <v>NPCReplacements=(FromClassName="OriginTrike_Character_BP_Tameable_C",ToClassName="")</v>
      </c>
      <c r="N498" s="2"/>
    </row>
    <row r="499">
      <c r="B499" s="6"/>
      <c r="C499" s="4"/>
      <c r="D499" s="4"/>
      <c r="E499" s="7" t="s">
        <v>1480</v>
      </c>
      <c r="F499" s="7" t="s">
        <v>1393</v>
      </c>
      <c r="G499" s="8"/>
      <c r="H499" s="7" t="s">
        <v>1481</v>
      </c>
      <c r="I499" s="8" t="str">
        <f t="shared" si="79"/>
        <v>cheat summon OriginWyvern_Character_BP_C</v>
      </c>
      <c r="J499" s="8" t="str">
        <f t="shared" si="80"/>
        <v>admincheat GMSummon "OriginWyvern_Character_BP_C" 120</v>
      </c>
      <c r="K499" s="7" t="s">
        <v>1482</v>
      </c>
      <c r="L499" s="8" t="str">
        <f t="shared" si="81"/>
        <v>cheat SpawnDino "Blueprint'/PrimalChaos/1Bosses/Bosstiers/2Origins/Wyvern/OriginWyvern_Character_BP.OriginWyvern_Character_BP'" 150 0 0 35</v>
      </c>
      <c r="M499" s="8" t="str">
        <f t="shared" si="82"/>
        <v>NPCReplacements=(FromClassName="OriginWyvern_Character_BP_C",ToClassName="")</v>
      </c>
      <c r="N499" s="2"/>
    </row>
    <row r="500">
      <c r="B500" s="6"/>
      <c r="C500" s="4"/>
      <c r="D500" s="4"/>
      <c r="E500" s="58" t="s">
        <v>1483</v>
      </c>
      <c r="F500" s="9" t="s">
        <v>1393</v>
      </c>
      <c r="G500" s="10"/>
      <c r="H500" s="58" t="s">
        <v>1484</v>
      </c>
      <c r="I500" s="10" t="str">
        <f t="shared" si="79"/>
        <v>cheat summon OriginWyvern_Character_BP_Summon_C</v>
      </c>
      <c r="J500" s="10" t="str">
        <f t="shared" si="80"/>
        <v>admincheat GMSummon "OriginWyvern_Character_BP_Summon_C" 120</v>
      </c>
      <c r="K500" s="58" t="s">
        <v>1485</v>
      </c>
      <c r="L500" s="10" t="str">
        <f t="shared" si="81"/>
        <v>cheat SpawnDino "Blueprint'/PrimalChaos/1Bosses/Bosstiers/2Origins/Wyvern/BossSummon/OriginWyvern_Character_BP_Summon.OriginWyvern_Character_BP_Summon'" 150 0 0 35</v>
      </c>
      <c r="M500" s="10" t="str">
        <f t="shared" si="82"/>
        <v>NPCReplacements=(FromClassName="OriginWyvern_Character_BP_Summon_C",ToClassName="")</v>
      </c>
      <c r="N500" s="2"/>
    </row>
    <row r="501">
      <c r="B501" s="6"/>
      <c r="C501" s="4"/>
      <c r="D501" s="4"/>
      <c r="E501" s="60" t="s">
        <v>1486</v>
      </c>
      <c r="F501" s="7" t="s">
        <v>1393</v>
      </c>
      <c r="G501" s="8"/>
      <c r="H501" s="60" t="s">
        <v>1487</v>
      </c>
      <c r="I501" s="8" t="str">
        <f t="shared" si="79"/>
        <v>cheat summon OriginWyvern_Character_BP_Tameable_C</v>
      </c>
      <c r="J501" s="8" t="str">
        <f t="shared" si="80"/>
        <v>admincheat GMSummon "OriginWyvern_Character_BP_Tameable_C" 120</v>
      </c>
      <c r="K501" s="60" t="s">
        <v>1488</v>
      </c>
      <c r="L501" s="8" t="str">
        <f t="shared" si="81"/>
        <v>cheat SpawnDino "Blueprint'/PrimalChaos/1Bosses/Bosstiers/2Origins/Wyvern/Tameable/OriginWyvern_Character_BP_Tameable.OriginWyvern_Character_BP_Tameable'" 150 0 0 35</v>
      </c>
      <c r="M501" s="8" t="str">
        <f t="shared" si="82"/>
        <v>NPCReplacements=(FromClassName="OriginWyvern_Character_BP_Tameable_C",ToClassName="")</v>
      </c>
      <c r="N501" s="2"/>
    </row>
    <row r="502">
      <c r="B502" s="6"/>
      <c r="C502" s="4"/>
      <c r="D502" s="4"/>
      <c r="E502" s="58" t="s">
        <v>1489</v>
      </c>
      <c r="F502" s="9" t="s">
        <v>1393</v>
      </c>
      <c r="G502" s="10"/>
      <c r="H502" s="58" t="s">
        <v>1490</v>
      </c>
      <c r="I502" s="10" t="str">
        <f t="shared" si="79"/>
        <v>cheat summon OriginYutyrannus_Character_BP_C</v>
      </c>
      <c r="J502" s="10" t="str">
        <f t="shared" si="80"/>
        <v>admincheat GMSummon "OriginYutyrannus_Character_BP_C" 120</v>
      </c>
      <c r="K502" s="58" t="s">
        <v>1491</v>
      </c>
      <c r="L502" s="10" t="str">
        <f t="shared" si="81"/>
        <v>cheat SpawnDino "Blueprint'/PrimalChaos/1Bosses/Bosstiers/2Origins/yuty/OriginYutyrannus_Character_BP.OriginYutyrannus_Character_BP'" 150 0 0 35</v>
      </c>
      <c r="M502" s="10" t="str">
        <f t="shared" si="82"/>
        <v>NPCReplacements=(FromClassName="OriginYutyrannus_Character_BP_C",ToClassName="")</v>
      </c>
      <c r="N502" s="2"/>
    </row>
    <row r="503">
      <c r="B503" s="6"/>
      <c r="C503" s="4"/>
      <c r="D503" s="4"/>
      <c r="E503" s="60" t="s">
        <v>1492</v>
      </c>
      <c r="F503" s="7" t="s">
        <v>1393</v>
      </c>
      <c r="G503" s="8"/>
      <c r="H503" s="60" t="s">
        <v>1493</v>
      </c>
      <c r="I503" s="8" t="str">
        <f t="shared" si="79"/>
        <v>cheat summon OriginYutyrannus_Character_BP_Summon_C</v>
      </c>
      <c r="J503" s="8" t="str">
        <f t="shared" si="80"/>
        <v>admincheat GMSummon "OriginYutyrannus_Character_BP_Summon_C" 120</v>
      </c>
      <c r="K503" s="60" t="s">
        <v>1494</v>
      </c>
      <c r="L503" s="8" t="str">
        <f t="shared" si="81"/>
        <v>cheat SpawnDino "Blueprint'/PrimalChaos/1Bosses/Bosstiers/2Origins/yuty/BossSummon/OriginYutyrannus_Character_BP_Summon.OriginYutyrannus_Character_BP_Summon'" 150 0 0 35</v>
      </c>
      <c r="M503" s="8" t="str">
        <f t="shared" si="82"/>
        <v>NPCReplacements=(FromClassName="OriginYutyrannus_Character_BP_Summon_C",ToClassName="")</v>
      </c>
      <c r="N503" s="2"/>
    </row>
    <row r="504">
      <c r="B504" s="6"/>
      <c r="C504" s="4"/>
      <c r="D504" s="4"/>
      <c r="E504" s="58" t="s">
        <v>1495</v>
      </c>
      <c r="F504" s="9" t="s">
        <v>1393</v>
      </c>
      <c r="G504" s="10"/>
      <c r="H504" s="58" t="s">
        <v>1496</v>
      </c>
      <c r="I504" s="10" t="str">
        <f t="shared" si="79"/>
        <v>cheat summon OriginYutyrannus_Character_BP_Tameable_C</v>
      </c>
      <c r="J504" s="10" t="str">
        <f t="shared" si="80"/>
        <v>admincheat GMSummon "OriginYutyrannus_Character_BP_Tameable_C" 120</v>
      </c>
      <c r="K504" s="58" t="s">
        <v>1497</v>
      </c>
      <c r="L504" s="10" t="str">
        <f t="shared" si="81"/>
        <v>cheat SpawnDino "Blueprint'/PrimalChaos/1Bosses/Bosstiers/2Origins/yuty/Tameable/OriginYutyrannus_Character_BP_Tameable.OriginYutyrannus_Character_BP_Tameable'" 150 0 0 35</v>
      </c>
      <c r="M504" s="10" t="str">
        <f t="shared" si="82"/>
        <v>NPCReplacements=(FromClassName="OriginYutyrannus_Character_BP_Tameable_C",ToClassName="")</v>
      </c>
      <c r="N504" s="2"/>
    </row>
    <row r="505">
      <c r="B505" s="6"/>
      <c r="C505" s="4"/>
      <c r="D505" s="4"/>
      <c r="E505" s="38" t="s">
        <v>1498</v>
      </c>
      <c r="F505" s="7" t="s">
        <v>1499</v>
      </c>
      <c r="G505" s="8"/>
      <c r="H505" s="60" t="s">
        <v>1500</v>
      </c>
      <c r="I505" s="8" t="str">
        <f t="shared" si="79"/>
        <v>cheat summon MrArtifact_Megatherium_Character_BP_C</v>
      </c>
      <c r="J505" s="8" t="str">
        <f t="shared" si="80"/>
        <v>admincheat GMSummon "MrArtifact_Megatherium_Character_BP_C" 120</v>
      </c>
      <c r="K505" s="60" t="s">
        <v>1501</v>
      </c>
      <c r="L505" s="8" t="str">
        <f t="shared" si="81"/>
        <v>cheat SpawnDino "Blueprint'/PrimalChaos/1Bosses/Bosses/MRartifactTheStronger/Megatherium/MrArtifact_Megatherium_Character_BP.MrArtifact_Megatherium_Character_BP'" 150 0 0 35</v>
      </c>
      <c r="M505" s="8" t="str">
        <f t="shared" si="82"/>
        <v>NPCReplacements=(FromClassName="MrArtifact_Megatherium_Character_BP_C",ToClassName="")</v>
      </c>
      <c r="N505" s="2"/>
    </row>
    <row r="506">
      <c r="B506" s="6"/>
      <c r="C506" s="4"/>
      <c r="D506" s="4"/>
      <c r="E506" s="58" t="s">
        <v>1502</v>
      </c>
      <c r="F506" s="9" t="s">
        <v>1499</v>
      </c>
      <c r="G506" s="10"/>
      <c r="H506" s="58" t="s">
        <v>1503</v>
      </c>
      <c r="I506" s="10" t="str">
        <f t="shared" si="79"/>
        <v>cheat summon MrArtifactTheOriginal_Character_BP_C</v>
      </c>
      <c r="J506" s="10" t="str">
        <f t="shared" si="80"/>
        <v>admincheat GMSummon "MrArtifactTheOriginal_Character_BP_C" 120</v>
      </c>
      <c r="K506" s="58" t="s">
        <v>1504</v>
      </c>
      <c r="L506" s="10" t="str">
        <f t="shared" si="81"/>
        <v>cheat SpawnDino "Blueprint'/PrimalChaos/1Bosses/Bosses/MrArtifactTheOriginal/MrArtifactTheOriginal_Character_BP.MrArtifactTheOriginal_Character_BP'" 150 0 0 35</v>
      </c>
      <c r="M506" s="10" t="str">
        <f t="shared" si="82"/>
        <v>NPCReplacements=(FromClassName="MrArtifactTheOriginal_Character_BP_C",ToClassName="")</v>
      </c>
      <c r="N506" s="2"/>
    </row>
    <row r="507">
      <c r="B507" s="6"/>
      <c r="C507" s="4"/>
      <c r="D507" s="4"/>
      <c r="E507" s="7" t="s">
        <v>1505</v>
      </c>
      <c r="F507" s="7" t="s">
        <v>1506</v>
      </c>
      <c r="G507" s="8"/>
      <c r="H507" s="7" t="s">
        <v>1507</v>
      </c>
      <c r="I507" s="8" t="str">
        <f t="shared" si="79"/>
        <v>cheat summon PrimalResurrected_Carno_Character_BP_C</v>
      </c>
      <c r="J507" s="8" t="str">
        <f t="shared" si="80"/>
        <v>admincheat GMSummon "PrimalResurrected_Carno_Character_BP_C" 120</v>
      </c>
      <c r="K507" s="7" t="s">
        <v>1508</v>
      </c>
      <c r="L507" s="8" t="str">
        <f t="shared" si="81"/>
        <v>cheat SpawnDino "Blueprint'/PrimalChaos/1Dinos/6PrimalResurrected/Carno/PrimalResurrected_Carno_Character_BP.PrimalResurrected_Carno_Character_BP'" 150 0 0 35</v>
      </c>
      <c r="M507" s="8" t="str">
        <f t="shared" si="82"/>
        <v>NPCReplacements=(FromClassName="PrimalResurrected_Carno_Character_BP_C",ToClassName="")</v>
      </c>
      <c r="N507" s="2"/>
    </row>
    <row r="508">
      <c r="B508" s="6"/>
      <c r="C508" s="4"/>
      <c r="D508" s="4"/>
      <c r="E508" s="9" t="s">
        <v>1509</v>
      </c>
      <c r="F508" s="9" t="s">
        <v>1506</v>
      </c>
      <c r="G508" s="10"/>
      <c r="H508" s="9" t="s">
        <v>1510</v>
      </c>
      <c r="I508" s="10" t="str">
        <f t="shared" si="79"/>
        <v>cheat summon PrimalResurrected_Gigant_Character_BP_C</v>
      </c>
      <c r="J508" s="10" t="str">
        <f t="shared" si="80"/>
        <v>admincheat GMSummon "PrimalResurrected_Gigant_Character_BP_C" 120</v>
      </c>
      <c r="K508" s="9" t="s">
        <v>1511</v>
      </c>
      <c r="L508" s="10" t="str">
        <f t="shared" si="81"/>
        <v>cheat SpawnDino "Blueprint'/PrimalChaos/1Dinos/6PrimalResurrected/Giga/PrimalResurrected_Gigant_Character_BP.PrimalResurrected_Gigant_Character_BP'" 150 0 0 35</v>
      </c>
      <c r="M508" s="10" t="str">
        <f t="shared" si="82"/>
        <v>NPCReplacements=(FromClassName="PrimalResurrected_Gigant_Character_BP_C",ToClassName="")</v>
      </c>
      <c r="N508" s="2"/>
    </row>
    <row r="509">
      <c r="B509" s="6"/>
      <c r="C509" s="4"/>
      <c r="D509" s="4"/>
      <c r="E509" s="7" t="s">
        <v>1512</v>
      </c>
      <c r="F509" s="7" t="s">
        <v>1506</v>
      </c>
      <c r="G509" s="8"/>
      <c r="H509" s="7" t="s">
        <v>1513</v>
      </c>
      <c r="I509" s="8" t="str">
        <f t="shared" si="79"/>
        <v>cheat summon PrimalResurrected_Raptor_Character_BP_C</v>
      </c>
      <c r="J509" s="8" t="str">
        <f t="shared" si="80"/>
        <v>admincheat GMSummon "PrimalResurrected_Raptor_Character_BP_C" 120</v>
      </c>
      <c r="K509" s="7" t="s">
        <v>1514</v>
      </c>
      <c r="L509" s="8" t="str">
        <f t="shared" si="81"/>
        <v>cheat SpawnDino "Blueprint'/PrimalChaos/1Dinos/6PrimalResurrected/Raptor/PrimalResurrected_Raptor_Character_BP.PrimalResurrected_Raptor_Character_BP'" 150 0 0 35</v>
      </c>
      <c r="M509" s="8" t="str">
        <f t="shared" si="82"/>
        <v>NPCReplacements=(FromClassName="PrimalResurrected_Raptor_Character_BP_C",ToClassName="")</v>
      </c>
      <c r="N509" s="2"/>
    </row>
    <row r="510">
      <c r="B510" s="6"/>
      <c r="C510" s="4"/>
      <c r="D510" s="4"/>
      <c r="E510" s="9" t="s">
        <v>1515</v>
      </c>
      <c r="F510" s="9" t="s">
        <v>1506</v>
      </c>
      <c r="G510" s="10"/>
      <c r="H510" s="9" t="s">
        <v>1516</v>
      </c>
      <c r="I510" s="10" t="str">
        <f t="shared" si="79"/>
        <v>cheat summon PrimalResurrected_Rex_Character_BP_C</v>
      </c>
      <c r="J510" s="10" t="str">
        <f t="shared" si="80"/>
        <v>admincheat GMSummon "PrimalResurrected_Rex_Character_BP_C" 120</v>
      </c>
      <c r="K510" s="9" t="s">
        <v>1517</v>
      </c>
      <c r="L510" s="10" t="str">
        <f t="shared" si="81"/>
        <v>cheat SpawnDino "Blueprint'/PrimalChaos/1Dinos/6PrimalResurrected/Rex/PrimalResurrected_Rex_Character_BP.PrimalResurrected_Rex_Character_BP'" 150 0 0 35</v>
      </c>
      <c r="M510" s="10" t="str">
        <f t="shared" si="82"/>
        <v>NPCReplacements=(FromClassName="PrimalResurrected_Rex_Character_BP_C",ToClassName="")</v>
      </c>
      <c r="N510" s="2"/>
    </row>
    <row r="511">
      <c r="B511" s="6"/>
      <c r="C511" s="4"/>
      <c r="D511" s="4"/>
      <c r="E511" s="7" t="s">
        <v>1518</v>
      </c>
      <c r="F511" s="7" t="s">
        <v>1506</v>
      </c>
      <c r="G511" s="8"/>
      <c r="H511" s="7" t="s">
        <v>1519</v>
      </c>
      <c r="I511" s="8" t="str">
        <f t="shared" si="79"/>
        <v>cheat summon PrimalResurrected_Sauropod_Character_BP_C</v>
      </c>
      <c r="J511" s="8" t="str">
        <f t="shared" si="80"/>
        <v>admincheat GMSummon "PrimalResurrected_Sauropod_Character_BP_C" 120</v>
      </c>
      <c r="K511" s="7" t="s">
        <v>1520</v>
      </c>
      <c r="L511" s="8" t="str">
        <f t="shared" si="81"/>
        <v>cheat SpawnDino "Blueprint'/PrimalChaos/1Dinos/6PrimalResurrected/Bronto/PrimalResurrected_Sauropod_Character_BP.PrimalResurrected_Sauropod_Character_BP'" 150 0 0 35</v>
      </c>
      <c r="M511" s="8" t="str">
        <f t="shared" si="82"/>
        <v>NPCReplacements=(FromClassName="PrimalResurrected_Sauropod_Character_BP_C",ToClassName="")</v>
      </c>
      <c r="N511" s="2"/>
    </row>
    <row r="512">
      <c r="B512" s="6"/>
      <c r="C512" s="4"/>
      <c r="D512" s="4"/>
      <c r="E512" s="9" t="s">
        <v>1521</v>
      </c>
      <c r="F512" s="9" t="s">
        <v>1506</v>
      </c>
      <c r="G512" s="10"/>
      <c r="H512" s="9" t="s">
        <v>1522</v>
      </c>
      <c r="I512" s="10" t="str">
        <f t="shared" si="79"/>
        <v>cheat summon PrimalResurrected_Stego_Character_BP_C</v>
      </c>
      <c r="J512" s="10" t="str">
        <f t="shared" si="80"/>
        <v>admincheat GMSummon "PrimalResurrected_Stego_Character_BP_C" 120</v>
      </c>
      <c r="K512" s="9" t="s">
        <v>1523</v>
      </c>
      <c r="L512" s="10" t="str">
        <f t="shared" si="81"/>
        <v>cheat SpawnDino "Blueprint'/PrimalChaos/1Dinos/6PrimalResurrected/Stego/PrimalResurrected_Stego_Character_BP.PrimalResurrected_Stego_Character_BP'" 150 0 0 35</v>
      </c>
      <c r="M512" s="10" t="str">
        <f t="shared" si="82"/>
        <v>NPCReplacements=(FromClassName="PrimalResurrected_Stego_Character_BP_C",ToClassName="")</v>
      </c>
      <c r="N512" s="2"/>
    </row>
    <row r="513">
      <c r="B513" s="6"/>
      <c r="C513" s="4"/>
      <c r="D513" s="4"/>
      <c r="E513" s="7" t="s">
        <v>1524</v>
      </c>
      <c r="F513" s="7" t="s">
        <v>1506</v>
      </c>
      <c r="G513" s="8"/>
      <c r="H513" s="7" t="s">
        <v>1525</v>
      </c>
      <c r="I513" s="8" t="str">
        <f t="shared" si="79"/>
        <v>cheat summon PrimalResurrected_Trike_Character_BP_C</v>
      </c>
      <c r="J513" s="8" t="str">
        <f t="shared" si="80"/>
        <v>admincheat GMSummon "PrimalResurrected_Trike_Character_BP_C" 120</v>
      </c>
      <c r="K513" s="7" t="s">
        <v>1526</v>
      </c>
      <c r="L513" s="8" t="str">
        <f t="shared" si="81"/>
        <v>cheat SpawnDino "Blueprint'/PrimalChaos/1Dinos/6PrimalResurrected/Trike/PrimalResurrected_Trike_Character_BP.PrimalResurrected_Trike_Character_BP'" 150 0 0 35</v>
      </c>
      <c r="M513" s="8" t="str">
        <f t="shared" si="82"/>
        <v>NPCReplacements=(FromClassName="PrimalResurrected_Trike_Character_BP_C",ToClassName="")</v>
      </c>
      <c r="N513" s="2"/>
    </row>
    <row r="514">
      <c r="B514" s="6"/>
      <c r="C514" s="4"/>
      <c r="D514" s="4"/>
      <c r="E514" s="9" t="s">
        <v>1527</v>
      </c>
      <c r="F514" s="9" t="s">
        <v>1506</v>
      </c>
      <c r="G514" s="10"/>
      <c r="H514" s="9" t="s">
        <v>1528</v>
      </c>
      <c r="I514" s="10" t="str">
        <f t="shared" si="79"/>
        <v>cheat summon PrimalResurrected_Wyvern_Character_BP_C</v>
      </c>
      <c r="J514" s="10" t="str">
        <f t="shared" si="80"/>
        <v>admincheat GMSummon "PrimalResurrected_Wyvern_Character_BP_C" 120</v>
      </c>
      <c r="K514" s="9" t="s">
        <v>1529</v>
      </c>
      <c r="L514" s="10" t="str">
        <f t="shared" si="81"/>
        <v>cheat SpawnDino "Blueprint'/PrimalChaos/1Dinos/6PrimalResurrected/Wyvern/PrimalResurrected_Wyvern_Character_BP.PrimalResurrected_Wyvern_Character_BP'" 150 0 0 35</v>
      </c>
      <c r="M514" s="10" t="str">
        <f t="shared" si="82"/>
        <v>NPCReplacements=(FromClassName="PrimalResurrected_Wyvern_Character_BP_C",ToClassName="")</v>
      </c>
      <c r="N514" s="2"/>
    </row>
    <row r="515">
      <c r="B515" s="6"/>
      <c r="C515" s="15"/>
      <c r="D515" s="15"/>
      <c r="E515" s="38" t="s">
        <v>1530</v>
      </c>
      <c r="F515" s="7" t="s">
        <v>1531</v>
      </c>
      <c r="G515" s="8"/>
      <c r="H515" s="60" t="s">
        <v>1532</v>
      </c>
      <c r="I515" s="8" t="str">
        <f t="shared" si="79"/>
        <v>cheat summon PrimalAllo_Character_BP_PC_C</v>
      </c>
      <c r="J515" s="8" t="str">
        <f t="shared" si="80"/>
        <v>admincheat GMSummon "PrimalAllo_Character_BP_PC_C" 120</v>
      </c>
      <c r="K515" s="60" t="s">
        <v>1533</v>
      </c>
      <c r="L515" s="8" t="str">
        <f t="shared" si="81"/>
        <v>cheat SpawnDino "Blueprint'/PrimalChaos/1Bosses/Bosstiers/1Primal/Allo/PrimalAllo_Character_BP_PC.PrimalAllo_Character_BP_PC'" 150 0 0 35</v>
      </c>
      <c r="M515" s="8" t="str">
        <f t="shared" si="82"/>
        <v>NPCReplacements=(FromClassName="PrimalAllo_Character_BP_PC_C",ToClassName="")</v>
      </c>
      <c r="N515" s="2"/>
    </row>
    <row r="516">
      <c r="B516" s="6"/>
      <c r="C516" s="15"/>
      <c r="D516" s="15"/>
      <c r="E516" s="55" t="s">
        <v>1534</v>
      </c>
      <c r="F516" s="9" t="s">
        <v>1531</v>
      </c>
      <c r="G516" s="10"/>
      <c r="H516" s="58" t="s">
        <v>1535</v>
      </c>
      <c r="I516" s="10" t="str">
        <f t="shared" si="79"/>
        <v>cheat summon PrimalCarno_Character_BP_PC_C</v>
      </c>
      <c r="J516" s="10" t="str">
        <f t="shared" si="80"/>
        <v>admincheat GMSummon "PrimalCarno_Character_BP_PC_C" 120</v>
      </c>
      <c r="K516" s="58" t="s">
        <v>1536</v>
      </c>
      <c r="L516" s="10" t="str">
        <f t="shared" si="81"/>
        <v>cheat SpawnDino "Blueprint'/PrimalChaos/1Bosses/Bosstiers/1Primal/Carno/PrimalCarno_Character_BP_PC.PrimalCarno_Character_BP_PC'" 150 0 0 35</v>
      </c>
      <c r="M516" s="10" t="str">
        <f t="shared" si="82"/>
        <v>NPCReplacements=(FromClassName="PrimalCarno_Character_BP_PC_C",ToClassName="")</v>
      </c>
      <c r="N516" s="2"/>
    </row>
    <row r="517">
      <c r="B517" s="6"/>
      <c r="C517" s="15"/>
      <c r="D517" s="15"/>
      <c r="E517" s="38" t="s">
        <v>1537</v>
      </c>
      <c r="F517" s="7" t="s">
        <v>1531</v>
      </c>
      <c r="G517" s="8"/>
      <c r="H517" s="60" t="s">
        <v>1538</v>
      </c>
      <c r="I517" s="8" t="str">
        <f t="shared" si="79"/>
        <v>cheat summon PrimalDirebear_Character_BP_PC_C</v>
      </c>
      <c r="J517" s="8" t="str">
        <f t="shared" si="80"/>
        <v>admincheat GMSummon "PrimalDirebear_Character_BP_PC_C" 120</v>
      </c>
      <c r="K517" s="60" t="s">
        <v>1539</v>
      </c>
      <c r="L517" s="8" t="str">
        <f t="shared" si="81"/>
        <v>cheat SpawnDino "Blueprint'/PrimalChaos/1Bosses/Bosstiers/1Primal/Bear/PrimalDirebear_Character_BP_PC.PrimalDirebear_Character_BP_PC'" 150 0 0 35</v>
      </c>
      <c r="M517" s="8" t="str">
        <f t="shared" si="82"/>
        <v>NPCReplacements=(FromClassName="PrimalDirebear_Character_BP_PC_C",ToClassName="")</v>
      </c>
      <c r="N517" s="2"/>
    </row>
    <row r="518">
      <c r="B518" s="6"/>
      <c r="C518" s="15"/>
      <c r="D518" s="15"/>
      <c r="E518" s="55" t="s">
        <v>1540</v>
      </c>
      <c r="F518" s="9" t="s">
        <v>1531</v>
      </c>
      <c r="G518" s="10"/>
      <c r="H518" s="58" t="s">
        <v>1541</v>
      </c>
      <c r="I518" s="10" t="str">
        <f t="shared" si="79"/>
        <v>cheat summon PrimalGigant_Character_BP_PC_C</v>
      </c>
      <c r="J518" s="10" t="str">
        <f t="shared" si="80"/>
        <v>admincheat GMSummon "PrimalGigant_Character_BP_PC_C" 120</v>
      </c>
      <c r="K518" s="58" t="s">
        <v>1542</v>
      </c>
      <c r="L518" s="10" t="str">
        <f t="shared" si="81"/>
        <v>cheat SpawnDino "Blueprint'/PrimalChaos/1Bosses/Bosstiers/1Primal/Giga/PrimalGigant_Character_BP_PC.PrimalGigant_Character_BP_PC'" 150 0 0 35</v>
      </c>
      <c r="M518" s="10" t="str">
        <f t="shared" si="82"/>
        <v>NPCReplacements=(FromClassName="PrimalGigant_Character_BP_PC_C",ToClassName="")</v>
      </c>
      <c r="N518" s="2"/>
    </row>
    <row r="519">
      <c r="B519" s="6"/>
      <c r="C519" s="15"/>
      <c r="D519" s="15"/>
      <c r="E519" s="38" t="s">
        <v>1543</v>
      </c>
      <c r="F519" s="7" t="s">
        <v>1531</v>
      </c>
      <c r="G519" s="8"/>
      <c r="H519" s="60" t="s">
        <v>1544</v>
      </c>
      <c r="I519" s="8" t="str">
        <f t="shared" si="79"/>
        <v>cheat summon PrimalKentro_Character_BP_PC_C</v>
      </c>
      <c r="J519" s="8" t="str">
        <f t="shared" si="80"/>
        <v>admincheat GMSummon "PrimalKentro_Character_BP_PC_C" 120</v>
      </c>
      <c r="K519" s="60" t="s">
        <v>1545</v>
      </c>
      <c r="L519" s="8" t="str">
        <f t="shared" si="81"/>
        <v>cheat SpawnDino "Blueprint'/PrimalChaos/1Bosses/Bosstiers/1Primal/Kentro/PrimalKentro_Character_BP_PC.PrimalKentro_Character_BP_PC'" 150 0 0 35</v>
      </c>
      <c r="M519" s="8" t="str">
        <f t="shared" si="82"/>
        <v>NPCReplacements=(FromClassName="PrimalKentro_Character_BP_PC_C",ToClassName="")</v>
      </c>
      <c r="N519" s="2"/>
    </row>
    <row r="520">
      <c r="B520" s="6"/>
      <c r="C520" s="15"/>
      <c r="D520" s="15"/>
      <c r="E520" s="55" t="s">
        <v>1546</v>
      </c>
      <c r="F520" s="9" t="s">
        <v>1531</v>
      </c>
      <c r="G520" s="10"/>
      <c r="H520" s="58" t="s">
        <v>1547</v>
      </c>
      <c r="I520" s="10" t="str">
        <f t="shared" si="79"/>
        <v>cheat summon PrimalMegalodon_Character_BP_PC_C</v>
      </c>
      <c r="J520" s="10" t="str">
        <f t="shared" si="80"/>
        <v>admincheat GMSummon "PrimalMegalodon_Character_BP_PC_C" 120</v>
      </c>
      <c r="K520" s="58" t="s">
        <v>1548</v>
      </c>
      <c r="L520" s="10" t="str">
        <f t="shared" si="81"/>
        <v>cheat SpawnDino "Blueprint'/PrimalChaos/1Bosses/Bosstiers/1Primal/Megalodon/PrimalMegalodon_Character_BP_PC.PrimalMegalodon_Character_BP_PC'" 150 0 0 35</v>
      </c>
      <c r="M520" s="10" t="str">
        <f t="shared" si="82"/>
        <v>NPCReplacements=(FromClassName="PrimalMegalodon_Character_BP_PC_C",ToClassName="")</v>
      </c>
      <c r="N520" s="2"/>
    </row>
    <row r="521">
      <c r="B521" s="6"/>
      <c r="C521" s="15"/>
      <c r="D521" s="15"/>
      <c r="E521" s="38" t="s">
        <v>1549</v>
      </c>
      <c r="F521" s="7" t="s">
        <v>1531</v>
      </c>
      <c r="G521" s="8"/>
      <c r="H521" s="60" t="s">
        <v>1550</v>
      </c>
      <c r="I521" s="8" t="str">
        <f t="shared" si="79"/>
        <v>cheat summon PrimalMosa_Character_BP_PC_C</v>
      </c>
      <c r="J521" s="8" t="str">
        <f t="shared" si="80"/>
        <v>admincheat GMSummon "PrimalMosa_Character_BP_PC_C" 120</v>
      </c>
      <c r="K521" s="60" t="s">
        <v>1551</v>
      </c>
      <c r="L521" s="8" t="str">
        <f t="shared" si="81"/>
        <v>cheat SpawnDino "Blueprint'/PrimalChaos/1Bosses/Bosstiers/1Primal/Mosa/PrimalMosa_Character_BP_PC.PrimalMosa_Character_BP_PC'" 150 0 0 35</v>
      </c>
      <c r="M521" s="8" t="str">
        <f t="shared" si="82"/>
        <v>NPCReplacements=(FromClassName="PrimalMosa_Character_BP_PC_C",ToClassName="")</v>
      </c>
      <c r="N521" s="2"/>
    </row>
    <row r="522">
      <c r="B522" s="6"/>
      <c r="C522" s="15"/>
      <c r="D522" s="15"/>
      <c r="E522" s="55" t="s">
        <v>1552</v>
      </c>
      <c r="F522" s="9" t="s">
        <v>1531</v>
      </c>
      <c r="G522" s="10"/>
      <c r="H522" s="58" t="s">
        <v>1553</v>
      </c>
      <c r="I522" s="10" t="str">
        <f t="shared" si="79"/>
        <v>cheat summon PrimalPlesiosaur_Character_BP_PC_C</v>
      </c>
      <c r="J522" s="10" t="str">
        <f t="shared" si="80"/>
        <v>admincheat GMSummon "PrimalPlesiosaur_Character_BP_PC_C" 120</v>
      </c>
      <c r="K522" s="58" t="s">
        <v>1554</v>
      </c>
      <c r="L522" s="10" t="str">
        <f t="shared" si="81"/>
        <v>cheat SpawnDino "Blueprint'/PrimalChaos/1Bosses/Bosstiers/1Primal/Plesio/PrimalPlesiosaur_Character_BP_PC.PrimalPlesiosaur_Character_BP_PC'" 150 0 0 35</v>
      </c>
      <c r="M522" s="10" t="str">
        <f t="shared" si="82"/>
        <v>NPCReplacements=(FromClassName="PrimalPlesiosaur_Character_BP_PC_C",ToClassName="")</v>
      </c>
      <c r="N522" s="2"/>
    </row>
    <row r="523">
      <c r="B523" s="6"/>
      <c r="C523" s="15"/>
      <c r="D523" s="15"/>
      <c r="E523" s="38" t="s">
        <v>1555</v>
      </c>
      <c r="F523" s="7" t="s">
        <v>1531</v>
      </c>
      <c r="G523" s="8"/>
      <c r="H523" s="60" t="s">
        <v>1556</v>
      </c>
      <c r="I523" s="8" t="str">
        <f t="shared" si="79"/>
        <v>cheat summon PrimalRaptor_Character_BP_PC_C</v>
      </c>
      <c r="J523" s="8" t="str">
        <f t="shared" si="80"/>
        <v>admincheat GMSummon "PrimalRaptor_Character_BP_PC_C" 120</v>
      </c>
      <c r="K523" s="60" t="s">
        <v>1557</v>
      </c>
      <c r="L523" s="8" t="str">
        <f t="shared" si="81"/>
        <v>cheat SpawnDino "Blueprint'/PrimalChaos/1Bosses/Bosstiers/1Primal/Raptor/PrimalRaptor_Character_BP_PC.PrimalRaptor_Character_BP_PC'" 150 0 0 35</v>
      </c>
      <c r="M523" s="8" t="str">
        <f t="shared" si="82"/>
        <v>NPCReplacements=(FromClassName="PrimalRaptor_Character_BP_PC_C",ToClassName="")</v>
      </c>
      <c r="N523" s="2"/>
    </row>
    <row r="524">
      <c r="B524" s="6"/>
      <c r="C524" s="15"/>
      <c r="D524" s="15"/>
      <c r="E524" s="55" t="s">
        <v>1558</v>
      </c>
      <c r="F524" s="9" t="s">
        <v>1531</v>
      </c>
      <c r="G524" s="10"/>
      <c r="H524" s="22" t="s">
        <v>1559</v>
      </c>
      <c r="I524" s="10" t="str">
        <f t="shared" si="79"/>
        <v>cheat summon PrimalRockDrake_Character_BP_PC_C</v>
      </c>
      <c r="J524" s="10" t="str">
        <f t="shared" si="80"/>
        <v>admincheat GMSummon "PrimalRockDrake_Character_BP_PC_C" 120</v>
      </c>
      <c r="K524" s="22" t="s">
        <v>1560</v>
      </c>
      <c r="L524" s="10" t="str">
        <f t="shared" si="81"/>
        <v>cheat SpawnDino "Blueprint'/PrimalChaos/1Bosses/Bosstiers/1Primal/Rockdrake/PrimalRockDrake_Character_BP_PC.PrimalRockDrake_Character_BP_PC'" 150 0 0 35</v>
      </c>
      <c r="M524" s="10" t="str">
        <f t="shared" si="82"/>
        <v>NPCReplacements=(FromClassName="PrimalRockDrake_Character_BP_PC_C",ToClassName="")</v>
      </c>
      <c r="N524" s="2"/>
    </row>
    <row r="525">
      <c r="B525" s="6"/>
      <c r="C525" s="15"/>
      <c r="D525" s="15"/>
      <c r="E525" s="38" t="s">
        <v>1561</v>
      </c>
      <c r="F525" s="7" t="s">
        <v>1562</v>
      </c>
      <c r="G525" s="8"/>
      <c r="H525" s="60" t="s">
        <v>1563</v>
      </c>
      <c r="I525" s="8" t="str">
        <f t="shared" si="79"/>
        <v>cheat summon BionicGigant_Character_BP_Primal_C</v>
      </c>
      <c r="J525" s="8" t="str">
        <f t="shared" si="80"/>
        <v>admincheat GMSummon "BionicGigant_Character_BP_Primal_C" 120</v>
      </c>
      <c r="K525" s="60" t="s">
        <v>1564</v>
      </c>
      <c r="L525" s="8" t="str">
        <f t="shared" si="81"/>
        <v>cheat SpawnDino "Blueprint'/PrimalChaos/1Bosses/Bosstiers/0PrimalTek/Giga/BionicGigant_Character_BP_Primal.BionicGigant_Character_BP_Primal'" 150 0 0 35</v>
      </c>
      <c r="M525" s="8" t="str">
        <f t="shared" si="82"/>
        <v>NPCReplacements=(FromClassName="BionicGigant_Character_BP_Primal_C",ToClassName="")</v>
      </c>
      <c r="N525" s="2"/>
    </row>
    <row r="526">
      <c r="B526" s="6"/>
      <c r="C526" s="15"/>
      <c r="D526" s="15"/>
      <c r="E526" s="55" t="s">
        <v>1565</v>
      </c>
      <c r="F526" s="9" t="s">
        <v>1562</v>
      </c>
      <c r="G526" s="10"/>
      <c r="H526" s="58" t="s">
        <v>1566</v>
      </c>
      <c r="I526" s="10" t="str">
        <f t="shared" si="79"/>
        <v>cheat summon BionicPara_Character_BP_Primal_C</v>
      </c>
      <c r="J526" s="10" t="str">
        <f t="shared" si="80"/>
        <v>admincheat GMSummon "BionicPara_Character_BP_Primal_C" 120</v>
      </c>
      <c r="K526" s="58" t="s">
        <v>1567</v>
      </c>
      <c r="L526" s="10" t="str">
        <f t="shared" si="81"/>
        <v>cheat SpawnDino "Blueprint'/PrimalChaos/1Bosses/Bosstiers/0PrimalTek/Parasaur/BionicPara_Character_BP_Primal.BionicPara_Character_BP_Primal'" 150 0 0 35</v>
      </c>
      <c r="M526" s="10" t="str">
        <f t="shared" si="82"/>
        <v>NPCReplacements=(FromClassName="BionicPara_Character_BP_Primal_C",ToClassName="")</v>
      </c>
      <c r="N526" s="2"/>
    </row>
    <row r="527">
      <c r="B527" s="6"/>
      <c r="C527" s="15"/>
      <c r="D527" s="15"/>
      <c r="E527" s="38" t="s">
        <v>1568</v>
      </c>
      <c r="F527" s="7" t="s">
        <v>1562</v>
      </c>
      <c r="G527" s="8"/>
      <c r="H527" s="60" t="s">
        <v>1569</v>
      </c>
      <c r="I527" s="8" t="str">
        <f t="shared" si="79"/>
        <v>cheat summon BionicQuetz_Character_BP_Primal_C</v>
      </c>
      <c r="J527" s="8" t="str">
        <f t="shared" si="80"/>
        <v>admincheat GMSummon "BionicQuetz_Character_BP_Primal_C" 120</v>
      </c>
      <c r="K527" s="60" t="s">
        <v>1570</v>
      </c>
      <c r="L527" s="8" t="str">
        <f t="shared" si="81"/>
        <v>cheat SpawnDino "Blueprint'/PrimalChaos/1Bosses/Bosstiers/0PrimalTek/Quetz/BionicQuetz_Character_BP_Primal.BionicQuetz_Character_BP_Primal'" 150 0 0 35</v>
      </c>
      <c r="M527" s="8" t="str">
        <f t="shared" si="82"/>
        <v>NPCReplacements=(FromClassName="BionicQuetz_Character_BP_Primal_C",ToClassName="")</v>
      </c>
      <c r="N527" s="2"/>
    </row>
    <row r="528">
      <c r="B528" s="6"/>
      <c r="C528" s="15"/>
      <c r="D528" s="15"/>
      <c r="E528" s="55" t="s">
        <v>1571</v>
      </c>
      <c r="F528" s="9" t="s">
        <v>1562</v>
      </c>
      <c r="G528" s="10"/>
      <c r="H528" s="58" t="s">
        <v>1572</v>
      </c>
      <c r="I528" s="10" t="str">
        <f t="shared" si="79"/>
        <v>cheat summon BionicRaptor_Character_BP_Primal_C</v>
      </c>
      <c r="J528" s="10" t="str">
        <f t="shared" si="80"/>
        <v>admincheat GMSummon "BionicRaptor_Character_BP_Primal_C" 120</v>
      </c>
      <c r="K528" s="58" t="s">
        <v>1573</v>
      </c>
      <c r="L528" s="10" t="str">
        <f t="shared" si="81"/>
        <v>cheat SpawnDino "Blueprint'/PrimalChaos/1Bosses/Bosstiers/0PrimalTek/Raptor/BionicRaptor_Character_BP_Primal.BionicRaptor_Character_BP_Primal'" 150 0 0 35</v>
      </c>
      <c r="M528" s="10" t="str">
        <f t="shared" si="82"/>
        <v>NPCReplacements=(FromClassName="BionicRaptor_Character_BP_Primal_C",ToClassName="")</v>
      </c>
      <c r="N528" s="2"/>
    </row>
    <row r="529">
      <c r="B529" s="6"/>
      <c r="C529" s="15"/>
      <c r="D529" s="15"/>
      <c r="E529" s="38" t="s">
        <v>1574</v>
      </c>
      <c r="F529" s="7" t="s">
        <v>1562</v>
      </c>
      <c r="G529" s="8"/>
      <c r="H529" s="60" t="s">
        <v>1575</v>
      </c>
      <c r="I529" s="8" t="str">
        <f t="shared" si="79"/>
        <v>cheat summon BionicRex_Character_BP_Primal_C</v>
      </c>
      <c r="J529" s="8" t="str">
        <f t="shared" si="80"/>
        <v>admincheat GMSummon "BionicRex_Character_BP_Primal_C" 120</v>
      </c>
      <c r="K529" s="60" t="s">
        <v>1576</v>
      </c>
      <c r="L529" s="8" t="str">
        <f t="shared" si="81"/>
        <v>cheat SpawnDino "Blueprint'/PrimalChaos/1Bosses/Bosstiers/0PrimalTek/Rex/BionicRex_Character_BP_Primal.BionicRex_Character_BP_Primal'" 150 0 0 35</v>
      </c>
      <c r="M529" s="8" t="str">
        <f t="shared" si="82"/>
        <v>NPCReplacements=(FromClassName="BionicRex_Character_BP_Primal_C",ToClassName="")</v>
      </c>
      <c r="N529" s="2"/>
    </row>
    <row r="530">
      <c r="B530" s="6"/>
      <c r="C530" s="15"/>
      <c r="D530" s="15"/>
      <c r="E530" s="55" t="s">
        <v>1577</v>
      </c>
      <c r="F530" s="9" t="s">
        <v>1562</v>
      </c>
      <c r="G530" s="10"/>
      <c r="H530" s="58" t="s">
        <v>1578</v>
      </c>
      <c r="I530" s="10" t="str">
        <f t="shared" si="79"/>
        <v>cheat summon BionicStego_Character_BP_Primal_C</v>
      </c>
      <c r="J530" s="10" t="str">
        <f t="shared" si="80"/>
        <v>admincheat GMSummon "BionicStego_Character_BP_Primal_C" 120</v>
      </c>
      <c r="K530" s="58" t="s">
        <v>1579</v>
      </c>
      <c r="L530" s="10" t="str">
        <f t="shared" si="81"/>
        <v>cheat SpawnDino "Blueprint'/PrimalChaos/1Bosses/Bosstiers/0PrimalTek/Stego/BionicStego_Character_BP_Primal.BionicStego_Character_BP_Primal'" 150 0 0 35</v>
      </c>
      <c r="M530" s="10" t="str">
        <f t="shared" si="82"/>
        <v>NPCReplacements=(FromClassName="BionicStego_Character_BP_Primal_C",ToClassName="")</v>
      </c>
      <c r="N530" s="2"/>
    </row>
    <row r="531">
      <c r="B531" s="6"/>
      <c r="C531" s="15"/>
      <c r="D531" s="15"/>
      <c r="E531" s="38" t="s">
        <v>1580</v>
      </c>
      <c r="F531" s="7" t="s">
        <v>1562</v>
      </c>
      <c r="G531" s="8"/>
      <c r="H531" s="60" t="s">
        <v>1581</v>
      </c>
      <c r="I531" s="8" t="str">
        <f t="shared" si="79"/>
        <v>cheat summon BionicTrike_Character_BP_Primal_C</v>
      </c>
      <c r="J531" s="8" t="str">
        <f t="shared" si="80"/>
        <v>admincheat GMSummon "BionicTrike_Character_BP_Primal_C" 120</v>
      </c>
      <c r="K531" s="60" t="s">
        <v>1582</v>
      </c>
      <c r="L531" s="8" t="str">
        <f t="shared" si="81"/>
        <v>cheat SpawnDino "Blueprint'/PrimalChaos/1Bosses/Bosstiers/0PrimalTek/Trike/BionicTrike_Character_BP_Primal.BionicTrike_Character_BP_Primal'" 150 0 0 35</v>
      </c>
      <c r="M531" s="8" t="str">
        <f t="shared" si="82"/>
        <v>NPCReplacements=(FromClassName="BionicTrike_Character_BP_Primal_C",ToClassName="")</v>
      </c>
      <c r="N531" s="2"/>
    </row>
    <row r="532">
      <c r="B532" s="62"/>
      <c r="C532" s="15"/>
      <c r="D532" s="15"/>
      <c r="E532" s="53"/>
      <c r="F532" s="53"/>
      <c r="G532" s="16"/>
      <c r="H532" s="53"/>
      <c r="I532" s="16"/>
      <c r="J532" s="16"/>
      <c r="K532" s="53"/>
      <c r="L532" s="16"/>
      <c r="M532" s="16"/>
      <c r="N532" s="2"/>
    </row>
    <row r="533">
      <c r="B533" s="63" t="s">
        <v>1583</v>
      </c>
      <c r="C533" s="4"/>
      <c r="D533" s="4"/>
      <c r="E533" s="20" t="s">
        <v>1584</v>
      </c>
      <c r="F533" s="7" t="s">
        <v>1585</v>
      </c>
      <c r="G533" s="8"/>
      <c r="H533" s="20" t="s">
        <v>1586</v>
      </c>
      <c r="I533" s="8" t="str">
        <f t="shared" ref="I533:I540" si="89">"cheat summon "&amp;H533</f>
        <v>cheat summon LootBoss_Character_BP_Ramshackle_C</v>
      </c>
      <c r="J533" s="8" t="str">
        <f t="shared" ref="J533:J540" si="90"> "admincheat GMSummon " &amp;CHAR(34) &amp; H533&amp;CHAR(34)&amp; " 120"</f>
        <v>admincheat GMSummon "LootBoss_Character_BP_Ramshackle_C" 120</v>
      </c>
      <c r="K533" s="43" t="s">
        <v>1587</v>
      </c>
      <c r="L533" s="8" t="str">
        <f t="shared" ref="L533:L540" si="91">IF(K533&lt;&gt;"","cheat SpawnDino "&amp;CHAR(34)&amp;"Blueprint'"&amp;K533&amp;"'"&amp;CHAR(34)&amp;" 150 0 0 35","")</f>
        <v>cheat SpawnDino "Blueprint'/PrimalChaos/1Bosses/Lootboss/1Ramshackle/LootBoss_Character_BP_Ramshackle.LootBoss_Character_BP_Ramshackle'" 150 0 0 35</v>
      </c>
      <c r="M533" s="8" t="str">
        <f t="shared" ref="M533:M540" si="92">"NPCReplacements=(FromClassName="&amp;CHAR(34)&amp;H533&amp;""&amp;CHAR(34)&amp;",ToClassName="&amp;CHAR(34)&amp;CHAR(34)&amp;")"</f>
        <v>NPCReplacements=(FromClassName="LootBoss_Character_BP_Ramshackle_C",ToClassName="")</v>
      </c>
      <c r="N533" s="2"/>
    </row>
    <row r="534">
      <c r="B534" s="6"/>
      <c r="C534" s="4"/>
      <c r="D534" s="4"/>
      <c r="E534" s="22" t="s">
        <v>1588</v>
      </c>
      <c r="F534" s="9" t="s">
        <v>1585</v>
      </c>
      <c r="G534" s="23"/>
      <c r="H534" s="22" t="s">
        <v>1589</v>
      </c>
      <c r="I534" s="10" t="str">
        <f t="shared" si="89"/>
        <v>cheat summon LootBoss_Character_BP_Apprentice_C</v>
      </c>
      <c r="J534" s="10" t="str">
        <f t="shared" si="90"/>
        <v>admincheat GMSummon "LootBoss_Character_BP_Apprentice_C" 120</v>
      </c>
      <c r="K534" s="42" t="s">
        <v>1590</v>
      </c>
      <c r="L534" s="10" t="str">
        <f t="shared" si="91"/>
        <v>cheat SpawnDino "Blueprint'/PrimalChaos/1Bosses/Lootboss/2Apprentice/LootBoss_Character_BP_Apprentice.LootBoss_Character_BP_Apprentice'" 150 0 0 35</v>
      </c>
      <c r="M534" s="10" t="str">
        <f t="shared" si="92"/>
        <v>NPCReplacements=(FromClassName="LootBoss_Character_BP_Apprentice_C",ToClassName="")</v>
      </c>
      <c r="N534" s="2"/>
    </row>
    <row r="535">
      <c r="B535" s="6"/>
      <c r="C535" s="4"/>
      <c r="D535" s="4"/>
      <c r="E535" s="20" t="s">
        <v>1591</v>
      </c>
      <c r="F535" s="7" t="s">
        <v>1585</v>
      </c>
      <c r="G535" s="8"/>
      <c r="H535" s="20" t="s">
        <v>1592</v>
      </c>
      <c r="I535" s="8" t="str">
        <f t="shared" si="89"/>
        <v>cheat summon LootBoss_Character_BP_Journeyman_C</v>
      </c>
      <c r="J535" s="8" t="str">
        <f t="shared" si="90"/>
        <v>admincheat GMSummon "LootBoss_Character_BP_Journeyman_C" 120</v>
      </c>
      <c r="K535" s="43" t="s">
        <v>1593</v>
      </c>
      <c r="L535" s="8" t="str">
        <f t="shared" si="91"/>
        <v>cheat SpawnDino "Blueprint'/PrimalChaos/1Bosses/Lootboss/3Journeyman/LootBoss_Character_BP_Journeyman.LootBoss_Character_BP_Journeyman'" 150 0 0 35</v>
      </c>
      <c r="M535" s="8" t="str">
        <f t="shared" si="92"/>
        <v>NPCReplacements=(FromClassName="LootBoss_Character_BP_Journeyman_C",ToClassName="")</v>
      </c>
      <c r="N535" s="2"/>
    </row>
    <row r="536">
      <c r="B536" s="6"/>
      <c r="C536" s="4"/>
      <c r="D536" s="4"/>
      <c r="E536" s="22" t="s">
        <v>1594</v>
      </c>
      <c r="F536" s="9" t="s">
        <v>1585</v>
      </c>
      <c r="G536" s="23"/>
      <c r="H536" s="22" t="s">
        <v>1595</v>
      </c>
      <c r="I536" s="10" t="str">
        <f t="shared" si="89"/>
        <v>cheat summon LootBoss_Character_BP_Mastercraft_C</v>
      </c>
      <c r="J536" s="10" t="str">
        <f t="shared" si="90"/>
        <v>admincheat GMSummon "LootBoss_Character_BP_Mastercraft_C" 120</v>
      </c>
      <c r="K536" s="42" t="s">
        <v>1596</v>
      </c>
      <c r="L536" s="10" t="str">
        <f t="shared" si="91"/>
        <v>cheat SpawnDino "Blueprint'/PrimalChaos/1Bosses/Lootboss/4Mastercraft/LootBoss_Character_BP_Mastercraft.LootBoss_Character_BP_Mastercraft'" 150 0 0 35</v>
      </c>
      <c r="M536" s="10" t="str">
        <f t="shared" si="92"/>
        <v>NPCReplacements=(FromClassName="LootBoss_Character_BP_Mastercraft_C",ToClassName="")</v>
      </c>
      <c r="N536" s="2"/>
    </row>
    <row r="537">
      <c r="B537" s="6"/>
      <c r="C537" s="4"/>
      <c r="D537" s="4"/>
      <c r="E537" s="20" t="s">
        <v>1597</v>
      </c>
      <c r="F537" s="7" t="s">
        <v>1585</v>
      </c>
      <c r="G537" s="8"/>
      <c r="H537" s="20" t="s">
        <v>1598</v>
      </c>
      <c r="I537" s="8" t="str">
        <f t="shared" si="89"/>
        <v>cheat summon LootBoss_Character_BP_Ascendant_C</v>
      </c>
      <c r="J537" s="8" t="str">
        <f t="shared" si="90"/>
        <v>admincheat GMSummon "LootBoss_Character_BP_Ascendant_C" 120</v>
      </c>
      <c r="K537" s="43" t="s">
        <v>1599</v>
      </c>
      <c r="L537" s="8" t="str">
        <f t="shared" si="91"/>
        <v>cheat SpawnDino "Blueprint'/PrimalChaos/1Bosses/Lootboss/5Ascendant/LootBoss_Character_BP_Ascendant.LootBoss_Character_BP_Ascendant'" 150 0 0 35</v>
      </c>
      <c r="M537" s="8" t="str">
        <f t="shared" si="92"/>
        <v>NPCReplacements=(FromClassName="LootBoss_Character_BP_Ascendant_C",ToClassName="")</v>
      </c>
      <c r="N537" s="2"/>
    </row>
    <row r="538">
      <c r="B538" s="6"/>
      <c r="C538" s="4"/>
      <c r="D538" s="4"/>
      <c r="E538" s="22" t="s">
        <v>1600</v>
      </c>
      <c r="F538" s="9" t="s">
        <v>1585</v>
      </c>
      <c r="G538" s="10"/>
      <c r="H538" s="22" t="s">
        <v>1601</v>
      </c>
      <c r="I538" s="10" t="str">
        <f t="shared" si="89"/>
        <v>cheat summon LootBoss_Character_BP_Origin_C</v>
      </c>
      <c r="J538" s="10" t="str">
        <f t="shared" si="90"/>
        <v>admincheat GMSummon "LootBoss_Character_BP_Origin_C" 120</v>
      </c>
      <c r="K538" s="42" t="s">
        <v>1602</v>
      </c>
      <c r="L538" s="10" t="str">
        <f t="shared" si="91"/>
        <v>cheat SpawnDino "Blueprint'/PrimalChaos/1Bosses/Lootboss/6Origin/LootBoss_Character_BP_Origin.LootBoss_Character_BP_Origin'" 150 0 0 35</v>
      </c>
      <c r="M538" s="10" t="str">
        <f t="shared" si="92"/>
        <v>NPCReplacements=(FromClassName="LootBoss_Character_BP_Origin_C",ToClassName="")</v>
      </c>
      <c r="N538" s="2"/>
    </row>
    <row r="539">
      <c r="B539" s="6"/>
      <c r="C539" s="4"/>
      <c r="D539" s="4"/>
      <c r="E539" s="20" t="s">
        <v>1603</v>
      </c>
      <c r="F539" s="7" t="s">
        <v>1585</v>
      </c>
      <c r="G539" s="8"/>
      <c r="H539" s="20" t="s">
        <v>1604</v>
      </c>
      <c r="I539" s="8" t="str">
        <f t="shared" si="89"/>
        <v>cheat summon LootBoss_Character_BP_Nightmare_C</v>
      </c>
      <c r="J539" s="8" t="str">
        <f t="shared" si="90"/>
        <v>admincheat GMSummon "LootBoss_Character_BP_Nightmare_C" 120</v>
      </c>
      <c r="K539" s="43" t="s">
        <v>1605</v>
      </c>
      <c r="L539" s="8" t="str">
        <f t="shared" si="91"/>
        <v>cheat SpawnDino "Blueprint'/PrimalChaos/1Bosses/Lootboss/7Nightmare/LootBoss_Character_BP_Nightmare.LootBoss_Character_BP_Nightmare'" 150 0 0 35</v>
      </c>
      <c r="M539" s="8" t="str">
        <f t="shared" si="92"/>
        <v>NPCReplacements=(FromClassName="LootBoss_Character_BP_Nightmare_C",ToClassName="")</v>
      </c>
      <c r="N539" s="2"/>
    </row>
    <row r="540">
      <c r="B540" s="13"/>
      <c r="C540" s="4"/>
      <c r="D540" s="4"/>
      <c r="E540" s="9" t="s">
        <v>1606</v>
      </c>
      <c r="F540" s="9" t="s">
        <v>1583</v>
      </c>
      <c r="G540" s="10"/>
      <c r="H540" s="9" t="s">
        <v>1607</v>
      </c>
      <c r="I540" s="10" t="str">
        <f t="shared" si="89"/>
        <v>cheat summon NukaDodo_Character_BP_C</v>
      </c>
      <c r="J540" s="10" t="str">
        <f t="shared" si="90"/>
        <v>admincheat GMSummon "NukaDodo_Character_BP_C" 120</v>
      </c>
      <c r="K540" s="9" t="s">
        <v>1608</v>
      </c>
      <c r="L540" s="10" t="str">
        <f t="shared" si="91"/>
        <v>cheat SpawnDino "Blueprint'/PrimalChaos/1Dinos/0Special/NukaDodo/NukaDodo_Character_BP.NukaDodo_Character_BP'" 150 0 0 35</v>
      </c>
      <c r="M540" s="10" t="str">
        <f t="shared" si="92"/>
        <v>NPCReplacements=(FromClassName="NukaDodo_Character_BP_C",ToClassName="")</v>
      </c>
      <c r="N540" s="2"/>
    </row>
    <row r="541" ht="38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</sheetData>
  <autoFilter ref="$C$2:$M$540">
    <sortState ref="C2:M540">
      <sortCondition ref="D2:D540"/>
    </sortState>
  </autoFilter>
  <mergeCells count="19">
    <mergeCell ref="B285:B290"/>
    <mergeCell ref="B292:B297"/>
    <mergeCell ref="B299:B317"/>
    <mergeCell ref="B319:B328"/>
    <mergeCell ref="B330:B347"/>
    <mergeCell ref="B349:B367"/>
    <mergeCell ref="B369:B380"/>
    <mergeCell ref="B382:B397"/>
    <mergeCell ref="B399:B410"/>
    <mergeCell ref="B412:B420"/>
    <mergeCell ref="B422:B531"/>
    <mergeCell ref="B533:B540"/>
    <mergeCell ref="A1:M1"/>
    <mergeCell ref="A2:A540"/>
    <mergeCell ref="B2:B97"/>
    <mergeCell ref="B99:B192"/>
    <mergeCell ref="B194:B222"/>
    <mergeCell ref="B224:B251"/>
    <mergeCell ref="B253:B28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4.88"/>
    <col customWidth="1" hidden="1" min="3" max="4" width="32.38"/>
    <col customWidth="1" min="5" max="5" width="32.38"/>
    <col customWidth="1" min="6" max="6" width="55.0"/>
    <col customWidth="1" min="7" max="7" width="75.25"/>
    <col customWidth="1" min="8" max="8" width="155.88"/>
    <col customWidth="1" min="9" max="9" width="39.25"/>
    <col customWidth="1" min="10" max="10" width="99.25"/>
    <col customWidth="1" min="11" max="29" width="7.63"/>
  </cols>
  <sheetData>
    <row r="1" ht="32.25" customHeight="1">
      <c r="A1" s="64"/>
      <c r="B1" s="65"/>
      <c r="C1" s="65"/>
      <c r="D1" s="65"/>
      <c r="E1" s="65"/>
      <c r="F1" s="65"/>
      <c r="G1" s="65"/>
      <c r="H1" s="65"/>
      <c r="I1" s="65"/>
      <c r="J1" s="66"/>
      <c r="K1" s="2"/>
    </row>
    <row r="2" ht="24.0" customHeight="1">
      <c r="A2" s="67"/>
      <c r="B2" s="68" t="s">
        <v>1609</v>
      </c>
      <c r="C2" s="69" t="s">
        <v>1610</v>
      </c>
      <c r="D2" s="69" t="s">
        <v>1611</v>
      </c>
      <c r="E2" s="69" t="s">
        <v>1612</v>
      </c>
      <c r="F2" s="5" t="s">
        <v>1613</v>
      </c>
      <c r="G2" s="69" t="s">
        <v>1614</v>
      </c>
      <c r="H2" s="69" t="s">
        <v>10</v>
      </c>
      <c r="I2" s="5" t="s">
        <v>1615</v>
      </c>
      <c r="J2" s="69" t="s">
        <v>1616</v>
      </c>
      <c r="K2" s="2"/>
    </row>
    <row r="3">
      <c r="A3" s="6"/>
      <c r="B3" s="6"/>
      <c r="C3" s="4">
        <f t="shared" ref="C3:C6" si="1">IF(D3="PrimalItemConsumable_Blood",1)+IF(D3="PrimalItemConsumable_Narcotic",2)+IF(D3="PrimalItemConsumable_Seed",3)+IF(D3="PrimalItemConsumable_Fruit",4)+IF(D3="PrimalItemConsumable_Egg_Unfertilized",5)+IF(D3="PrimalItemConsumable_Kibble",6)+IF(D3="PrimalItemConsumable_Potion",7)+IF(D3="PrimalItemConsumable_XP",8)+IF(D3="PrimalItemConsumable_Food",9)+IF(D3="PrimalItemResource",10)+IF(D3="PrimalItemResource_Hide",11)+IF(D3="PrimalItemResource_MetalIngot",12)+IF(D3="PrimalItemConsumable_Summon",13)+IF(D3="PrimalItemStructure",14)+IF(D3="PrimalItem_Weapon",15)+IF(D3="PrimalItemAmmo",16)+IF(D3="PrimalItemArmor",17)+IF(D3="PrimalItemSaddle",18)+IF(D3="PrimalItemConsumable_UnderwaterEgg",19)+IF(D3="PrimalItemConsumable_Egg",20)</f>
        <v>1</v>
      </c>
      <c r="D3" s="4" t="str">
        <f t="shared" ref="D3:D6" si="2">Left(F3,find("Blood",F3)+4)</f>
        <v>PrimalItemConsumable_Blood</v>
      </c>
      <c r="E3" s="21" t="s">
        <v>1617</v>
      </c>
      <c r="F3" s="21" t="s">
        <v>1618</v>
      </c>
      <c r="G3" s="21" t="str">
        <f t="shared" ref="G3:G20" si="3">"cheat gfi "&amp;F3&amp;" 1 100 0"</f>
        <v>cheat gfi PrimalItemConsumable_Blood_Alpha_C 1 100 0</v>
      </c>
      <c r="H3" s="21" t="s">
        <v>1619</v>
      </c>
      <c r="I3" s="70" t="str">
        <f t="shared" ref="I3:I20" si="4">CONCATENATE("EngramEntry",RIGHT(F3,LEN(F3) - (FIND("_",F3) - 1)))</f>
        <v>EngramEntry_Blood_Alpha_C</v>
      </c>
      <c r="J3" s="21" t="str">
        <f t="shared" ref="J3:J20" si="5">"OverrideNamedEngramEntries=("&amp;I3&amp;",EngramHidden=true)"</f>
        <v>OverrideNamedEngramEntries=(EngramEntry_Blood_Alpha_C,EngramHidden=true)</v>
      </c>
      <c r="K3" s="2"/>
    </row>
    <row r="4">
      <c r="A4" s="6"/>
      <c r="B4" s="6"/>
      <c r="C4" s="4">
        <f t="shared" si="1"/>
        <v>1</v>
      </c>
      <c r="D4" s="4" t="str">
        <f t="shared" si="2"/>
        <v>PrimalItemConsumable_Blood</v>
      </c>
      <c r="E4" s="23" t="s">
        <v>1620</v>
      </c>
      <c r="F4" s="23" t="s">
        <v>1621</v>
      </c>
      <c r="G4" s="23" t="str">
        <f t="shared" si="3"/>
        <v>cheat gfi PrimalItemConsumable_Blood_Demonic_C 1 100 0</v>
      </c>
      <c r="H4" s="23" t="s">
        <v>1622</v>
      </c>
      <c r="I4" s="71" t="str">
        <f t="shared" si="4"/>
        <v>EngramEntry_Blood_Demonic_C</v>
      </c>
      <c r="J4" s="23" t="str">
        <f t="shared" si="5"/>
        <v>OverrideNamedEngramEntries=(EngramEntry_Blood_Demonic_C,EngramHidden=true)</v>
      </c>
      <c r="K4" s="2"/>
    </row>
    <row r="5">
      <c r="A5" s="6"/>
      <c r="B5" s="6"/>
      <c r="C5" s="4">
        <f t="shared" si="1"/>
        <v>1</v>
      </c>
      <c r="D5" s="4" t="str">
        <f t="shared" si="2"/>
        <v>PrimalItemConsumable_Blood</v>
      </c>
      <c r="E5" s="21" t="s">
        <v>1623</v>
      </c>
      <c r="F5" s="21" t="s">
        <v>1624</v>
      </c>
      <c r="G5" s="21" t="str">
        <f t="shared" si="3"/>
        <v>cheat gfi PrimalItemConsumable_Blood_Electric_C 1 100 0</v>
      </c>
      <c r="H5" s="21" t="s">
        <v>1625</v>
      </c>
      <c r="I5" s="70" t="str">
        <f t="shared" si="4"/>
        <v>EngramEntry_Blood_Electric_C</v>
      </c>
      <c r="J5" s="21" t="str">
        <f t="shared" si="5"/>
        <v>OverrideNamedEngramEntries=(EngramEntry_Blood_Electric_C,EngramHidden=true)</v>
      </c>
      <c r="K5" s="2"/>
    </row>
    <row r="6">
      <c r="A6" s="6"/>
      <c r="B6" s="6"/>
      <c r="C6" s="4">
        <f t="shared" si="1"/>
        <v>1</v>
      </c>
      <c r="D6" s="4" t="str">
        <f t="shared" si="2"/>
        <v>PrimalItemConsumable_Blood</v>
      </c>
      <c r="E6" s="23" t="s">
        <v>1626</v>
      </c>
      <c r="F6" s="23" t="s">
        <v>1627</v>
      </c>
      <c r="G6" s="23" t="str">
        <f t="shared" si="3"/>
        <v>cheat gfi PrimalItemConsumable_Blood_Element_C 1 100 0</v>
      </c>
      <c r="H6" s="23" t="s">
        <v>1628</v>
      </c>
      <c r="I6" s="71" t="str">
        <f t="shared" si="4"/>
        <v>EngramEntry_Blood_Element_C</v>
      </c>
      <c r="J6" s="23" t="str">
        <f t="shared" si="5"/>
        <v>OverrideNamedEngramEntries=(EngramEntry_Blood_Element_C,EngramHidden=true)</v>
      </c>
      <c r="K6" s="2"/>
    </row>
    <row r="7">
      <c r="A7" s="6"/>
      <c r="B7" s="6"/>
      <c r="C7" s="4"/>
      <c r="D7" s="4"/>
      <c r="E7" s="20" t="s">
        <v>1629</v>
      </c>
      <c r="F7" s="20" t="s">
        <v>1630</v>
      </c>
      <c r="G7" s="21" t="str">
        <f t="shared" si="3"/>
        <v>cheat gfi PrimalItemConsumable_Blood_Fabled_C 1 100 0</v>
      </c>
      <c r="H7" s="20" t="s">
        <v>1631</v>
      </c>
      <c r="I7" s="70" t="str">
        <f t="shared" si="4"/>
        <v>EngramEntry_Blood_Fabled_C</v>
      </c>
      <c r="J7" s="21" t="str">
        <f t="shared" si="5"/>
        <v>OverrideNamedEngramEntries=(EngramEntry_Blood_Fabled_C,EngramHidden=true)</v>
      </c>
      <c r="K7" s="2"/>
    </row>
    <row r="8">
      <c r="A8" s="6"/>
      <c r="B8" s="6"/>
      <c r="C8" s="4">
        <f t="shared" ref="C8:C11" si="6">IF(D8="PrimalItemConsumable_Blood",1)+IF(D8="PrimalItemConsumable_Narcotic",2)+IF(D8="PrimalItemConsumable_Seed",3)+IF(D8="PrimalItemConsumable_Fruit",4)+IF(D8="PrimalItemConsumable_Egg_Unfertilized",5)+IF(D8="PrimalItemConsumable_Kibble",6)+IF(D8="PrimalItemConsumable_Potion",7)+IF(D8="PrimalItemConsumable_XP",8)+IF(D8="PrimalItemConsumable_Food",9)+IF(D8="PrimalItemResource",10)+IF(D8="PrimalItemResource_Hide",11)+IF(D8="PrimalItemResource_MetalIngot",12)+IF(D8="PrimalItemConsumable_Summon",13)+IF(D8="PrimalItemStructure",14)+IF(D8="PrimalItem_Weapon",15)+IF(D8="PrimalItemAmmo",16)+IF(D8="PrimalItemArmor",17)+IF(D8="PrimalItemSaddle",18)+IF(D8="PrimalItemConsumable_UnderwaterEgg",19)+IF(D8="PrimalItemConsumable_Egg",20)</f>
        <v>1</v>
      </c>
      <c r="D8" s="4" t="str">
        <f t="shared" ref="D8:D11" si="7">Left(F8,find("Blood",F8)+4)</f>
        <v>PrimalItemConsumable_Blood</v>
      </c>
      <c r="E8" s="23" t="s">
        <v>1632</v>
      </c>
      <c r="F8" s="23" t="s">
        <v>1633</v>
      </c>
      <c r="G8" s="23" t="str">
        <f t="shared" si="3"/>
        <v>cheat gfi PrimalItemConsumable_Blood_Hydro_C 1 100 0</v>
      </c>
      <c r="H8" s="23" t="s">
        <v>1634</v>
      </c>
      <c r="I8" s="71" t="str">
        <f t="shared" si="4"/>
        <v>EngramEntry_Blood_Hydro_C</v>
      </c>
      <c r="J8" s="23" t="str">
        <f t="shared" si="5"/>
        <v>OverrideNamedEngramEntries=(EngramEntry_Blood_Hydro_C,EngramHidden=true)</v>
      </c>
      <c r="K8" s="2"/>
    </row>
    <row r="9">
      <c r="A9" s="6"/>
      <c r="B9" s="6"/>
      <c r="C9" s="4">
        <f t="shared" si="6"/>
        <v>1</v>
      </c>
      <c r="D9" s="4" t="str">
        <f t="shared" si="7"/>
        <v>PrimalItemConsumable_Blood</v>
      </c>
      <c r="E9" s="21" t="s">
        <v>1635</v>
      </c>
      <c r="F9" s="21" t="s">
        <v>1636</v>
      </c>
      <c r="G9" s="21" t="str">
        <f t="shared" si="3"/>
        <v>cheat gfi PrimalItemConsumable_Blood_Legendary_C 1 100 0</v>
      </c>
      <c r="H9" s="21" t="s">
        <v>1637</v>
      </c>
      <c r="I9" s="70" t="str">
        <f t="shared" si="4"/>
        <v>EngramEntry_Blood_Legendary_C</v>
      </c>
      <c r="J9" s="21" t="str">
        <f t="shared" si="5"/>
        <v>OverrideNamedEngramEntries=(EngramEntry_Blood_Legendary_C,EngramHidden=true)</v>
      </c>
      <c r="K9" s="2"/>
    </row>
    <row r="10">
      <c r="A10" s="6"/>
      <c r="B10" s="6"/>
      <c r="C10" s="4">
        <f t="shared" si="6"/>
        <v>1</v>
      </c>
      <c r="D10" s="4" t="str">
        <f t="shared" si="7"/>
        <v>PrimalItemConsumable_Blood</v>
      </c>
      <c r="E10" s="23" t="s">
        <v>1638</v>
      </c>
      <c r="F10" s="23" t="s">
        <v>1639</v>
      </c>
      <c r="G10" s="23" t="str">
        <f t="shared" si="3"/>
        <v>cheat gfi PrimalItemConsumable_Blood_Mythic_C 1 100 0</v>
      </c>
      <c r="H10" s="23" t="s">
        <v>1640</v>
      </c>
      <c r="I10" s="71" t="str">
        <f t="shared" si="4"/>
        <v>EngramEntry_Blood_Mythic_C</v>
      </c>
      <c r="J10" s="23" t="str">
        <f t="shared" si="5"/>
        <v>OverrideNamedEngramEntries=(EngramEntry_Blood_Mythic_C,EngramHidden=true)</v>
      </c>
      <c r="K10" s="2"/>
    </row>
    <row r="11">
      <c r="A11" s="6"/>
      <c r="B11" s="6"/>
      <c r="C11" s="4">
        <f t="shared" si="6"/>
        <v>1</v>
      </c>
      <c r="D11" s="4" t="str">
        <f t="shared" si="7"/>
        <v>PrimalItemConsumable_Blood</v>
      </c>
      <c r="E11" s="20" t="s">
        <v>1641</v>
      </c>
      <c r="F11" s="20" t="s">
        <v>1642</v>
      </c>
      <c r="G11" s="21" t="str">
        <f t="shared" si="3"/>
        <v>cheat gfi PrimalItemConsumable_Blood_Omega_C 1 100 0</v>
      </c>
      <c r="H11" s="20" t="s">
        <v>1643</v>
      </c>
      <c r="I11" s="70" t="str">
        <f t="shared" si="4"/>
        <v>EngramEntry_Blood_Omega_C</v>
      </c>
      <c r="J11" s="21" t="str">
        <f t="shared" si="5"/>
        <v>OverrideNamedEngramEntries=(EngramEntry_Blood_Omega_C,EngramHidden=true)</v>
      </c>
      <c r="K11" s="2"/>
    </row>
    <row r="12">
      <c r="A12" s="6"/>
      <c r="B12" s="6"/>
      <c r="C12" s="4"/>
      <c r="D12" s="4"/>
      <c r="E12" s="22" t="s">
        <v>1644</v>
      </c>
      <c r="F12" s="22" t="s">
        <v>1645</v>
      </c>
      <c r="G12" s="23" t="str">
        <f t="shared" si="3"/>
        <v>cheat gfi PrimalItemConsumable_Blood_Origin_C 1 100 0</v>
      </c>
      <c r="H12" s="22" t="s">
        <v>1646</v>
      </c>
      <c r="I12" s="71" t="str">
        <f t="shared" si="4"/>
        <v>EngramEntry_Blood_Origin_C</v>
      </c>
      <c r="J12" s="23" t="str">
        <f t="shared" si="5"/>
        <v>OverrideNamedEngramEntries=(EngramEntry_Blood_Origin_C,EngramHidden=true)</v>
      </c>
      <c r="K12" s="2"/>
    </row>
    <row r="13">
      <c r="A13" s="6"/>
      <c r="B13" s="6"/>
      <c r="C13" s="4"/>
      <c r="D13" s="4"/>
      <c r="E13" s="20" t="s">
        <v>1647</v>
      </c>
      <c r="F13" s="20" t="s">
        <v>1648</v>
      </c>
      <c r="G13" s="21" t="str">
        <f t="shared" si="3"/>
        <v>cheat gfi PrimalItemConsumable_Blood_Primal_C 1 100 0</v>
      </c>
      <c r="H13" s="20" t="s">
        <v>1649</v>
      </c>
      <c r="I13" s="70" t="str">
        <f t="shared" si="4"/>
        <v>EngramEntry_Blood_Primal_C</v>
      </c>
      <c r="J13" s="21" t="str">
        <f t="shared" si="5"/>
        <v>OverrideNamedEngramEntries=(EngramEntry_Blood_Primal_C,EngramHidden=true)</v>
      </c>
      <c r="K13" s="2"/>
    </row>
    <row r="14">
      <c r="A14" s="6"/>
      <c r="B14" s="6"/>
      <c r="C14" s="4">
        <f>IF(D14="PrimalItemConsumable_Blood",1)+IF(D14="PrimalItemConsumable_Narcotic",2)+IF(D14="PrimalItemConsumable_Seed",3)+IF(D14="PrimalItemConsumable_Fruit",4)+IF(D14="PrimalItemConsumable_Egg_Unfertilized",5)+IF(D14="PrimalItemConsumable_Kibble",6)+IF(D14="PrimalItemConsumable_Potion",7)+IF(D14="PrimalItemConsumable_XP",8)+IF(D14="PrimalItemConsumable_Food",9)+IF(D14="PrimalItemResource",10)+IF(D14="PrimalItemResource_Hide",11)+IF(D14="PrimalItemResource_MetalIngot",12)+IF(D14="PrimalItemConsumable_Summon",13)+IF(D14="PrimalItemStructure",14)+IF(D14="PrimalItem_Weapon",15)+IF(D14="PrimalItemAmmo",16)+IF(D14="PrimalItemArmor",17)+IF(D14="PrimalItemSaddle",18)+IF(D14="PrimalItemConsumable_UnderwaterEgg",19)+IF(D14="PrimalItemConsumable_Egg",20)</f>
        <v>1</v>
      </c>
      <c r="D14" s="4" t="str">
        <f>Left(F14,find("Blood",F14)+4)</f>
        <v>PrimalItemConsumable_Blood</v>
      </c>
      <c r="E14" s="23" t="s">
        <v>1650</v>
      </c>
      <c r="F14" s="23" t="s">
        <v>1651</v>
      </c>
      <c r="G14" s="23" t="str">
        <f t="shared" si="3"/>
        <v>cheat gfi PrimalItemConsumable_Blood_Shadow_C 1 100 0</v>
      </c>
      <c r="H14" s="23" t="s">
        <v>1652</v>
      </c>
      <c r="I14" s="71" t="str">
        <f t="shared" si="4"/>
        <v>EngramEntry_Blood_Shadow_C</v>
      </c>
      <c r="J14" s="23" t="str">
        <f t="shared" si="5"/>
        <v>OverrideNamedEngramEntries=(EngramEntry_Blood_Shadow_C,EngramHidden=true)</v>
      </c>
      <c r="K14" s="2"/>
    </row>
    <row r="15">
      <c r="A15" s="6"/>
      <c r="B15" s="6"/>
      <c r="C15" s="4"/>
      <c r="D15" s="4"/>
      <c r="E15" s="20" t="s">
        <v>1653</v>
      </c>
      <c r="F15" s="20" t="s">
        <v>1654</v>
      </c>
      <c r="G15" s="21" t="str">
        <f t="shared" si="3"/>
        <v>cheat gfi PrimalItemConsumable_Blood_Toxic_C 1 100 0</v>
      </c>
      <c r="H15" s="20" t="s">
        <v>1655</v>
      </c>
      <c r="I15" s="70" t="str">
        <f t="shared" si="4"/>
        <v>EngramEntry_Blood_Toxic_C</v>
      </c>
      <c r="J15" s="21" t="str">
        <f t="shared" si="5"/>
        <v>OverrideNamedEngramEntries=(EngramEntry_Blood_Toxic_C,EngramHidden=true)</v>
      </c>
      <c r="K15" s="2"/>
    </row>
    <row r="16">
      <c r="A16" s="6"/>
      <c r="B16" s="6"/>
      <c r="C16" s="4">
        <f t="shared" ref="C16:C18" si="8">IF(D16="PrimalItemConsumable_Blood",1)+IF(D16="PrimalItemConsumable_Narcotic",2)+IF(D16="PrimalItemConsumable_Seed",3)+IF(D16="PrimalItemConsumable_Fruit",4)+IF(D16="PrimalItemConsumable_Egg_Unfertilized",5)+IF(D16="PrimalItemConsumable_Kibble",6)+IF(D16="PrimalItemConsumable_Potion",7)+IF(D16="PrimalItemConsumable_XP",8)+IF(D16="PrimalItemConsumable_Food",9)+IF(D16="PrimalItemResource",10)+IF(D16="PrimalItemResource_Hide",11)+IF(D16="PrimalItemResource_MetalIngot",12)+IF(D16="PrimalItemConsumable_Summon",13)+IF(D16="PrimalItemStructure",14)+IF(D16="PrimalItem_Weapon",15)+IF(D16="PrimalItemAmmo",16)+IF(D16="PrimalItemArmor",17)+IF(D16="PrimalItemSaddle",18)+IF(D16="PrimalItemConsumable_UnderwaterEgg",19)+IF(D16="PrimalItemConsumable_Egg",20)</f>
        <v>2</v>
      </c>
      <c r="D16" s="4" t="str">
        <f t="shared" ref="D16:D18" si="9">Left(F16,find("Narcotic",F16)+7)</f>
        <v>PrimalItemConsumable_Narcotic</v>
      </c>
      <c r="E16" s="23" t="s">
        <v>1656</v>
      </c>
      <c r="F16" s="23" t="s">
        <v>1657</v>
      </c>
      <c r="G16" s="23" t="str">
        <f t="shared" si="3"/>
        <v>cheat gfi PrimalItemConsumable_Narcotic_Alpha_C 1 100 0</v>
      </c>
      <c r="H16" s="23" t="s">
        <v>1658</v>
      </c>
      <c r="I16" s="71" t="str">
        <f t="shared" si="4"/>
        <v>EngramEntry_Narcotic_Alpha_C</v>
      </c>
      <c r="J16" s="23" t="str">
        <f t="shared" si="5"/>
        <v>OverrideNamedEngramEntries=(EngramEntry_Narcotic_Alpha_C,EngramHidden=true)</v>
      </c>
      <c r="K16" s="2"/>
    </row>
    <row r="17">
      <c r="A17" s="6"/>
      <c r="B17" s="6"/>
      <c r="C17" s="4">
        <f t="shared" si="8"/>
        <v>2</v>
      </c>
      <c r="D17" s="4" t="str">
        <f t="shared" si="9"/>
        <v>PrimalItemConsumable_Narcotic</v>
      </c>
      <c r="E17" s="21" t="s">
        <v>1659</v>
      </c>
      <c r="F17" s="21" t="s">
        <v>1660</v>
      </c>
      <c r="G17" s="21" t="str">
        <f t="shared" si="3"/>
        <v>cheat gfi PrimalItemConsumable_Narcotic_Element_C 1 100 0</v>
      </c>
      <c r="H17" s="21" t="s">
        <v>1661</v>
      </c>
      <c r="I17" s="70" t="str">
        <f t="shared" si="4"/>
        <v>EngramEntry_Narcotic_Element_C</v>
      </c>
      <c r="J17" s="21" t="str">
        <f t="shared" si="5"/>
        <v>OverrideNamedEngramEntries=(EngramEntry_Narcotic_Element_C,EngramHidden=true)</v>
      </c>
      <c r="K17" s="2"/>
    </row>
    <row r="18">
      <c r="A18" s="6"/>
      <c r="B18" s="6"/>
      <c r="C18" s="4">
        <f t="shared" si="8"/>
        <v>2</v>
      </c>
      <c r="D18" s="4" t="str">
        <f t="shared" si="9"/>
        <v>PrimalItemConsumable_Narcotic</v>
      </c>
      <c r="E18" s="23" t="s">
        <v>1662</v>
      </c>
      <c r="F18" s="23" t="s">
        <v>1663</v>
      </c>
      <c r="G18" s="23" t="str">
        <f t="shared" si="3"/>
        <v>cheat gfi PrimalItemConsumable_Narcotic_Mythic_C 1 100 0</v>
      </c>
      <c r="H18" s="23" t="s">
        <v>1664</v>
      </c>
      <c r="I18" s="71" t="str">
        <f t="shared" si="4"/>
        <v>EngramEntry_Narcotic_Mythic_C</v>
      </c>
      <c r="J18" s="23" t="str">
        <f t="shared" si="5"/>
        <v>OverrideNamedEngramEntries=(EngramEntry_Narcotic_Mythic_C,EngramHidden=true)</v>
      </c>
      <c r="K18" s="2"/>
    </row>
    <row r="19">
      <c r="A19" s="6"/>
      <c r="B19" s="6"/>
      <c r="C19" s="72"/>
      <c r="D19" s="72"/>
      <c r="E19" s="20" t="s">
        <v>1665</v>
      </c>
      <c r="F19" s="20" t="s">
        <v>1666</v>
      </c>
      <c r="G19" s="21" t="str">
        <f t="shared" si="3"/>
        <v>cheat gfi PrimalItemConsumable_Narcotic_Toxic_C 1 100 0</v>
      </c>
      <c r="H19" s="20" t="s">
        <v>1667</v>
      </c>
      <c r="I19" s="70" t="str">
        <f t="shared" si="4"/>
        <v>EngramEntry_Narcotic_Toxic_C</v>
      </c>
      <c r="J19" s="21" t="str">
        <f t="shared" si="5"/>
        <v>OverrideNamedEngramEntries=(EngramEntry_Narcotic_Toxic_C,EngramHidden=true)</v>
      </c>
      <c r="K19" s="2"/>
    </row>
    <row r="20">
      <c r="A20" s="6"/>
      <c r="B20" s="13"/>
      <c r="C20" s="72">
        <v>2.0</v>
      </c>
      <c r="D20" s="72" t="s">
        <v>1668</v>
      </c>
      <c r="E20" s="22" t="s">
        <v>1669</v>
      </c>
      <c r="F20" s="22" t="s">
        <v>1670</v>
      </c>
      <c r="G20" s="23" t="str">
        <f t="shared" si="3"/>
        <v>cheat gfi PrimalItemConsumable_PrimalBonemeal_C 1 100 0</v>
      </c>
      <c r="H20" s="22" t="s">
        <v>1671</v>
      </c>
      <c r="I20" s="71" t="str">
        <f t="shared" si="4"/>
        <v>EngramEntry_PrimalBonemeal_C</v>
      </c>
      <c r="J20" s="23" t="str">
        <f t="shared" si="5"/>
        <v>OverrideNamedEngramEntries=(EngramEntry_PrimalBonemeal_C,EngramHidden=true)</v>
      </c>
      <c r="K20" s="2"/>
    </row>
    <row r="21">
      <c r="A21" s="6"/>
      <c r="B21" s="14"/>
      <c r="C21" s="15"/>
      <c r="D21" s="15"/>
      <c r="E21" s="15"/>
      <c r="F21" s="15"/>
      <c r="G21" s="15"/>
      <c r="H21" s="15"/>
      <c r="I21" s="15"/>
      <c r="J21" s="15"/>
      <c r="K21" s="2"/>
    </row>
    <row r="22">
      <c r="A22" s="6"/>
      <c r="B22" s="73" t="s">
        <v>1672</v>
      </c>
      <c r="C22" s="4">
        <f t="shared" ref="C22:C27" si="10">IF(D22="PrimalItemConsumable_Blood",1)+IF(D22="PrimalItemConsumable_Narcotic",2)+IF(D22="PrimalItemConsumable_Seed",3)+IF(D22="PrimalItemConsumable_Fruit",4)+IF(D22="PrimalItemConsumable_Egg_Unfertilized",5)+IF(D22="PrimalItemConsumable_Kibble",6)+IF(D22="PrimalItemConsumable_Potion",7)+IF(D22="PrimalItemConsumable_XP",8)+IF(D22="PrimalItemConsumable_Food",9)+IF(D22="PrimalItemResource",10)+IF(D22="PrimalItemResource_Hide",11)+IF(D22="PrimalItemResource_MetalIngot",12)+IF(D22="PrimalItemConsumable_Summon",13)+IF(D22="PrimalItemStructure",14)+IF(D22="PrimalItem_Weapon",15)+IF(D22="PrimalItemAmmo",16)+IF(D22="PrimalItemArmor",17)+IF(D22="PrimalItemSaddle",18)+IF(D22="PrimalItemConsumable_UnderwaterEgg",19)+IF(D22="PrimalItemConsumable_Egg",20)</f>
        <v>3</v>
      </c>
      <c r="D22" s="4" t="str">
        <f t="shared" ref="D22:D24" si="11">Left(F22,find("Seed",F22)+3)</f>
        <v>PrimalItemConsumable_Seed</v>
      </c>
      <c r="E22" s="23" t="s">
        <v>1673</v>
      </c>
      <c r="F22" s="23" t="s">
        <v>1674</v>
      </c>
      <c r="G22" s="23" t="str">
        <f t="shared" ref="G22:G27" si="12">"cheat gfi "&amp;F22&amp;" 1 100 0"</f>
        <v>cheat gfi PrimalItemConsumable_Seed_Electric_C 1 100 0</v>
      </c>
      <c r="H22" s="23" t="s">
        <v>1675</v>
      </c>
      <c r="I22" s="71" t="str">
        <f t="shared" ref="I22:I27" si="13">CONCATENATE("EngramEntry",RIGHT(F22,LEN(F22) - (FIND("_",F22) - 1)))</f>
        <v>EngramEntry_Seed_Electric_C</v>
      </c>
      <c r="J22" s="23" t="str">
        <f t="shared" ref="J22:J27" si="14">"OverrideNamedEngramEntries=("&amp;I22&amp;",EngramHidden=true)"</f>
        <v>OverrideNamedEngramEntries=(EngramEntry_Seed_Electric_C,EngramHidden=true)</v>
      </c>
      <c r="K22" s="2"/>
    </row>
    <row r="23">
      <c r="A23" s="6"/>
      <c r="B23" s="6"/>
      <c r="C23" s="4">
        <f t="shared" si="10"/>
        <v>3</v>
      </c>
      <c r="D23" s="4" t="str">
        <f t="shared" si="11"/>
        <v>PrimalItemConsumable_Seed</v>
      </c>
      <c r="E23" s="21" t="s">
        <v>1676</v>
      </c>
      <c r="F23" s="21" t="s">
        <v>1677</v>
      </c>
      <c r="G23" s="21" t="str">
        <f t="shared" si="12"/>
        <v>cheat gfi PrimalItemConsumable_Seed_Hydro_C 1 100 0</v>
      </c>
      <c r="H23" s="21" t="s">
        <v>1678</v>
      </c>
      <c r="I23" s="70" t="str">
        <f t="shared" si="13"/>
        <v>EngramEntry_Seed_Hydro_C</v>
      </c>
      <c r="J23" s="21" t="str">
        <f t="shared" si="14"/>
        <v>OverrideNamedEngramEntries=(EngramEntry_Seed_Hydro_C,EngramHidden=true)</v>
      </c>
      <c r="K23" s="2"/>
    </row>
    <row r="24">
      <c r="A24" s="6"/>
      <c r="B24" s="6"/>
      <c r="C24" s="4">
        <f t="shared" si="10"/>
        <v>3</v>
      </c>
      <c r="D24" s="4" t="str">
        <f t="shared" si="11"/>
        <v>PrimalItemConsumable_Seed</v>
      </c>
      <c r="E24" s="23" t="s">
        <v>1679</v>
      </c>
      <c r="F24" s="23" t="s">
        <v>1680</v>
      </c>
      <c r="G24" s="23" t="str">
        <f t="shared" si="12"/>
        <v>cheat gfi PrimalItemConsumable_Seed_Volcanic_C 1 100 0</v>
      </c>
      <c r="H24" s="23" t="s">
        <v>1681</v>
      </c>
      <c r="I24" s="71" t="str">
        <f t="shared" si="13"/>
        <v>EngramEntry_Seed_Volcanic_C</v>
      </c>
      <c r="J24" s="23" t="str">
        <f t="shared" si="14"/>
        <v>OverrideNamedEngramEntries=(EngramEntry_Seed_Volcanic_C,EngramHidden=true)</v>
      </c>
      <c r="K24" s="2"/>
    </row>
    <row r="25">
      <c r="A25" s="6"/>
      <c r="B25" s="6"/>
      <c r="C25" s="4">
        <f t="shared" si="10"/>
        <v>4</v>
      </c>
      <c r="D25" s="4" t="str">
        <f t="shared" ref="D25:D27" si="15">Left(F25,find("Fruit",F25)+4)</f>
        <v>PrimalItemConsumable_Fruit</v>
      </c>
      <c r="E25" s="21" t="s">
        <v>1682</v>
      </c>
      <c r="F25" s="21" t="s">
        <v>1683</v>
      </c>
      <c r="G25" s="21" t="str">
        <f t="shared" si="12"/>
        <v>cheat gfi PrimalItemConsumable_Fruit_Electric_C 1 100 0</v>
      </c>
      <c r="H25" s="21" t="s">
        <v>1684</v>
      </c>
      <c r="I25" s="70" t="str">
        <f t="shared" si="13"/>
        <v>EngramEntry_Fruit_Electric_C</v>
      </c>
      <c r="J25" s="21" t="str">
        <f t="shared" si="14"/>
        <v>OverrideNamedEngramEntries=(EngramEntry_Fruit_Electric_C,EngramHidden=true)</v>
      </c>
      <c r="K25" s="2"/>
    </row>
    <row r="26">
      <c r="A26" s="6"/>
      <c r="B26" s="6"/>
      <c r="C26" s="4">
        <f t="shared" si="10"/>
        <v>4</v>
      </c>
      <c r="D26" s="4" t="str">
        <f t="shared" si="15"/>
        <v>PrimalItemConsumable_Fruit</v>
      </c>
      <c r="E26" s="23" t="s">
        <v>1685</v>
      </c>
      <c r="F26" s="23" t="s">
        <v>1686</v>
      </c>
      <c r="G26" s="23" t="str">
        <f t="shared" si="12"/>
        <v>cheat gfi PrimalItemConsumable_Fruit_Hydro_C 1 100 0</v>
      </c>
      <c r="H26" s="23" t="s">
        <v>1687</v>
      </c>
      <c r="I26" s="71" t="str">
        <f t="shared" si="13"/>
        <v>EngramEntry_Fruit_Hydro_C</v>
      </c>
      <c r="J26" s="23" t="str">
        <f t="shared" si="14"/>
        <v>OverrideNamedEngramEntries=(EngramEntry_Fruit_Hydro_C,EngramHidden=true)</v>
      </c>
      <c r="K26" s="2"/>
    </row>
    <row r="27">
      <c r="A27" s="6"/>
      <c r="B27" s="13"/>
      <c r="C27" s="4">
        <f t="shared" si="10"/>
        <v>4</v>
      </c>
      <c r="D27" s="4" t="str">
        <f t="shared" si="15"/>
        <v>PrimalItemConsumable_Fruit</v>
      </c>
      <c r="E27" s="21" t="s">
        <v>1688</v>
      </c>
      <c r="F27" s="21" t="s">
        <v>1689</v>
      </c>
      <c r="G27" s="21" t="str">
        <f t="shared" si="12"/>
        <v>cheat gfi PrimalItemConsumable_Fruit_Volcanic_C 1 100 0</v>
      </c>
      <c r="H27" s="21" t="s">
        <v>1690</v>
      </c>
      <c r="I27" s="70" t="str">
        <f t="shared" si="13"/>
        <v>EngramEntry_Fruit_Volcanic_C</v>
      </c>
      <c r="J27" s="21" t="str">
        <f t="shared" si="14"/>
        <v>OverrideNamedEngramEntries=(EngramEntry_Fruit_Volcanic_C,EngramHidden=true)</v>
      </c>
      <c r="K27" s="2"/>
    </row>
    <row r="28">
      <c r="A28" s="6"/>
      <c r="B28" s="14"/>
      <c r="C28" s="15"/>
      <c r="D28" s="15"/>
      <c r="E28" s="15"/>
      <c r="F28" s="15"/>
      <c r="G28" s="15"/>
      <c r="H28" s="15"/>
      <c r="I28" s="15"/>
      <c r="J28" s="15"/>
      <c r="K28" s="2"/>
    </row>
    <row r="29">
      <c r="A29" s="6"/>
      <c r="B29" s="74" t="s">
        <v>1691</v>
      </c>
      <c r="C29" s="4">
        <f>IF(D29="PrimalItemConsumable_Blood",1)+IF(D29="PrimalItemConsumable_Narcotic",2)+IF(D29="PrimalItemConsumable_Seed",3)+IF(D29="PrimalItemConsumable_Fruit",4)+IF(D29="PrimalItemConsumable_Egg_Unfertilized",5)+IF(D29="PrimalItemConsumable_Kibble",6)+IF(D29="PrimalItemConsumable_Potion",7)+IF(D29="PrimalItemConsumable_XP",8)+IF(D29="PrimalItemConsumable_Food",9)+IF(D29="PrimalItemResource",10)+IF(D29="PrimalItemResource_Hide",11)+IF(D29="PrimalItemResource_MetalIngot",12)+IF(D29="PrimalItemConsumable_Summon",13)+IF(D29="PrimalItemStructure",14)+IF(D29="PrimalItem_Weapon",15)+IF(D29="PrimalItemAmmo",16)+IF(D29="PrimalItemArmor",17)+IF(D29="PrimalItemSaddle",18)+IF(D29="PrimalItemConsumable_UnderwaterEgg",19)+IF(D29="PrimalItemConsumable_Egg",20)</f>
        <v>5</v>
      </c>
      <c r="D29" s="72" t="s">
        <v>1692</v>
      </c>
      <c r="E29" s="21" t="s">
        <v>1693</v>
      </c>
      <c r="F29" s="21" t="s">
        <v>1694</v>
      </c>
      <c r="G29" s="21" t="str">
        <f t="shared" ref="G29:G41" si="16">"cheat gfi "&amp;F29&amp;" 1 100 0"</f>
        <v>cheat gfi PrimalItemConsumable_Egg_Alpha_C 1 100 0</v>
      </c>
      <c r="H29" s="21" t="s">
        <v>1695</v>
      </c>
      <c r="I29" s="70" t="str">
        <f t="shared" ref="I29:I41" si="17">CONCATENATE("EngramEntry",RIGHT(F29,LEN(F29) - (FIND("_",F29) - 1)))</f>
        <v>EngramEntry_Egg_Alpha_C</v>
      </c>
      <c r="J29" s="21" t="str">
        <f t="shared" ref="J29:J41" si="18">"OverrideNamedEngramEntries=("&amp;I29&amp;",EngramHidden=true)"</f>
        <v>OverrideNamedEngramEntries=(EngramEntry_Egg_Alpha_C,EngramHidden=true)</v>
      </c>
      <c r="K29" s="2"/>
    </row>
    <row r="30">
      <c r="A30" s="6"/>
      <c r="B30" s="6"/>
      <c r="C30" s="4"/>
      <c r="D30" s="72"/>
      <c r="E30" s="22" t="s">
        <v>1696</v>
      </c>
      <c r="F30" s="22" t="s">
        <v>1697</v>
      </c>
      <c r="G30" s="23" t="str">
        <f t="shared" si="16"/>
        <v>cheat gfi PrimalItemConsumable_Egg_Angelic_C 1 100 0</v>
      </c>
      <c r="H30" s="22" t="s">
        <v>1698</v>
      </c>
      <c r="I30" s="71" t="str">
        <f t="shared" si="17"/>
        <v>EngramEntry_Egg_Angelic_C</v>
      </c>
      <c r="J30" s="23" t="str">
        <f t="shared" si="18"/>
        <v>OverrideNamedEngramEntries=(EngramEntry_Egg_Angelic_C,EngramHidden=true)</v>
      </c>
      <c r="K30" s="2"/>
    </row>
    <row r="31">
      <c r="A31" s="6"/>
      <c r="B31" s="6"/>
      <c r="C31" s="4">
        <f t="shared" ref="C31:C32" si="19">IF(D31="PrimalItemConsumable_Blood",1)+IF(D31="PrimalItemConsumable_Narcotic",2)+IF(D31="PrimalItemConsumable_Seed",3)+IF(D31="PrimalItemConsumable_Fruit",4)+IF(D31="PrimalItemConsumable_Egg_Unfertilized",5)+IF(D31="PrimalItemConsumable_Kibble",6)+IF(D31="PrimalItemConsumable_Potion",7)+IF(D31="PrimalItemConsumable_XP",8)+IF(D31="PrimalItemConsumable_Food",9)+IF(D31="PrimalItemResource",10)+IF(D31="PrimalItemResource_Hide",11)+IF(D31="PrimalItemResource_MetalIngot",12)+IF(D31="PrimalItemConsumable_Summon",13)+IF(D31="PrimalItemStructure",14)+IF(D31="PrimalItem_Weapon",15)+IF(D31="PrimalItemAmmo",16)+IF(D31="PrimalItemArmor",17)+IF(D31="PrimalItemSaddle",18)+IF(D31="PrimalItemConsumable_UnderwaterEgg",19)+IF(D31="PrimalItemConsumable_Egg",20)</f>
        <v>5</v>
      </c>
      <c r="D31" s="72" t="s">
        <v>1692</v>
      </c>
      <c r="E31" s="21" t="s">
        <v>1699</v>
      </c>
      <c r="F31" s="21" t="s">
        <v>1700</v>
      </c>
      <c r="G31" s="21" t="str">
        <f t="shared" si="16"/>
        <v>cheat gfi PrimalItemConsumable_Egg_Demonic_C 1 100 0</v>
      </c>
      <c r="H31" s="21" t="s">
        <v>1701</v>
      </c>
      <c r="I31" s="70" t="str">
        <f t="shared" si="17"/>
        <v>EngramEntry_Egg_Demonic_C</v>
      </c>
      <c r="J31" s="21" t="str">
        <f t="shared" si="18"/>
        <v>OverrideNamedEngramEntries=(EngramEntry_Egg_Demonic_C,EngramHidden=true)</v>
      </c>
      <c r="K31" s="2"/>
    </row>
    <row r="32">
      <c r="A32" s="6"/>
      <c r="B32" s="6"/>
      <c r="C32" s="4">
        <f t="shared" si="19"/>
        <v>5</v>
      </c>
      <c r="D32" s="72" t="s">
        <v>1692</v>
      </c>
      <c r="E32" s="23" t="s">
        <v>1702</v>
      </c>
      <c r="F32" s="23" t="s">
        <v>1703</v>
      </c>
      <c r="G32" s="23" t="str">
        <f t="shared" si="16"/>
        <v>cheat gfi PrimalItemConsumable_Egg_Electric_C 1 100 0</v>
      </c>
      <c r="H32" s="23" t="s">
        <v>1704</v>
      </c>
      <c r="I32" s="71" t="str">
        <f t="shared" si="17"/>
        <v>EngramEntry_Egg_Electric_C</v>
      </c>
      <c r="J32" s="23" t="str">
        <f t="shared" si="18"/>
        <v>OverrideNamedEngramEntries=(EngramEntry_Egg_Electric_C,EngramHidden=true)</v>
      </c>
      <c r="K32" s="2"/>
    </row>
    <row r="33">
      <c r="A33" s="6"/>
      <c r="B33" s="6"/>
      <c r="C33" s="4"/>
      <c r="D33" s="72"/>
      <c r="E33" s="20" t="s">
        <v>1705</v>
      </c>
      <c r="F33" s="20" t="s">
        <v>1706</v>
      </c>
      <c r="G33" s="21" t="str">
        <f t="shared" si="16"/>
        <v>cheat gfi PrimalItemConsumable_Egg_Fabled_C 1 100 0</v>
      </c>
      <c r="H33" s="20" t="s">
        <v>1707</v>
      </c>
      <c r="I33" s="70" t="str">
        <f t="shared" si="17"/>
        <v>EngramEntry_Egg_Fabled_C</v>
      </c>
      <c r="J33" s="21" t="str">
        <f t="shared" si="18"/>
        <v>OverrideNamedEngramEntries=(EngramEntry_Egg_Fabled_C,EngramHidden=true)</v>
      </c>
      <c r="K33" s="2"/>
    </row>
    <row r="34">
      <c r="A34" s="6"/>
      <c r="B34" s="6"/>
      <c r="C34" s="4">
        <f t="shared" ref="C34:C37" si="20">IF(D34="PrimalItemConsumable_Blood",1)+IF(D34="PrimalItemConsumable_Narcotic",2)+IF(D34="PrimalItemConsumable_Seed",3)+IF(D34="PrimalItemConsumable_Fruit",4)+IF(D34="PrimalItemConsumable_Egg_Unfertilized",5)+IF(D34="PrimalItemConsumable_Kibble",6)+IF(D34="PrimalItemConsumable_Potion",7)+IF(D34="PrimalItemConsumable_XP",8)+IF(D34="PrimalItemConsumable_Food",9)+IF(D34="PrimalItemResource",10)+IF(D34="PrimalItemResource_Hide",11)+IF(D34="PrimalItemResource_MetalIngot",12)+IF(D34="PrimalItemConsumable_Summon",13)+IF(D34="PrimalItemStructure",14)+IF(D34="PrimalItem_Weapon",15)+IF(D34="PrimalItemAmmo",16)+IF(D34="PrimalItemArmor",17)+IF(D34="PrimalItemSaddle",18)+IF(D34="PrimalItemConsumable_UnderwaterEgg",19)+IF(D34="PrimalItemConsumable_Egg",20)</f>
        <v>5</v>
      </c>
      <c r="D34" s="72" t="s">
        <v>1692</v>
      </c>
      <c r="E34" s="23" t="s">
        <v>1708</v>
      </c>
      <c r="F34" s="23" t="s">
        <v>1709</v>
      </c>
      <c r="G34" s="23" t="str">
        <f t="shared" si="16"/>
        <v>cheat gfi PrimalItemConsumable_Egg_Fairy_C 1 100 0</v>
      </c>
      <c r="H34" s="23" t="s">
        <v>1710</v>
      </c>
      <c r="I34" s="71" t="str">
        <f t="shared" si="17"/>
        <v>EngramEntry_Egg_Fairy_C</v>
      </c>
      <c r="J34" s="23" t="str">
        <f t="shared" si="18"/>
        <v>OverrideNamedEngramEntries=(EngramEntry_Egg_Fairy_C,EngramHidden=true)</v>
      </c>
      <c r="K34" s="2"/>
    </row>
    <row r="35">
      <c r="A35" s="6"/>
      <c r="B35" s="6"/>
      <c r="C35" s="4">
        <f t="shared" si="20"/>
        <v>5</v>
      </c>
      <c r="D35" s="72" t="s">
        <v>1692</v>
      </c>
      <c r="E35" s="21" t="s">
        <v>1711</v>
      </c>
      <c r="F35" s="21" t="s">
        <v>1712</v>
      </c>
      <c r="G35" s="21" t="str">
        <f t="shared" si="16"/>
        <v>cheat gfi PrimalItemConsumable_Egg_Hydro_C 1 100 0</v>
      </c>
      <c r="H35" s="21" t="s">
        <v>1713</v>
      </c>
      <c r="I35" s="70" t="str">
        <f t="shared" si="17"/>
        <v>EngramEntry_Egg_Hydro_C</v>
      </c>
      <c r="J35" s="21" t="str">
        <f t="shared" si="18"/>
        <v>OverrideNamedEngramEntries=(EngramEntry_Egg_Hydro_C,EngramHidden=true)</v>
      </c>
      <c r="K35" s="2"/>
    </row>
    <row r="36">
      <c r="A36" s="6"/>
      <c r="B36" s="6"/>
      <c r="C36" s="4">
        <f t="shared" si="20"/>
        <v>5</v>
      </c>
      <c r="D36" s="72" t="s">
        <v>1692</v>
      </c>
      <c r="E36" s="23" t="s">
        <v>1714</v>
      </c>
      <c r="F36" s="23" t="s">
        <v>1715</v>
      </c>
      <c r="G36" s="23" t="str">
        <f t="shared" si="16"/>
        <v>cheat gfi PrimalItemConsumable_Egg_Legendary_C 1 100 0</v>
      </c>
      <c r="H36" s="23" t="s">
        <v>1716</v>
      </c>
      <c r="I36" s="71" t="str">
        <f t="shared" si="17"/>
        <v>EngramEntry_Egg_Legendary_C</v>
      </c>
      <c r="J36" s="23" t="str">
        <f t="shared" si="18"/>
        <v>OverrideNamedEngramEntries=(EngramEntry_Egg_Legendary_C,EngramHidden=true)</v>
      </c>
      <c r="K36" s="2"/>
    </row>
    <row r="37">
      <c r="A37" s="6"/>
      <c r="B37" s="6"/>
      <c r="C37" s="4">
        <f t="shared" si="20"/>
        <v>5</v>
      </c>
      <c r="D37" s="72" t="s">
        <v>1692</v>
      </c>
      <c r="E37" s="21" t="s">
        <v>1717</v>
      </c>
      <c r="F37" s="21" t="s">
        <v>1718</v>
      </c>
      <c r="G37" s="21" t="str">
        <f t="shared" si="16"/>
        <v>cheat gfi PrimalItemConsumable_Egg_Mythic_C 1 100 0</v>
      </c>
      <c r="H37" s="21" t="s">
        <v>1719</v>
      </c>
      <c r="I37" s="70" t="str">
        <f t="shared" si="17"/>
        <v>EngramEntry_Egg_Mythic_C</v>
      </c>
      <c r="J37" s="21" t="str">
        <f t="shared" si="18"/>
        <v>OverrideNamedEngramEntries=(EngramEntry_Egg_Mythic_C,EngramHidden=true)</v>
      </c>
      <c r="K37" s="2"/>
    </row>
    <row r="38">
      <c r="A38" s="6"/>
      <c r="B38" s="6"/>
      <c r="C38" s="4"/>
      <c r="D38" s="72"/>
      <c r="E38" s="22" t="s">
        <v>1720</v>
      </c>
      <c r="F38" s="22" t="s">
        <v>1721</v>
      </c>
      <c r="G38" s="23" t="str">
        <f t="shared" si="16"/>
        <v>cheat gfi PrimalItemConsumable_Egg_Omega_C 1 100 0</v>
      </c>
      <c r="H38" s="22" t="s">
        <v>1722</v>
      </c>
      <c r="I38" s="71" t="str">
        <f t="shared" si="17"/>
        <v>EngramEntry_Egg_Omega_C</v>
      </c>
      <c r="J38" s="23" t="str">
        <f t="shared" si="18"/>
        <v>OverrideNamedEngramEntries=(EngramEntry_Egg_Omega_C,EngramHidden=true)</v>
      </c>
      <c r="K38" s="2"/>
    </row>
    <row r="39">
      <c r="A39" s="6"/>
      <c r="B39" s="6"/>
      <c r="C39" s="4">
        <f>IF(D39="PrimalItemConsumable_Blood",1)+IF(D39="PrimalItemConsumable_Narcotic",2)+IF(D39="PrimalItemConsumable_Seed",3)+IF(D39="PrimalItemConsumable_Fruit",4)+IF(D39="PrimalItemConsumable_Egg_Unfertilized",5)+IF(D39="PrimalItemConsumable_Kibble",6)+IF(D39="PrimalItemConsumable_Potion",7)+IF(D39="PrimalItemConsumable_XP",8)+IF(D39="PrimalItemConsumable_Food",9)+IF(D39="PrimalItemResource",10)+IF(D39="PrimalItemResource_Hide",11)+IF(D39="PrimalItemResource_MetalIngot",12)+IF(D39="PrimalItemConsumable_Summon",13)+IF(D39="PrimalItemStructure",14)+IF(D39="PrimalItem_Weapon",15)+IF(D39="PrimalItemAmmo",16)+IF(D39="PrimalItemArmor",17)+IF(D39="PrimalItemSaddle",18)+IF(D39="PrimalItemConsumable_UnderwaterEgg",19)+IF(D39="PrimalItemConsumable_Egg",20)</f>
        <v>5</v>
      </c>
      <c r="D39" s="72" t="s">
        <v>1692</v>
      </c>
      <c r="E39" s="21" t="s">
        <v>1723</v>
      </c>
      <c r="F39" s="21" t="s">
        <v>1724</v>
      </c>
      <c r="G39" s="21" t="str">
        <f t="shared" si="16"/>
        <v>cheat gfi PrimalItemConsumable_Egg_Shadow_C 1 100 0</v>
      </c>
      <c r="H39" s="21" t="s">
        <v>1725</v>
      </c>
      <c r="I39" s="70" t="str">
        <f t="shared" si="17"/>
        <v>EngramEntry_Egg_Shadow_C</v>
      </c>
      <c r="J39" s="21" t="str">
        <f t="shared" si="18"/>
        <v>OverrideNamedEngramEntries=(EngramEntry_Egg_Shadow_C,EngramHidden=true)</v>
      </c>
      <c r="K39" s="2"/>
    </row>
    <row r="40">
      <c r="A40" s="6"/>
      <c r="B40" s="6"/>
      <c r="C40" s="4"/>
      <c r="D40" s="72"/>
      <c r="E40" s="22" t="s">
        <v>1726</v>
      </c>
      <c r="F40" s="22" t="s">
        <v>1727</v>
      </c>
      <c r="G40" s="23" t="str">
        <f t="shared" si="16"/>
        <v>cheat gfi PrimalItemConsumable_Egg_Toxic_C 1 100 0</v>
      </c>
      <c r="H40" s="22" t="s">
        <v>1728</v>
      </c>
      <c r="I40" s="71" t="str">
        <f t="shared" si="17"/>
        <v>EngramEntry_Egg_Toxic_C</v>
      </c>
      <c r="J40" s="23" t="str">
        <f t="shared" si="18"/>
        <v>OverrideNamedEngramEntries=(EngramEntry_Egg_Toxic_C,EngramHidden=true)</v>
      </c>
      <c r="K40" s="2"/>
    </row>
    <row r="41">
      <c r="A41" s="6"/>
      <c r="B41" s="13"/>
      <c r="C41" s="4">
        <f>IF(D41="PrimalItemConsumable_Blood",1)+IF(D41="PrimalItemConsumable_Narcotic",2)+IF(D41="PrimalItemConsumable_Seed",3)+IF(D41="PrimalItemConsumable_Fruit",4)+IF(D41="PrimalItemConsumable_Egg_Unfertilized",5)+IF(D41="PrimalItemConsumable_Kibble",6)+IF(D41="PrimalItemConsumable_Potion",7)+IF(D41="PrimalItemConsumable_XP",8)+IF(D41="PrimalItemConsumable_Food",9)+IF(D41="PrimalItemResource",10)+IF(D41="PrimalItemResource_Hide",11)+IF(D41="PrimalItemResource_MetalIngot",12)+IF(D41="PrimalItemConsumable_Summon",13)+IF(D41="PrimalItemStructure",14)+IF(D41="PrimalItem_Weapon",15)+IF(D41="PrimalItemAmmo",16)+IF(D41="PrimalItemArmor",17)+IF(D41="PrimalItemSaddle",18)+IF(D41="PrimalItemConsumable_UnderwaterEgg",19)+IF(D41="PrimalItemConsumable_Egg",20)</f>
        <v>5</v>
      </c>
      <c r="D41" s="72" t="s">
        <v>1692</v>
      </c>
      <c r="E41" s="21" t="s">
        <v>1729</v>
      </c>
      <c r="F41" s="21" t="s">
        <v>1730</v>
      </c>
      <c r="G41" s="21" t="str">
        <f t="shared" si="16"/>
        <v>cheat gfi PrimalItemConsumable_Egg_Volcanic_C 1 100 0</v>
      </c>
      <c r="H41" s="21" t="s">
        <v>1731</v>
      </c>
      <c r="I41" s="70" t="str">
        <f t="shared" si="17"/>
        <v>EngramEntry_Egg_Volcanic_C</v>
      </c>
      <c r="J41" s="21" t="str">
        <f t="shared" si="18"/>
        <v>OverrideNamedEngramEntries=(EngramEntry_Egg_Volcanic_C,EngramHidden=true)</v>
      </c>
      <c r="K41" s="2"/>
    </row>
    <row r="42">
      <c r="A42" s="6"/>
      <c r="B42" s="14"/>
      <c r="C42" s="15"/>
      <c r="D42" s="15"/>
      <c r="E42" s="15"/>
      <c r="F42" s="15"/>
      <c r="G42" s="15"/>
      <c r="H42" s="15"/>
      <c r="I42" s="15"/>
      <c r="J42" s="15"/>
      <c r="K42" s="2"/>
    </row>
    <row r="43">
      <c r="A43" s="6"/>
      <c r="B43" s="75" t="s">
        <v>1732</v>
      </c>
      <c r="C43" s="4">
        <f t="shared" ref="C43:C46" si="21">IF(D43="PrimalItemConsumable_Blood",1)+IF(D43="PrimalItemConsumable_Narcotic",2)+IF(D43="PrimalItemConsumable_Seed",3)+IF(D43="PrimalItemConsumable_Fruit",4)+IF(D43="PrimalItemConsumable_Egg_Unfertilized",5)+IF(D43="PrimalItemConsumable_Kibble",6)+IF(D43="PrimalItemConsumable_Potion",7)+IF(D43="PrimalItemConsumable_XP",8)+IF(D43="PrimalItemConsumable_Food",9)+IF(D43="PrimalItemResource",10)+IF(D43="PrimalItemResource_Hide",11)+IF(D43="PrimalItemResource_MetalIngot",12)+IF(D43="PrimalItemConsumable_Summon",13)+IF(D43="PrimalItemStructure",14)+IF(D43="PrimalItem_Weapon",15)+IF(D43="PrimalItemAmmo",16)+IF(D43="PrimalItemArmor",17)+IF(D43="PrimalItemSaddle",18)+IF(D43="PrimalItemConsumable_UnderwaterEgg",19)+IF(D43="PrimalItemConsumable_Egg",20)</f>
        <v>6</v>
      </c>
      <c r="D43" s="4" t="str">
        <f t="shared" ref="D43:D46" si="22">Left(F43,find("Kibble",F43)+5)</f>
        <v>PrimalItemConsumable_Kibble</v>
      </c>
      <c r="E43" s="20" t="s">
        <v>1733</v>
      </c>
      <c r="F43" s="20" t="s">
        <v>1734</v>
      </c>
      <c r="G43" s="21" t="str">
        <f t="shared" ref="G43:G55" si="23">"cheat gfi "&amp;F43&amp;" 1 100 0"</f>
        <v>cheat gfi PrimalItemConsumable_Kibble_Alpha_C 1 100 0</v>
      </c>
      <c r="H43" s="20" t="s">
        <v>1735</v>
      </c>
      <c r="I43" s="70" t="str">
        <f t="shared" ref="I43:I55" si="24">CONCATENATE("EngramEntry",RIGHT(F43,LEN(F43) - (FIND("_",F43) - 1)))</f>
        <v>EngramEntry_Kibble_Alpha_C</v>
      </c>
      <c r="J43" s="21" t="str">
        <f t="shared" ref="J43:J55" si="25">"OverrideNamedEngramEntries=("&amp;I43&amp;",EngramHidden=true)"</f>
        <v>OverrideNamedEngramEntries=(EngramEntry_Kibble_Alpha_C,EngramHidden=true)</v>
      </c>
      <c r="K43" s="2"/>
    </row>
    <row r="44">
      <c r="A44" s="6"/>
      <c r="B44" s="6"/>
      <c r="C44" s="4">
        <f t="shared" si="21"/>
        <v>6</v>
      </c>
      <c r="D44" s="4" t="str">
        <f t="shared" si="22"/>
        <v>PrimalItemConsumable_Kibble</v>
      </c>
      <c r="E44" s="22" t="s">
        <v>1736</v>
      </c>
      <c r="F44" s="22" t="s">
        <v>1737</v>
      </c>
      <c r="G44" s="23" t="str">
        <f t="shared" si="23"/>
        <v>cheat gfi PrimalItemConsumable_Kibble_Angelic_C 1 100 0</v>
      </c>
      <c r="H44" s="22" t="s">
        <v>1738</v>
      </c>
      <c r="I44" s="71" t="str">
        <f t="shared" si="24"/>
        <v>EngramEntry_Kibble_Angelic_C</v>
      </c>
      <c r="J44" s="23" t="str">
        <f t="shared" si="25"/>
        <v>OverrideNamedEngramEntries=(EngramEntry_Kibble_Angelic_C,EngramHidden=true)</v>
      </c>
      <c r="K44" s="2"/>
    </row>
    <row r="45">
      <c r="A45" s="6"/>
      <c r="B45" s="6"/>
      <c r="C45" s="4">
        <f t="shared" si="21"/>
        <v>6</v>
      </c>
      <c r="D45" s="4" t="str">
        <f t="shared" si="22"/>
        <v>PrimalItemConsumable_Kibble</v>
      </c>
      <c r="E45" s="20" t="s">
        <v>1739</v>
      </c>
      <c r="F45" s="20" t="s">
        <v>1740</v>
      </c>
      <c r="G45" s="21" t="str">
        <f t="shared" si="23"/>
        <v>cheat gfi PrimalItemConsumable_Kibble_Chaos_C 1 100 0</v>
      </c>
      <c r="H45" s="20" t="s">
        <v>1741</v>
      </c>
      <c r="I45" s="70" t="str">
        <f t="shared" si="24"/>
        <v>EngramEntry_Kibble_Chaos_C</v>
      </c>
      <c r="J45" s="21" t="str">
        <f t="shared" si="25"/>
        <v>OverrideNamedEngramEntries=(EngramEntry_Kibble_Chaos_C,EngramHidden=true)</v>
      </c>
      <c r="K45" s="2"/>
    </row>
    <row r="46">
      <c r="A46" s="6"/>
      <c r="B46" s="6"/>
      <c r="C46" s="4">
        <f t="shared" si="21"/>
        <v>6</v>
      </c>
      <c r="D46" s="4" t="str">
        <f t="shared" si="22"/>
        <v>PrimalItemConsumable_Kibble</v>
      </c>
      <c r="E46" s="22" t="s">
        <v>1742</v>
      </c>
      <c r="F46" s="22" t="s">
        <v>1743</v>
      </c>
      <c r="G46" s="23" t="str">
        <f t="shared" si="23"/>
        <v>cheat gfi PrimalItemConsumable_Kibble_Demonic_C 1 100 0</v>
      </c>
      <c r="H46" s="22" t="s">
        <v>1744</v>
      </c>
      <c r="I46" s="71" t="str">
        <f t="shared" si="24"/>
        <v>EngramEntry_Kibble_Demonic_C</v>
      </c>
      <c r="J46" s="23" t="str">
        <f t="shared" si="25"/>
        <v>OverrideNamedEngramEntries=(EngramEntry_Kibble_Demonic_C,EngramHidden=true)</v>
      </c>
      <c r="K46" s="2"/>
    </row>
    <row r="47">
      <c r="A47" s="6"/>
      <c r="B47" s="6"/>
      <c r="C47" s="4"/>
      <c r="D47" s="4"/>
      <c r="E47" s="20" t="s">
        <v>1745</v>
      </c>
      <c r="F47" s="20" t="s">
        <v>1746</v>
      </c>
      <c r="G47" s="21" t="str">
        <f t="shared" si="23"/>
        <v>cheat gfi PrimalItemConsumable_Kibble_Elemental_C 1 100 0</v>
      </c>
      <c r="H47" s="20" t="s">
        <v>1747</v>
      </c>
      <c r="I47" s="70" t="str">
        <f t="shared" si="24"/>
        <v>EngramEntry_Kibble_Elemental_C</v>
      </c>
      <c r="J47" s="21" t="str">
        <f t="shared" si="25"/>
        <v>OverrideNamedEngramEntries=(EngramEntry_Kibble_Elemental_C,EngramHidden=true)</v>
      </c>
      <c r="K47" s="2"/>
    </row>
    <row r="48">
      <c r="A48" s="6"/>
      <c r="B48" s="6"/>
      <c r="C48" s="4">
        <f t="shared" ref="C48:C50" si="26">IF(D48="PrimalItemConsumable_Blood",1)+IF(D48="PrimalItemConsumable_Narcotic",2)+IF(D48="PrimalItemConsumable_Seed",3)+IF(D48="PrimalItemConsumable_Fruit",4)+IF(D48="PrimalItemConsumable_Egg_Unfertilized",5)+IF(D48="PrimalItemConsumable_Kibble",6)+IF(D48="PrimalItemConsumable_Potion",7)+IF(D48="PrimalItemConsumable_XP",8)+IF(D48="PrimalItemConsumable_Food",9)+IF(D48="PrimalItemResource",10)+IF(D48="PrimalItemResource_Hide",11)+IF(D48="PrimalItemResource_MetalIngot",12)+IF(D48="PrimalItemConsumable_Summon",13)+IF(D48="PrimalItemStructure",14)+IF(D48="PrimalItem_Weapon",15)+IF(D48="PrimalItemAmmo",16)+IF(D48="PrimalItemArmor",17)+IF(D48="PrimalItemSaddle",18)+IF(D48="PrimalItemConsumable_UnderwaterEgg",19)+IF(D48="PrimalItemConsumable_Egg",20)</f>
        <v>6</v>
      </c>
      <c r="D48" s="4" t="str">
        <f t="shared" ref="D48:D50" si="27">Left(F48,find("Kibble",F48)+5)</f>
        <v>PrimalItemConsumable_Kibble</v>
      </c>
      <c r="E48" s="22" t="s">
        <v>1748</v>
      </c>
      <c r="F48" s="22" t="s">
        <v>1749</v>
      </c>
      <c r="G48" s="23" t="str">
        <f t="shared" si="23"/>
        <v>cheat gfi PrimalItemConsumable_Kibble_Fabled_C 1 100 0</v>
      </c>
      <c r="H48" s="22" t="s">
        <v>1750</v>
      </c>
      <c r="I48" s="71" t="str">
        <f t="shared" si="24"/>
        <v>EngramEntry_Kibble_Fabled_C</v>
      </c>
      <c r="J48" s="23" t="str">
        <f t="shared" si="25"/>
        <v>OverrideNamedEngramEntries=(EngramEntry_Kibble_Fabled_C,EngramHidden=true)</v>
      </c>
      <c r="K48" s="2"/>
    </row>
    <row r="49">
      <c r="A49" s="6"/>
      <c r="B49" s="6"/>
      <c r="C49" s="4">
        <f t="shared" si="26"/>
        <v>6</v>
      </c>
      <c r="D49" s="4" t="str">
        <f t="shared" si="27"/>
        <v>PrimalItemConsumable_Kibble</v>
      </c>
      <c r="E49" s="20" t="s">
        <v>1751</v>
      </c>
      <c r="F49" s="20" t="s">
        <v>1752</v>
      </c>
      <c r="G49" s="21" t="str">
        <f t="shared" si="23"/>
        <v>cheat gfi PrimalItemConsumable_Kibble_Fairy_C 1 100 0</v>
      </c>
      <c r="H49" s="20" t="s">
        <v>1753</v>
      </c>
      <c r="I49" s="70" t="str">
        <f t="shared" si="24"/>
        <v>EngramEntry_Kibble_Fairy_C</v>
      </c>
      <c r="J49" s="21" t="str">
        <f t="shared" si="25"/>
        <v>OverrideNamedEngramEntries=(EngramEntry_Kibble_Fairy_C,EngramHidden=true)</v>
      </c>
      <c r="K49" s="2"/>
    </row>
    <row r="50">
      <c r="A50" s="6"/>
      <c r="B50" s="6"/>
      <c r="C50" s="4">
        <f t="shared" si="26"/>
        <v>6</v>
      </c>
      <c r="D50" s="4" t="str">
        <f t="shared" si="27"/>
        <v>PrimalItemConsumable_Kibble</v>
      </c>
      <c r="E50" s="22" t="s">
        <v>1754</v>
      </c>
      <c r="F50" s="22" t="s">
        <v>1755</v>
      </c>
      <c r="G50" s="23" t="str">
        <f t="shared" si="23"/>
        <v>cheat gfi PrimalItemConsumable_Kibble_Legendary_C 1 100 0</v>
      </c>
      <c r="H50" s="22" t="s">
        <v>1756</v>
      </c>
      <c r="I50" s="71" t="str">
        <f t="shared" si="24"/>
        <v>EngramEntry_Kibble_Legendary_C</v>
      </c>
      <c r="J50" s="23" t="str">
        <f t="shared" si="25"/>
        <v>OverrideNamedEngramEntries=(EngramEntry_Kibble_Legendary_C,EngramHidden=true)</v>
      </c>
      <c r="K50" s="2"/>
    </row>
    <row r="51">
      <c r="A51" s="6"/>
      <c r="B51" s="6"/>
      <c r="C51" s="4"/>
      <c r="D51" s="4"/>
      <c r="E51" s="20" t="s">
        <v>1757</v>
      </c>
      <c r="F51" s="20" t="s">
        <v>1758</v>
      </c>
      <c r="G51" s="21" t="str">
        <f t="shared" si="23"/>
        <v>cheat gfi PrimalItemConsumable_Kibble_Mythic_C 1 100 0</v>
      </c>
      <c r="H51" s="20" t="s">
        <v>1759</v>
      </c>
      <c r="I51" s="70" t="str">
        <f t="shared" si="24"/>
        <v>EngramEntry_Kibble_Mythic_C</v>
      </c>
      <c r="J51" s="21" t="str">
        <f t="shared" si="25"/>
        <v>OverrideNamedEngramEntries=(EngramEntry_Kibble_Mythic_C,EngramHidden=true)</v>
      </c>
      <c r="K51" s="2"/>
    </row>
    <row r="52">
      <c r="A52" s="6"/>
      <c r="B52" s="6"/>
      <c r="C52" s="4">
        <f>IF(D52="PrimalItemConsumable_Blood",1)+IF(D52="PrimalItemConsumable_Narcotic",2)+IF(D52="PrimalItemConsumable_Seed",3)+IF(D52="PrimalItemConsumable_Fruit",4)+IF(D52="PrimalItemConsumable_Egg_Unfertilized",5)+IF(D52="PrimalItemConsumable_Kibble",6)+IF(D52="PrimalItemConsumable_Potion",7)+IF(D52="PrimalItemConsumable_XP",8)+IF(D52="PrimalItemConsumable_Food",9)+IF(D52="PrimalItemResource",10)+IF(D52="PrimalItemResource_Hide",11)+IF(D52="PrimalItemResource_MetalIngot",12)+IF(D52="PrimalItemConsumable_Summon",13)+IF(D52="PrimalItemStructure",14)+IF(D52="PrimalItem_Weapon",15)+IF(D52="PrimalItemAmmo",16)+IF(D52="PrimalItemArmor",17)+IF(D52="PrimalItemSaddle",18)+IF(D52="PrimalItemConsumable_UnderwaterEgg",19)+IF(D52="PrimalItemConsumable_Egg",20)</f>
        <v>6</v>
      </c>
      <c r="D52" s="4" t="str">
        <f>Left(F52,find("Kibble",F52)+5)</f>
        <v>PrimalItemConsumable_Kibble</v>
      </c>
      <c r="E52" s="22" t="s">
        <v>1760</v>
      </c>
      <c r="F52" s="22" t="s">
        <v>1761</v>
      </c>
      <c r="G52" s="23" t="str">
        <f t="shared" si="23"/>
        <v>cheat gfi PrimalItemConsumable_Kibble_Omega_C 1 100 0</v>
      </c>
      <c r="H52" s="22" t="s">
        <v>1762</v>
      </c>
      <c r="I52" s="71" t="str">
        <f t="shared" si="24"/>
        <v>EngramEntry_Kibble_Omega_C</v>
      </c>
      <c r="J52" s="23" t="str">
        <f t="shared" si="25"/>
        <v>OverrideNamedEngramEntries=(EngramEntry_Kibble_Omega_C,EngramHidden=true)</v>
      </c>
      <c r="K52" s="2"/>
    </row>
    <row r="53">
      <c r="A53" s="6"/>
      <c r="B53" s="6"/>
      <c r="C53" s="4"/>
      <c r="D53" s="4"/>
      <c r="E53" s="20" t="s">
        <v>1763</v>
      </c>
      <c r="F53" s="20" t="s">
        <v>1764</v>
      </c>
      <c r="G53" s="21" t="str">
        <f t="shared" si="23"/>
        <v>cheat gfi PrimalItemConsumable_Kibble_Shadow_C 1 100 0</v>
      </c>
      <c r="H53" s="20" t="s">
        <v>1765</v>
      </c>
      <c r="I53" s="70" t="str">
        <f t="shared" si="24"/>
        <v>EngramEntry_Kibble_Shadow_C</v>
      </c>
      <c r="J53" s="21" t="str">
        <f t="shared" si="25"/>
        <v>OverrideNamedEngramEntries=(EngramEntry_Kibble_Shadow_C,EngramHidden=true)</v>
      </c>
      <c r="K53" s="2"/>
    </row>
    <row r="54">
      <c r="A54" s="6"/>
      <c r="B54" s="6"/>
      <c r="C54" s="4"/>
      <c r="D54" s="4"/>
      <c r="E54" s="22" t="s">
        <v>1766</v>
      </c>
      <c r="F54" s="22" t="s">
        <v>1767</v>
      </c>
      <c r="G54" s="23" t="str">
        <f t="shared" si="23"/>
        <v>cheat gfi PrimalItemConsumable_Kibble_Spirit_C 1 100 0</v>
      </c>
      <c r="H54" s="22" t="s">
        <v>1768</v>
      </c>
      <c r="I54" s="71" t="str">
        <f t="shared" si="24"/>
        <v>EngramEntry_Kibble_Spirit_C</v>
      </c>
      <c r="J54" s="23" t="str">
        <f t="shared" si="25"/>
        <v>OverrideNamedEngramEntries=(EngramEntry_Kibble_Spirit_C,EngramHidden=true)</v>
      </c>
      <c r="K54" s="2"/>
    </row>
    <row r="55">
      <c r="A55" s="6"/>
      <c r="B55" s="13"/>
      <c r="C55" s="4">
        <f>IF(D55="PrimalItemConsumable_Blood",1)+IF(D55="PrimalItemConsumable_Narcotic",2)+IF(D55="PrimalItemConsumable_Seed",3)+IF(D55="PrimalItemConsumable_Fruit",4)+IF(D55="PrimalItemConsumable_Egg_Unfertilized",5)+IF(D55="PrimalItemConsumable_Kibble",6)+IF(D55="PrimalItemConsumable_Potion",7)+IF(D55="PrimalItemConsumable_XP",8)+IF(D55="PrimalItemConsumable_Food",9)+IF(D55="PrimalItemResource",10)+IF(D55="PrimalItemResource_Hide",11)+IF(D55="PrimalItemResource_MetalIngot",12)+IF(D55="PrimalItemConsumable_Summon",13)+IF(D55="PrimalItemStructure",14)+IF(D55="PrimalItem_Weapon",15)+IF(D55="PrimalItemAmmo",16)+IF(D55="PrimalItemArmor",17)+IF(D55="PrimalItemSaddle",18)+IF(D55="PrimalItemConsumable_UnderwaterEgg",19)+IF(D55="PrimalItemConsumable_Egg",20)</f>
        <v>6</v>
      </c>
      <c r="D55" s="4" t="str">
        <f>Left(F55,find("Kibble",F55)+5)</f>
        <v>PrimalItemConsumable_Kibble</v>
      </c>
      <c r="E55" s="20" t="s">
        <v>1769</v>
      </c>
      <c r="F55" s="20" t="s">
        <v>1770</v>
      </c>
      <c r="G55" s="21" t="str">
        <f t="shared" si="23"/>
        <v>cheat gfi PrimalItemConsumable_Kibble_Toxic_C 1 100 0</v>
      </c>
      <c r="H55" s="20" t="s">
        <v>1771</v>
      </c>
      <c r="I55" s="70" t="str">
        <f t="shared" si="24"/>
        <v>EngramEntry_Kibble_Toxic_C</v>
      </c>
      <c r="J55" s="21" t="str">
        <f t="shared" si="25"/>
        <v>OverrideNamedEngramEntries=(EngramEntry_Kibble_Toxic_C,EngramHidden=true)</v>
      </c>
      <c r="K55" s="2"/>
    </row>
    <row r="56">
      <c r="A56" s="6"/>
      <c r="B56" s="14"/>
      <c r="C56" s="15"/>
      <c r="D56" s="15"/>
      <c r="E56" s="15"/>
      <c r="F56" s="15"/>
      <c r="G56" s="15"/>
      <c r="H56" s="15"/>
      <c r="I56" s="15"/>
      <c r="J56" s="15"/>
      <c r="K56" s="2"/>
    </row>
    <row r="57">
      <c r="A57" s="6"/>
      <c r="B57" s="28" t="s">
        <v>1772</v>
      </c>
      <c r="C57" s="4"/>
      <c r="D57" s="72"/>
      <c r="E57" s="20" t="s">
        <v>1773</v>
      </c>
      <c r="F57" s="21" t="s">
        <v>1774</v>
      </c>
      <c r="G57" s="21" t="str">
        <f t="shared" ref="G57:G69" si="28">"cheat gfi "&amp;F57&amp;" 1 100 0"</f>
        <v>cheat gfi PrimalItemConsumable_OriginArtifact_C 1 100 0</v>
      </c>
      <c r="H57" s="20" t="s">
        <v>1775</v>
      </c>
      <c r="I57" s="70" t="str">
        <f t="shared" ref="I57:I69" si="29">CONCATENATE("EngramEntry",RIGHT(F57,LEN(F57) - (FIND("_",F57) - 1)))</f>
        <v>EngramEntry_OriginArtifact_C</v>
      </c>
      <c r="J57" s="21" t="str">
        <f t="shared" ref="J57:J69" si="30">"OverrideNamedEngramEntries=("&amp;I57&amp;",EngramHidden=true)"</f>
        <v>OverrideNamedEngramEntries=(EngramEntry_OriginArtifact_C,EngramHidden=true)</v>
      </c>
      <c r="K57" s="2"/>
    </row>
    <row r="58">
      <c r="A58" s="6"/>
      <c r="B58" s="6"/>
      <c r="C58" s="4">
        <f t="shared" ref="C58:C69" si="31">IF(D58="PrimalItemConsumable_Blood",1)+IF(D58="PrimalItemConsumable_Narcotic",2)+IF(D58="PrimalItemConsumable_Seed",3)+IF(D58="PrimalItemConsumable_Fruit",4)+IF(D58="PrimalItemConsumable_Egg_Unfertilized",5)+IF(D58="PrimalItemConsumable_Kibble",6)+IF(D58="PrimalItemConsumable_Potion",7)+IF(D58="PrimalItemConsumable_XP",8)+IF(D58="PrimalItemConsumable_Food",9)+IF(D58="PrimalItemResource",10)+IF(D58="PrimalItemResource_Hide",11)+IF(D58="PrimalItemResource_MetalIngot",12)+IF(D58="PrimalItemConsumable_Summon",13)+IF(D58="PrimalItemStructure",14)+IF(D58="PrimalItem_Weapon",15)+IF(D58="PrimalItemAmmo",16)+IF(D58="PrimalItemArmor",17)+IF(D58="PrimalItemSaddle",18)+IF(D58="PrimalItemConsumable_UnderwaterEgg",19)+IF(D58="PrimalItemConsumable_Egg",20)</f>
        <v>7</v>
      </c>
      <c r="D58" s="72" t="s">
        <v>1776</v>
      </c>
      <c r="E58" s="23" t="s">
        <v>1777</v>
      </c>
      <c r="F58" s="23" t="s">
        <v>1778</v>
      </c>
      <c r="G58" s="23" t="str">
        <f t="shared" si="28"/>
        <v>cheat gfi PrimalItemConsumable_AlphaHealthPotion_C 1 100 0</v>
      </c>
      <c r="H58" s="23" t="s">
        <v>1779</v>
      </c>
      <c r="I58" s="71" t="str">
        <f t="shared" si="29"/>
        <v>EngramEntry_AlphaHealthPotion_C</v>
      </c>
      <c r="J58" s="23" t="str">
        <f t="shared" si="30"/>
        <v>OverrideNamedEngramEntries=(EngramEntry_AlphaHealthPotion_C,EngramHidden=true)</v>
      </c>
      <c r="K58" s="2"/>
    </row>
    <row r="59">
      <c r="A59" s="6"/>
      <c r="B59" s="6"/>
      <c r="C59" s="4">
        <f t="shared" si="31"/>
        <v>7</v>
      </c>
      <c r="D59" s="72" t="s">
        <v>1776</v>
      </c>
      <c r="E59" s="20" t="s">
        <v>1780</v>
      </c>
      <c r="F59" s="20" t="s">
        <v>1781</v>
      </c>
      <c r="G59" s="21" t="str">
        <f t="shared" si="28"/>
        <v>cheat gfi PrimalItemConsumable_ToxicHealthPotion_C 1 100 0</v>
      </c>
      <c r="H59" s="20" t="s">
        <v>1782</v>
      </c>
      <c r="I59" s="70" t="str">
        <f t="shared" si="29"/>
        <v>EngramEntry_ToxicHealthPotion_C</v>
      </c>
      <c r="J59" s="21" t="str">
        <f t="shared" si="30"/>
        <v>OverrideNamedEngramEntries=(EngramEntry_ToxicHealthPotion_C,EngramHidden=true)</v>
      </c>
      <c r="K59" s="2"/>
    </row>
    <row r="60">
      <c r="A60" s="6"/>
      <c r="B60" s="6"/>
      <c r="C60" s="4">
        <f t="shared" si="31"/>
        <v>7</v>
      </c>
      <c r="D60" s="72" t="s">
        <v>1776</v>
      </c>
      <c r="E60" s="23" t="s">
        <v>1783</v>
      </c>
      <c r="F60" s="23" t="s">
        <v>1784</v>
      </c>
      <c r="G60" s="23" t="str">
        <f t="shared" si="28"/>
        <v>cheat gfi PrimalItemConsumable_MythicHealthPotion_C 1 100 0</v>
      </c>
      <c r="H60" s="23" t="s">
        <v>1785</v>
      </c>
      <c r="I60" s="71" t="str">
        <f t="shared" si="29"/>
        <v>EngramEntry_MythicHealthPotion_C</v>
      </c>
      <c r="J60" s="23" t="str">
        <f t="shared" si="30"/>
        <v>OverrideNamedEngramEntries=(EngramEntry_MythicHealthPotion_C,EngramHidden=true)</v>
      </c>
      <c r="K60" s="2"/>
    </row>
    <row r="61">
      <c r="A61" s="6"/>
      <c r="B61" s="6"/>
      <c r="C61" s="4">
        <f t="shared" si="31"/>
        <v>7</v>
      </c>
      <c r="D61" s="72" t="s">
        <v>1776</v>
      </c>
      <c r="E61" s="21" t="s">
        <v>1786</v>
      </c>
      <c r="F61" s="21" t="s">
        <v>1787</v>
      </c>
      <c r="G61" s="21" t="str">
        <f t="shared" si="28"/>
        <v>cheat gfi PrimalItemConsumable_NightmareHealthPotion_C 1 100 0</v>
      </c>
      <c r="H61" s="21" t="s">
        <v>1788</v>
      </c>
      <c r="I61" s="70" t="str">
        <f t="shared" si="29"/>
        <v>EngramEntry_NightmareHealthPotion_C</v>
      </c>
      <c r="J61" s="21" t="str">
        <f t="shared" si="30"/>
        <v>OverrideNamedEngramEntries=(EngramEntry_NightmareHealthPotion_C,EngramHidden=true)</v>
      </c>
      <c r="K61" s="2"/>
    </row>
    <row r="62">
      <c r="A62" s="6"/>
      <c r="B62" s="6"/>
      <c r="C62" s="4">
        <f t="shared" si="31"/>
        <v>8</v>
      </c>
      <c r="D62" s="72" t="s">
        <v>1789</v>
      </c>
      <c r="E62" s="23" t="s">
        <v>1790</v>
      </c>
      <c r="F62" s="23" t="s">
        <v>1791</v>
      </c>
      <c r="G62" s="23" t="str">
        <f t="shared" si="28"/>
        <v>cheat gfi PrimalItemConsumable_MaxXP_C 1 100 0</v>
      </c>
      <c r="H62" s="23" t="s">
        <v>1792</v>
      </c>
      <c r="I62" s="71" t="str">
        <f t="shared" si="29"/>
        <v>EngramEntry_MaxXP_C</v>
      </c>
      <c r="J62" s="23" t="str">
        <f t="shared" si="30"/>
        <v>OverrideNamedEngramEntries=(EngramEntry_MaxXP_C,EngramHidden=true)</v>
      </c>
      <c r="K62" s="2"/>
    </row>
    <row r="63">
      <c r="A63" s="6"/>
      <c r="B63" s="6"/>
      <c r="C63" s="4">
        <f t="shared" si="31"/>
        <v>8</v>
      </c>
      <c r="D63" s="4" t="str">
        <f t="shared" ref="D63:D65" si="32">Left(F63,find("XP",F63)+1)</f>
        <v>PrimalItemConsumable_XP</v>
      </c>
      <c r="E63" s="21" t="s">
        <v>1793</v>
      </c>
      <c r="F63" s="21" t="s">
        <v>1794</v>
      </c>
      <c r="G63" s="21" t="str">
        <f t="shared" si="28"/>
        <v>cheat gfi PrimalItemConsumable_XPLarge_C 1 100 0</v>
      </c>
      <c r="H63" s="21" t="s">
        <v>1795</v>
      </c>
      <c r="I63" s="70" t="str">
        <f t="shared" si="29"/>
        <v>EngramEntry_XPLarge_C</v>
      </c>
      <c r="J63" s="21" t="str">
        <f t="shared" si="30"/>
        <v>OverrideNamedEngramEntries=(EngramEntry_XPLarge_C,EngramHidden=true)</v>
      </c>
      <c r="K63" s="2"/>
    </row>
    <row r="64">
      <c r="A64" s="6"/>
      <c r="B64" s="6"/>
      <c r="C64" s="4">
        <f t="shared" si="31"/>
        <v>8</v>
      </c>
      <c r="D64" s="4" t="str">
        <f t="shared" si="32"/>
        <v>PrimalItemConsumable_XP</v>
      </c>
      <c r="E64" s="23" t="s">
        <v>1796</v>
      </c>
      <c r="F64" s="23" t="s">
        <v>1797</v>
      </c>
      <c r="G64" s="23" t="str">
        <f t="shared" si="28"/>
        <v>cheat gfi PrimalItemConsumable_XPMedium_C 1 100 0</v>
      </c>
      <c r="H64" s="23" t="s">
        <v>1798</v>
      </c>
      <c r="I64" s="71" t="str">
        <f t="shared" si="29"/>
        <v>EngramEntry_XPMedium_C</v>
      </c>
      <c r="J64" s="23" t="str">
        <f t="shared" si="30"/>
        <v>OverrideNamedEngramEntries=(EngramEntry_XPMedium_C,EngramHidden=true)</v>
      </c>
      <c r="K64" s="2"/>
    </row>
    <row r="65">
      <c r="A65" s="6"/>
      <c r="B65" s="6"/>
      <c r="C65" s="4">
        <f t="shared" si="31"/>
        <v>8</v>
      </c>
      <c r="D65" s="4" t="str">
        <f t="shared" si="32"/>
        <v>PrimalItemConsumable_XP</v>
      </c>
      <c r="E65" s="21" t="s">
        <v>1799</v>
      </c>
      <c r="F65" s="21" t="s">
        <v>1800</v>
      </c>
      <c r="G65" s="21" t="str">
        <f t="shared" si="28"/>
        <v>cheat gfi PrimalItemConsumable_XPSmall_C 1 100 0</v>
      </c>
      <c r="H65" s="21" t="s">
        <v>1801</v>
      </c>
      <c r="I65" s="70" t="str">
        <f t="shared" si="29"/>
        <v>EngramEntry_XPSmall_C</v>
      </c>
      <c r="J65" s="21" t="str">
        <f t="shared" si="30"/>
        <v>OverrideNamedEngramEntries=(EngramEntry_XPSmall_C,EngramHidden=true)</v>
      </c>
      <c r="K65" s="2"/>
    </row>
    <row r="66">
      <c r="A66" s="6"/>
      <c r="B66" s="6"/>
      <c r="C66" s="4">
        <f t="shared" si="31"/>
        <v>9</v>
      </c>
      <c r="D66" s="4" t="str">
        <f t="shared" ref="D66:D68" si="33">Left(F66,find("Food",F66)+3)</f>
        <v>PrimalItemConsumable_Food</v>
      </c>
      <c r="E66" s="23" t="s">
        <v>1802</v>
      </c>
      <c r="F66" s="23" t="s">
        <v>1803</v>
      </c>
      <c r="G66" s="23" t="str">
        <f t="shared" si="28"/>
        <v>cheat gfi PrimalItemConsumable_Food_X100_C 1 100 0</v>
      </c>
      <c r="H66" s="23" t="s">
        <v>1804</v>
      </c>
      <c r="I66" s="71" t="str">
        <f t="shared" si="29"/>
        <v>EngramEntry_Food_X100_C</v>
      </c>
      <c r="J66" s="23" t="str">
        <f t="shared" si="30"/>
        <v>OverrideNamedEngramEntries=(EngramEntry_Food_X100_C,EngramHidden=true)</v>
      </c>
      <c r="K66" s="2"/>
    </row>
    <row r="67">
      <c r="A67" s="6"/>
      <c r="B67" s="6"/>
      <c r="C67" s="4">
        <f t="shared" si="31"/>
        <v>9</v>
      </c>
      <c r="D67" s="4" t="str">
        <f t="shared" si="33"/>
        <v>PrimalItemConsumable_Food</v>
      </c>
      <c r="E67" s="21" t="s">
        <v>1805</v>
      </c>
      <c r="F67" s="21" t="s">
        <v>1806</v>
      </c>
      <c r="G67" s="21" t="str">
        <f t="shared" si="28"/>
        <v>cheat gfi PrimalItemConsumable_Food_X250_C 1 100 0</v>
      </c>
      <c r="H67" s="21" t="s">
        <v>1807</v>
      </c>
      <c r="I67" s="70" t="str">
        <f t="shared" si="29"/>
        <v>EngramEntry_Food_X250_C</v>
      </c>
      <c r="J67" s="21" t="str">
        <f t="shared" si="30"/>
        <v>OverrideNamedEngramEntries=(EngramEntry_Food_X250_C,EngramHidden=true)</v>
      </c>
      <c r="K67" s="2"/>
    </row>
    <row r="68">
      <c r="A68" s="6"/>
      <c r="B68" s="6"/>
      <c r="C68" s="4">
        <f t="shared" si="31"/>
        <v>9</v>
      </c>
      <c r="D68" s="4" t="str">
        <f t="shared" si="33"/>
        <v>PrimalItemConsumable_Food</v>
      </c>
      <c r="E68" s="23" t="s">
        <v>1808</v>
      </c>
      <c r="F68" s="23" t="s">
        <v>1809</v>
      </c>
      <c r="G68" s="23" t="str">
        <f t="shared" si="28"/>
        <v>cheat gfi PrimalItemConsumable_Food_X50_C 1 100 0</v>
      </c>
      <c r="H68" s="23" t="s">
        <v>1810</v>
      </c>
      <c r="I68" s="71" t="str">
        <f t="shared" si="29"/>
        <v>EngramEntry_Food_X50_C</v>
      </c>
      <c r="J68" s="23" t="str">
        <f t="shared" si="30"/>
        <v>OverrideNamedEngramEntries=(EngramEntry_Food_X50_C,EngramHidden=true)</v>
      </c>
      <c r="K68" s="2"/>
    </row>
    <row r="69">
      <c r="A69" s="6"/>
      <c r="B69" s="13"/>
      <c r="C69" s="4">
        <f t="shared" si="31"/>
        <v>9</v>
      </c>
      <c r="D69" s="4" t="s">
        <v>1811</v>
      </c>
      <c r="E69" s="21" t="s">
        <v>1812</v>
      </c>
      <c r="F69" s="21" t="s">
        <v>1813</v>
      </c>
      <c r="G69" s="21" t="str">
        <f t="shared" si="28"/>
        <v>cheat gfi PrimalItemConsumable_StaminaPaste_C 1 100 0</v>
      </c>
      <c r="H69" s="21" t="s">
        <v>1814</v>
      </c>
      <c r="I69" s="70" t="str">
        <f t="shared" si="29"/>
        <v>EngramEntry_StaminaPaste_C</v>
      </c>
      <c r="J69" s="21" t="str">
        <f t="shared" si="30"/>
        <v>OverrideNamedEngramEntries=(EngramEntry_StaminaPaste_C,EngramHidden=true)</v>
      </c>
      <c r="K69" s="2"/>
    </row>
    <row r="70">
      <c r="A70" s="6"/>
      <c r="B70" s="14"/>
      <c r="C70" s="15"/>
      <c r="D70" s="15"/>
      <c r="E70" s="15"/>
      <c r="F70" s="15"/>
      <c r="G70" s="15"/>
      <c r="H70" s="15"/>
      <c r="I70" s="15"/>
      <c r="J70" s="15"/>
      <c r="K70" s="2"/>
    </row>
    <row r="71">
      <c r="A71" s="6"/>
      <c r="B71" s="76" t="s">
        <v>1815</v>
      </c>
      <c r="C71" s="4">
        <f t="shared" ref="C71:C75" si="34">IF(D71="PrimalItemConsumable_Blood",1)+IF(D71="PrimalItemConsumable_Narcotic",2)+IF(D71="PrimalItemConsumable_Seed",3)+IF(D71="PrimalItemConsumable_Fruit",4)+IF(D71="PrimalItemConsumable_Egg_Unfertilized",5)+IF(D71="PrimalItemConsumable_Kibble",6)+IF(D71="PrimalItemConsumable_Potion",7)+IF(D71="PrimalItemConsumable_XP",8)+IF(D71="PrimalItemConsumable_Food",9)+IF(D71="PrimalItemResource",10)+IF(D71="PrimalItemResource_Hide",11)+IF(D71="PrimalItemResource_MetalIngot",12)+IF(D71="PrimalItemConsumable_Summon",13)+IF(D71="PrimalItemStructure",14)+IF(D71="PrimalItem_Weapon",15)+IF(D71="PrimalItemAmmo",16)+IF(D71="PrimalItemArmor",17)+IF(D71="PrimalItemSaddle",18)+IF(D71="PrimalItemConsumable_UnderwaterEgg",19)+IF(D71="PrimalItemConsumable_Egg",20)</f>
        <v>10</v>
      </c>
      <c r="D71" s="4" t="str">
        <f t="shared" ref="D71:D73" si="35">Left(F71,find("Resource",F71)+7)</f>
        <v>PrimalItemResource</v>
      </c>
      <c r="E71" s="21" t="s">
        <v>1816</v>
      </c>
      <c r="F71" s="21" t="s">
        <v>1817</v>
      </c>
      <c r="G71" s="21" t="str">
        <f t="shared" ref="G71:G91" si="36">"cheat gfi "&amp;F71&amp;" 1 100 0"</f>
        <v>cheat gfi PrimalItemResource_Electronics_Demonic_C 1 100 0</v>
      </c>
      <c r="H71" s="21" t="s">
        <v>1818</v>
      </c>
      <c r="I71" s="70" t="str">
        <f t="shared" ref="I71:I91" si="37">CONCATENATE("EngramEntry",RIGHT(F71,LEN(F71) - (FIND("_",F71) - 1)))</f>
        <v>EngramEntry_Electronics_Demonic_C</v>
      </c>
      <c r="J71" s="21" t="str">
        <f t="shared" ref="J71:J74" si="38">"OverrideNamedEngramEntries=("&amp;I71&amp;",EngramHidden=true)"</f>
        <v>OverrideNamedEngramEntries=(EngramEntry_Electronics_Demonic_C,EngramHidden=true)</v>
      </c>
      <c r="K71" s="2"/>
    </row>
    <row r="72">
      <c r="A72" s="6"/>
      <c r="B72" s="6"/>
      <c r="C72" s="4">
        <f t="shared" si="34"/>
        <v>10</v>
      </c>
      <c r="D72" s="4" t="str">
        <f t="shared" si="35"/>
        <v>PrimalItemResource</v>
      </c>
      <c r="E72" s="23" t="s">
        <v>1819</v>
      </c>
      <c r="F72" s="23" t="s">
        <v>1820</v>
      </c>
      <c r="G72" s="23" t="str">
        <f t="shared" si="36"/>
        <v>cheat gfi PrimalItemResource_Polymer_Demonic_C 1 100 0</v>
      </c>
      <c r="H72" s="23" t="s">
        <v>1821</v>
      </c>
      <c r="I72" s="71" t="str">
        <f t="shared" si="37"/>
        <v>EngramEntry_Polymer_Demonic_C</v>
      </c>
      <c r="J72" s="23" t="str">
        <f t="shared" si="38"/>
        <v>OverrideNamedEngramEntries=(EngramEntry_Polymer_Demonic_C,EngramHidden=true)</v>
      </c>
      <c r="K72" s="2"/>
    </row>
    <row r="73">
      <c r="A73" s="6"/>
      <c r="B73" s="6"/>
      <c r="C73" s="4">
        <f t="shared" si="34"/>
        <v>10</v>
      </c>
      <c r="D73" s="4" t="str">
        <f t="shared" si="35"/>
        <v>PrimalItemResource</v>
      </c>
      <c r="E73" s="43" t="s">
        <v>1822</v>
      </c>
      <c r="F73" s="20" t="s">
        <v>1823</v>
      </c>
      <c r="G73" s="21" t="str">
        <f t="shared" si="36"/>
        <v>cheat gfi PrimalItemResource_Bones_Primals_C 1 100 0</v>
      </c>
      <c r="H73" s="20" t="s">
        <v>1824</v>
      </c>
      <c r="I73" s="70" t="str">
        <f t="shared" si="37"/>
        <v>EngramEntry_Bones_Primals_C</v>
      </c>
      <c r="J73" s="21" t="str">
        <f t="shared" si="38"/>
        <v>OverrideNamedEngramEntries=(EngramEntry_Bones_Primals_C,EngramHidden=true)</v>
      </c>
      <c r="K73" s="2"/>
    </row>
    <row r="74">
      <c r="A74" s="6"/>
      <c r="B74" s="6"/>
      <c r="C74" s="4">
        <f t="shared" si="34"/>
        <v>11</v>
      </c>
      <c r="D74" s="4" t="str">
        <f t="shared" ref="D74:D75" si="39">Left(F74,find("Resource",F74)+12)</f>
        <v>PrimalItemResource_Hide</v>
      </c>
      <c r="E74" s="23" t="s">
        <v>1825</v>
      </c>
      <c r="F74" s="23" t="s">
        <v>1826</v>
      </c>
      <c r="G74" s="23" t="str">
        <f t="shared" si="36"/>
        <v>cheat gfi PrimalItemResource_Hide_Alpha_C 1 100 0</v>
      </c>
      <c r="H74" s="23" t="s">
        <v>1827</v>
      </c>
      <c r="I74" s="71" t="str">
        <f t="shared" si="37"/>
        <v>EngramEntry_Hide_Alpha_C</v>
      </c>
      <c r="J74" s="23" t="str">
        <f t="shared" si="38"/>
        <v>OverrideNamedEngramEntries=(EngramEntry_Hide_Alpha_C,EngramHidden=true)</v>
      </c>
      <c r="K74" s="2"/>
    </row>
    <row r="75">
      <c r="A75" s="6"/>
      <c r="B75" s="6"/>
      <c r="C75" s="4">
        <f t="shared" si="34"/>
        <v>11</v>
      </c>
      <c r="D75" s="4" t="str">
        <f t="shared" si="39"/>
        <v>PrimalItemResource_Hide</v>
      </c>
      <c r="E75" s="20" t="s">
        <v>1828</v>
      </c>
      <c r="F75" s="20" t="s">
        <v>1829</v>
      </c>
      <c r="G75" s="21" t="str">
        <f t="shared" si="36"/>
        <v>cheat gfi PrimalItemResource_Hide_Toxic_C 1 100 0</v>
      </c>
      <c r="H75" s="21" t="s">
        <v>1830</v>
      </c>
      <c r="I75" s="70" t="str">
        <f t="shared" si="37"/>
        <v>EngramEntry_Hide_Toxic_C</v>
      </c>
      <c r="J75" s="70" t="str">
        <f t="shared" ref="J75:J76" si="40">CONCATENATE("EngramEntry",RIGHT(G75,LEN(G75) - (FIND("_",G75) - 1)))</f>
        <v>EngramEntry_Hide_Toxic_C 1 100 0</v>
      </c>
      <c r="K75" s="2"/>
    </row>
    <row r="76">
      <c r="A76" s="6"/>
      <c r="B76" s="6"/>
      <c r="C76" s="4"/>
      <c r="D76" s="4"/>
      <c r="E76" s="22" t="s">
        <v>1831</v>
      </c>
      <c r="F76" s="22" t="s">
        <v>1832</v>
      </c>
      <c r="G76" s="23" t="str">
        <f t="shared" si="36"/>
        <v>cheat gfi PrimalItemResource_Hide_Angelic_C 1 100 0</v>
      </c>
      <c r="H76" s="23" t="s">
        <v>1830</v>
      </c>
      <c r="I76" s="71" t="str">
        <f t="shared" si="37"/>
        <v>EngramEntry_Hide_Angelic_C</v>
      </c>
      <c r="J76" s="71" t="str">
        <f t="shared" si="40"/>
        <v>EngramEntry_Hide_Angelic_C 1 100 0</v>
      </c>
      <c r="K76" s="2"/>
    </row>
    <row r="77">
      <c r="A77" s="6"/>
      <c r="B77" s="6"/>
      <c r="C77" s="4">
        <f t="shared" ref="C77:C78" si="41">IF(D77="PrimalItemConsumable_Blood",1)+IF(D77="PrimalItemConsumable_Narcotic",2)+IF(D77="PrimalItemConsumable_Seed",3)+IF(D77="PrimalItemConsumable_Fruit",4)+IF(D77="PrimalItemConsumable_Egg_Unfertilized",5)+IF(D77="PrimalItemConsumable_Kibble",6)+IF(D77="PrimalItemConsumable_Potion",7)+IF(D77="PrimalItemConsumable_XP",8)+IF(D77="PrimalItemConsumable_Food",9)+IF(D77="PrimalItemResource",10)+IF(D77="PrimalItemResource_Hide",11)+IF(D77="PrimalItemResource_MetalIngot",12)+IF(D77="PrimalItemConsumable_Summon",13)+IF(D77="PrimalItemStructure",14)+IF(D77="PrimalItem_Weapon",15)+IF(D77="PrimalItemAmmo",16)+IF(D77="PrimalItemArmor",17)+IF(D77="PrimalItemSaddle",18)+IF(D77="PrimalItemConsumable_UnderwaterEgg",19)+IF(D77="PrimalItemConsumable_Egg",20)</f>
        <v>11</v>
      </c>
      <c r="D77" s="4" t="str">
        <f t="shared" ref="D77:D78" si="42">Left(F77,find("Resource",F77)+12)</f>
        <v>PrimalItemResource_Hide</v>
      </c>
      <c r="E77" s="21" t="s">
        <v>1833</v>
      </c>
      <c r="F77" s="21" t="s">
        <v>1834</v>
      </c>
      <c r="G77" s="21" t="str">
        <f t="shared" si="36"/>
        <v>cheat gfi PrimalItemResource_Hide_Demonic_C 1 100 0</v>
      </c>
      <c r="H77" s="21" t="s">
        <v>1835</v>
      </c>
      <c r="I77" s="70" t="str">
        <f t="shared" si="37"/>
        <v>EngramEntry_Hide_Demonic_C</v>
      </c>
      <c r="J77" s="21" t="str">
        <f t="shared" ref="J77:J91" si="43">"OverrideNamedEngramEntries=("&amp;I77&amp;",EngramHidden=true)"</f>
        <v>OverrideNamedEngramEntries=(EngramEntry_Hide_Demonic_C,EngramHidden=true)</v>
      </c>
      <c r="K77" s="2"/>
    </row>
    <row r="78">
      <c r="A78" s="6"/>
      <c r="B78" s="6"/>
      <c r="C78" s="4">
        <f t="shared" si="41"/>
        <v>11</v>
      </c>
      <c r="D78" s="4" t="str">
        <f t="shared" si="42"/>
        <v>PrimalItemResource_Hide</v>
      </c>
      <c r="E78" s="23" t="s">
        <v>1836</v>
      </c>
      <c r="F78" s="23" t="s">
        <v>1837</v>
      </c>
      <c r="G78" s="23" t="str">
        <f t="shared" si="36"/>
        <v>cheat gfi PrimalItemResource_Hide_Electric_C 1 100 0</v>
      </c>
      <c r="H78" s="23" t="s">
        <v>1838</v>
      </c>
      <c r="I78" s="71" t="str">
        <f t="shared" si="37"/>
        <v>EngramEntry_Hide_Electric_C</v>
      </c>
      <c r="J78" s="23" t="str">
        <f t="shared" si="43"/>
        <v>OverrideNamedEngramEntries=(EngramEntry_Hide_Electric_C,EngramHidden=true)</v>
      </c>
      <c r="K78" s="2"/>
    </row>
    <row r="79">
      <c r="A79" s="6"/>
      <c r="B79" s="6"/>
      <c r="C79" s="4"/>
      <c r="D79" s="4"/>
      <c r="E79" s="20" t="s">
        <v>1839</v>
      </c>
      <c r="F79" s="20" t="s">
        <v>1840</v>
      </c>
      <c r="G79" s="21" t="str">
        <f t="shared" si="36"/>
        <v>cheat gfi PrimalItemResource_Hide_Fabled_C 1 100 0</v>
      </c>
      <c r="H79" s="20" t="s">
        <v>1841</v>
      </c>
      <c r="I79" s="70" t="str">
        <f t="shared" si="37"/>
        <v>EngramEntry_Hide_Fabled_C</v>
      </c>
      <c r="J79" s="21" t="str">
        <f t="shared" si="43"/>
        <v>OverrideNamedEngramEntries=(EngramEntry_Hide_Fabled_C,EngramHidden=true)</v>
      </c>
      <c r="K79" s="2"/>
    </row>
    <row r="80">
      <c r="A80" s="6"/>
      <c r="B80" s="6"/>
      <c r="C80" s="4"/>
      <c r="D80" s="4"/>
      <c r="E80" s="22" t="s">
        <v>1842</v>
      </c>
      <c r="F80" s="22" t="s">
        <v>1843</v>
      </c>
      <c r="G80" s="23" t="str">
        <f t="shared" si="36"/>
        <v>cheat gfi PrimalItemResource_Hide_Fairy_C 1 100 0</v>
      </c>
      <c r="H80" s="22" t="s">
        <v>1844</v>
      </c>
      <c r="I80" s="71" t="str">
        <f t="shared" si="37"/>
        <v>EngramEntry_Hide_Fairy_C</v>
      </c>
      <c r="J80" s="23" t="str">
        <f t="shared" si="43"/>
        <v>OverrideNamedEngramEntries=(EngramEntry_Hide_Fairy_C,EngramHidden=true)</v>
      </c>
      <c r="K80" s="2"/>
    </row>
    <row r="81">
      <c r="A81" s="6"/>
      <c r="B81" s="6"/>
      <c r="C81" s="4">
        <f t="shared" ref="C81:C83" si="44">IF(D81="PrimalItemConsumable_Blood",1)+IF(D81="PrimalItemConsumable_Narcotic",2)+IF(D81="PrimalItemConsumable_Seed",3)+IF(D81="PrimalItemConsumable_Fruit",4)+IF(D81="PrimalItemConsumable_Egg_Unfertilized",5)+IF(D81="PrimalItemConsumable_Kibble",6)+IF(D81="PrimalItemConsumable_Potion",7)+IF(D81="PrimalItemConsumable_XP",8)+IF(D81="PrimalItemConsumable_Food",9)+IF(D81="PrimalItemResource",10)+IF(D81="PrimalItemResource_Hide",11)+IF(D81="PrimalItemResource_MetalIngot",12)+IF(D81="PrimalItemConsumable_Summon",13)+IF(D81="PrimalItemStructure",14)+IF(D81="PrimalItem_Weapon",15)+IF(D81="PrimalItemAmmo",16)+IF(D81="PrimalItemArmor",17)+IF(D81="PrimalItemSaddle",18)+IF(D81="PrimalItemConsumable_UnderwaterEgg",19)+IF(D81="PrimalItemConsumable_Egg",20)</f>
        <v>11</v>
      </c>
      <c r="D81" s="4" t="str">
        <f t="shared" ref="D81:D83" si="45">Left(F81,find("Resource",F81)+12)</f>
        <v>PrimalItemResource_Hide</v>
      </c>
      <c r="E81" s="21" t="s">
        <v>1845</v>
      </c>
      <c r="F81" s="21" t="s">
        <v>1846</v>
      </c>
      <c r="G81" s="21" t="str">
        <f t="shared" si="36"/>
        <v>cheat gfi PrimalItemResource_Hide_Hydro_C 1 100 0</v>
      </c>
      <c r="H81" s="21" t="s">
        <v>1847</v>
      </c>
      <c r="I81" s="70" t="str">
        <f t="shared" si="37"/>
        <v>EngramEntry_Hide_Hydro_C</v>
      </c>
      <c r="J81" s="21" t="str">
        <f t="shared" si="43"/>
        <v>OverrideNamedEngramEntries=(EngramEntry_Hide_Hydro_C,EngramHidden=true)</v>
      </c>
      <c r="K81" s="2"/>
    </row>
    <row r="82">
      <c r="A82" s="6"/>
      <c r="B82" s="6"/>
      <c r="C82" s="4">
        <f t="shared" si="44"/>
        <v>11</v>
      </c>
      <c r="D82" s="4" t="str">
        <f t="shared" si="45"/>
        <v>PrimalItemResource_Hide</v>
      </c>
      <c r="E82" s="23" t="s">
        <v>1848</v>
      </c>
      <c r="F82" s="23" t="s">
        <v>1849</v>
      </c>
      <c r="G82" s="23" t="str">
        <f t="shared" si="36"/>
        <v>cheat gfi PrimalItemResource_Hide_Legendary_C 1 100 0</v>
      </c>
      <c r="H82" s="23" t="s">
        <v>1850</v>
      </c>
      <c r="I82" s="71" t="str">
        <f t="shared" si="37"/>
        <v>EngramEntry_Hide_Legendary_C</v>
      </c>
      <c r="J82" s="23" t="str">
        <f t="shared" si="43"/>
        <v>OverrideNamedEngramEntries=(EngramEntry_Hide_Legendary_C,EngramHidden=true)</v>
      </c>
      <c r="K82" s="2"/>
    </row>
    <row r="83">
      <c r="A83" s="6"/>
      <c r="B83" s="6"/>
      <c r="C83" s="4">
        <f t="shared" si="44"/>
        <v>11</v>
      </c>
      <c r="D83" s="4" t="str">
        <f t="shared" si="45"/>
        <v>PrimalItemResource_Hide</v>
      </c>
      <c r="E83" s="21" t="s">
        <v>1851</v>
      </c>
      <c r="F83" s="21" t="s">
        <v>1852</v>
      </c>
      <c r="G83" s="21" t="str">
        <f t="shared" si="36"/>
        <v>cheat gfi PrimalItemResource_Hide_Mythic_C 1 100 0</v>
      </c>
      <c r="H83" s="21" t="s">
        <v>1853</v>
      </c>
      <c r="I83" s="70" t="str">
        <f t="shared" si="37"/>
        <v>EngramEntry_Hide_Mythic_C</v>
      </c>
      <c r="J83" s="21" t="str">
        <f t="shared" si="43"/>
        <v>OverrideNamedEngramEntries=(EngramEntry_Hide_Mythic_C,EngramHidden=true)</v>
      </c>
      <c r="K83" s="2"/>
    </row>
    <row r="84">
      <c r="A84" s="6"/>
      <c r="B84" s="6"/>
      <c r="C84" s="4"/>
      <c r="D84" s="4"/>
      <c r="E84" s="22" t="s">
        <v>1854</v>
      </c>
      <c r="F84" s="22" t="s">
        <v>1855</v>
      </c>
      <c r="G84" s="23" t="str">
        <f t="shared" si="36"/>
        <v>cheat gfi PrimalItemResource_Hide_Omega_C 1 100 0</v>
      </c>
      <c r="H84" s="22" t="s">
        <v>1856</v>
      </c>
      <c r="I84" s="71" t="str">
        <f t="shared" si="37"/>
        <v>EngramEntry_Hide_Omega_C</v>
      </c>
      <c r="J84" s="23" t="str">
        <f t="shared" si="43"/>
        <v>OverrideNamedEngramEntries=(EngramEntry_Hide_Omega_C,EngramHidden=true)</v>
      </c>
      <c r="K84" s="2"/>
    </row>
    <row r="85">
      <c r="A85" s="6"/>
      <c r="B85" s="6"/>
      <c r="C85" s="4">
        <f t="shared" ref="C85:C89" si="46">IF(D85="PrimalItemConsumable_Blood",1)+IF(D85="PrimalItemConsumable_Narcotic",2)+IF(D85="PrimalItemConsumable_Seed",3)+IF(D85="PrimalItemConsumable_Fruit",4)+IF(D85="PrimalItemConsumable_Egg_Unfertilized",5)+IF(D85="PrimalItemConsumable_Kibble",6)+IF(D85="PrimalItemConsumable_Potion",7)+IF(D85="PrimalItemConsumable_XP",8)+IF(D85="PrimalItemConsumable_Food",9)+IF(D85="PrimalItemResource",10)+IF(D85="PrimalItemResource_Hide",11)+IF(D85="PrimalItemResource_MetalIngot",12)+IF(D85="PrimalItemConsumable_Summon",13)+IF(D85="PrimalItemStructure",14)+IF(D85="PrimalItem_Weapon",15)+IF(D85="PrimalItemAmmo",16)+IF(D85="PrimalItemArmor",17)+IF(D85="PrimalItemSaddle",18)+IF(D85="PrimalItemConsumable_UnderwaterEgg",19)+IF(D85="PrimalItemConsumable_Egg",20)</f>
        <v>11</v>
      </c>
      <c r="D85" s="4" t="str">
        <f t="shared" ref="D85:D86" si="47">Left(F85,find("Resource",F85)+12)</f>
        <v>PrimalItemResource_Hide</v>
      </c>
      <c r="E85" s="21" t="s">
        <v>1857</v>
      </c>
      <c r="F85" s="21" t="s">
        <v>1858</v>
      </c>
      <c r="G85" s="21" t="str">
        <f t="shared" si="36"/>
        <v>cheat gfi PrimalItemResource_Hide_Shadow_C 1 100 0</v>
      </c>
      <c r="H85" s="21" t="s">
        <v>1859</v>
      </c>
      <c r="I85" s="70" t="str">
        <f t="shared" si="37"/>
        <v>EngramEntry_Hide_Shadow_C</v>
      </c>
      <c r="J85" s="21" t="str">
        <f t="shared" si="43"/>
        <v>OverrideNamedEngramEntries=(EngramEntry_Hide_Shadow_C,EngramHidden=true)</v>
      </c>
      <c r="K85" s="2"/>
    </row>
    <row r="86">
      <c r="A86" s="6"/>
      <c r="B86" s="6"/>
      <c r="C86" s="4">
        <f t="shared" si="46"/>
        <v>11</v>
      </c>
      <c r="D86" s="4" t="str">
        <f t="shared" si="47"/>
        <v>PrimalItemResource_Hide</v>
      </c>
      <c r="E86" s="23" t="s">
        <v>1860</v>
      </c>
      <c r="F86" s="23" t="s">
        <v>1861</v>
      </c>
      <c r="G86" s="23" t="str">
        <f t="shared" si="36"/>
        <v>cheat gfi PrimalItemResource_Hide_Volcanic_C 1 100 0</v>
      </c>
      <c r="H86" s="23" t="s">
        <v>1862</v>
      </c>
      <c r="I86" s="71" t="str">
        <f t="shared" si="37"/>
        <v>EngramEntry_Hide_Volcanic_C</v>
      </c>
      <c r="J86" s="23" t="str">
        <f t="shared" si="43"/>
        <v>OverrideNamedEngramEntries=(EngramEntry_Hide_Volcanic_C,EngramHidden=true)</v>
      </c>
      <c r="K86" s="2"/>
    </row>
    <row r="87">
      <c r="A87" s="6"/>
      <c r="B87" s="6"/>
      <c r="C87" s="4">
        <f t="shared" si="46"/>
        <v>12</v>
      </c>
      <c r="D87" s="4" t="str">
        <f t="shared" ref="D87:D89" si="48">Left(F87,find("Resource",F87)+18)</f>
        <v>PrimalItemResource_MetalIngot</v>
      </c>
      <c r="E87" s="21" t="s">
        <v>1863</v>
      </c>
      <c r="F87" s="21" t="s">
        <v>1864</v>
      </c>
      <c r="G87" s="21" t="str">
        <f t="shared" si="36"/>
        <v>cheat gfi PrimalItemResource_MetalIngot_Alpha_C 1 100 0</v>
      </c>
      <c r="H87" s="21" t="s">
        <v>1865</v>
      </c>
      <c r="I87" s="70" t="str">
        <f t="shared" si="37"/>
        <v>EngramEntry_MetalIngot_Alpha_C</v>
      </c>
      <c r="J87" s="21" t="str">
        <f t="shared" si="43"/>
        <v>OverrideNamedEngramEntries=(EngramEntry_MetalIngot_Alpha_C,EngramHidden=true)</v>
      </c>
      <c r="K87" s="2"/>
    </row>
    <row r="88">
      <c r="A88" s="6"/>
      <c r="B88" s="6"/>
      <c r="C88" s="4">
        <f t="shared" si="46"/>
        <v>12</v>
      </c>
      <c r="D88" s="4" t="str">
        <f t="shared" si="48"/>
        <v>PrimalItemResource_MetalIngot</v>
      </c>
      <c r="E88" s="23" t="s">
        <v>1866</v>
      </c>
      <c r="F88" s="23" t="s">
        <v>1867</v>
      </c>
      <c r="G88" s="23" t="str">
        <f t="shared" si="36"/>
        <v>cheat gfi PrimalItemResource_MetalIngot_Demonic_C 1 100 0</v>
      </c>
      <c r="H88" s="23" t="s">
        <v>1868</v>
      </c>
      <c r="I88" s="71" t="str">
        <f t="shared" si="37"/>
        <v>EngramEntry_MetalIngot_Demonic_C</v>
      </c>
      <c r="J88" s="23" t="str">
        <f t="shared" si="43"/>
        <v>OverrideNamedEngramEntries=(EngramEntry_MetalIngot_Demonic_C,EngramHidden=true)</v>
      </c>
      <c r="K88" s="2"/>
    </row>
    <row r="89">
      <c r="A89" s="6"/>
      <c r="B89" s="6"/>
      <c r="C89" s="4">
        <f t="shared" si="46"/>
        <v>12</v>
      </c>
      <c r="D89" s="4" t="str">
        <f t="shared" si="48"/>
        <v>PrimalItemResource_MetalIngot</v>
      </c>
      <c r="E89" s="21" t="s">
        <v>1869</v>
      </c>
      <c r="F89" s="21" t="s">
        <v>1870</v>
      </c>
      <c r="G89" s="21" t="str">
        <f t="shared" si="36"/>
        <v>cheat gfi PrimalItemResource_MetalIngot_Element_C 1 100 0</v>
      </c>
      <c r="H89" s="21" t="s">
        <v>1871</v>
      </c>
      <c r="I89" s="70" t="str">
        <f t="shared" si="37"/>
        <v>EngramEntry_MetalIngot_Element_C</v>
      </c>
      <c r="J89" s="21" t="str">
        <f t="shared" si="43"/>
        <v>OverrideNamedEngramEntries=(EngramEntry_MetalIngot_Element_C,EngramHidden=true)</v>
      </c>
      <c r="K89" s="2"/>
    </row>
    <row r="90">
      <c r="A90" s="6"/>
      <c r="B90" s="6"/>
      <c r="C90" s="4"/>
      <c r="D90" s="4"/>
      <c r="E90" s="23" t="s">
        <v>1872</v>
      </c>
      <c r="F90" s="23" t="s">
        <v>1873</v>
      </c>
      <c r="G90" s="23" t="str">
        <f t="shared" si="36"/>
        <v>cheat gfi PrimalItemResource_MetalIngot_Mythic_C 1 100 0</v>
      </c>
      <c r="H90" s="23" t="s">
        <v>1874</v>
      </c>
      <c r="I90" s="71" t="str">
        <f t="shared" si="37"/>
        <v>EngramEntry_MetalIngot_Mythic_C</v>
      </c>
      <c r="J90" s="23" t="str">
        <f t="shared" si="43"/>
        <v>OverrideNamedEngramEntries=(EngramEntry_MetalIngot_Mythic_C,EngramHidden=true)</v>
      </c>
      <c r="K90" s="2"/>
    </row>
    <row r="91">
      <c r="A91" s="6"/>
      <c r="B91" s="13"/>
      <c r="C91" s="4">
        <f>IF(D91="PrimalItemConsumable_Blood",1)+IF(D91="PrimalItemConsumable_Narcotic",2)+IF(D91="PrimalItemConsumable_Seed",3)+IF(D91="PrimalItemConsumable_Fruit",4)+IF(D91="PrimalItemConsumable_Egg_Unfertilized",5)+IF(D91="PrimalItemConsumable_Kibble",6)+IF(D91="PrimalItemConsumable_Potion",7)+IF(D91="PrimalItemConsumable_XP",8)+IF(D91="PrimalItemConsumable_Food",9)+IF(D91="PrimalItemResource",10)+IF(D91="PrimalItemResource_Hide",11)+IF(D91="PrimalItemResource_MetalIngot",12)+IF(D91="PrimalItemConsumable_Summon",13)+IF(D91="PrimalItemStructure",14)+IF(D91="PrimalItem_Weapon",15)+IF(D91="PrimalItemAmmo",16)+IF(D91="PrimalItemArmor",17)+IF(D91="PrimalItemSaddle",18)+IF(D91="PrimalItemConsumable_UnderwaterEgg",19)+IF(D91="PrimalItemConsumable_Egg",20)</f>
        <v>12</v>
      </c>
      <c r="D91" s="4" t="str">
        <f>Left(F91,find("Resource",F91)+18)</f>
        <v>PrimalItemResource_MetalIngot</v>
      </c>
      <c r="E91" s="20" t="s">
        <v>1875</v>
      </c>
      <c r="F91" s="20" t="s">
        <v>1876</v>
      </c>
      <c r="G91" s="21" t="str">
        <f t="shared" si="36"/>
        <v>cheat gfi PrimalItemResource_MetalIngot_Toxic_C 1 100 0</v>
      </c>
      <c r="H91" s="20" t="s">
        <v>1877</v>
      </c>
      <c r="I91" s="70" t="str">
        <f t="shared" si="37"/>
        <v>EngramEntry_MetalIngot_Toxic_C</v>
      </c>
      <c r="J91" s="21" t="str">
        <f t="shared" si="43"/>
        <v>OverrideNamedEngramEntries=(EngramEntry_MetalIngot_Toxic_C,EngramHidden=true)</v>
      </c>
      <c r="K91" s="2"/>
    </row>
    <row r="92">
      <c r="A92" s="6"/>
      <c r="B92" s="14"/>
      <c r="C92" s="15"/>
      <c r="D92" s="15"/>
      <c r="E92" s="15"/>
      <c r="F92" s="15"/>
      <c r="G92" s="15"/>
      <c r="H92" s="15"/>
      <c r="I92" s="15"/>
      <c r="J92" s="15"/>
      <c r="K92" s="2"/>
    </row>
    <row r="93">
      <c r="A93" s="6"/>
      <c r="B93" s="77" t="s">
        <v>1878</v>
      </c>
      <c r="C93" s="72"/>
      <c r="D93" s="72"/>
      <c r="E93" s="20" t="s">
        <v>1879</v>
      </c>
      <c r="F93" s="20" t="s">
        <v>1880</v>
      </c>
      <c r="G93" s="21" t="str">
        <f t="shared" ref="G93:G131" si="49">"cheat gfi "&amp;F93&amp;" 1 100 0"</f>
        <v>cheat gfi PrimalItem_NightmareToken_Carno_C 1 100 0</v>
      </c>
      <c r="H93" s="20" t="s">
        <v>1881</v>
      </c>
      <c r="I93" s="70" t="str">
        <f t="shared" ref="I93:I131" si="50">CONCATENATE("EngramEntry",RIGHT(F93,LEN(F93) - (FIND("_",F93) - 1)))</f>
        <v>EngramEntry_NightmareToken_Carno_C</v>
      </c>
      <c r="J93" s="21" t="str">
        <f t="shared" ref="J93:J131" si="51">"OverrideNamedEngramEntries=("&amp;I93&amp;",EngramHidden=true)"</f>
        <v>OverrideNamedEngramEntries=(EngramEntry_NightmareToken_Carno_C,EngramHidden=true)</v>
      </c>
      <c r="K93" s="2"/>
    </row>
    <row r="94">
      <c r="A94" s="6"/>
      <c r="B94" s="6"/>
      <c r="C94" s="72"/>
      <c r="D94" s="72"/>
      <c r="E94" s="22" t="s">
        <v>1882</v>
      </c>
      <c r="F94" s="22" t="s">
        <v>1883</v>
      </c>
      <c r="G94" s="23" t="str">
        <f t="shared" si="49"/>
        <v>cheat gfi PrimalItem_NightmareToken_DodoReaper_C 1 100 0</v>
      </c>
      <c r="H94" s="22" t="s">
        <v>1884</v>
      </c>
      <c r="I94" s="71" t="str">
        <f t="shared" si="50"/>
        <v>EngramEntry_NightmareToken_DodoReaper_C</v>
      </c>
      <c r="J94" s="23" t="str">
        <f t="shared" si="51"/>
        <v>OverrideNamedEngramEntries=(EngramEntry_NightmareToken_DodoReaper_C,EngramHidden=true)</v>
      </c>
      <c r="K94" s="2"/>
    </row>
    <row r="95">
      <c r="A95" s="6"/>
      <c r="B95" s="6"/>
      <c r="C95" s="72"/>
      <c r="D95" s="72"/>
      <c r="E95" s="20" t="s">
        <v>1885</v>
      </c>
      <c r="F95" s="20" t="s">
        <v>1886</v>
      </c>
      <c r="G95" s="21" t="str">
        <f t="shared" si="49"/>
        <v>cheat gfi PrimalItem_NightmareToken_Raptor_C 1 100 0</v>
      </c>
      <c r="H95" s="20" t="s">
        <v>1887</v>
      </c>
      <c r="I95" s="70" t="str">
        <f t="shared" si="50"/>
        <v>EngramEntry_NightmareToken_Raptor_C</v>
      </c>
      <c r="J95" s="21" t="str">
        <f t="shared" si="51"/>
        <v>OverrideNamedEngramEntries=(EngramEntry_NightmareToken_Raptor_C,EngramHidden=true)</v>
      </c>
      <c r="K95" s="2"/>
    </row>
    <row r="96">
      <c r="A96" s="6"/>
      <c r="B96" s="6"/>
      <c r="C96" s="72"/>
      <c r="D96" s="72"/>
      <c r="E96" s="22" t="s">
        <v>1888</v>
      </c>
      <c r="F96" s="22" t="s">
        <v>1889</v>
      </c>
      <c r="G96" s="23" t="str">
        <f t="shared" si="49"/>
        <v>cheat gfi PrimalItem_NightmareToken_Rex_C 1 100 0</v>
      </c>
      <c r="H96" s="22" t="s">
        <v>1890</v>
      </c>
      <c r="I96" s="71" t="str">
        <f t="shared" si="50"/>
        <v>EngramEntry_NightmareToken_Rex_C</v>
      </c>
      <c r="J96" s="23" t="str">
        <f t="shared" si="51"/>
        <v>OverrideNamedEngramEntries=(EngramEntry_NightmareToken_Rex_C,EngramHidden=true)</v>
      </c>
      <c r="K96" s="2"/>
    </row>
    <row r="97">
      <c r="A97" s="6"/>
      <c r="B97" s="6"/>
      <c r="C97" s="72"/>
      <c r="D97" s="72"/>
      <c r="E97" s="20" t="s">
        <v>1891</v>
      </c>
      <c r="F97" s="20" t="s">
        <v>1892</v>
      </c>
      <c r="G97" s="21" t="str">
        <f t="shared" si="49"/>
        <v>cheat gfi PrimalItem_NightmareToken_Spino_C 1 100 0</v>
      </c>
      <c r="H97" s="20" t="s">
        <v>1893</v>
      </c>
      <c r="I97" s="70" t="str">
        <f t="shared" si="50"/>
        <v>EngramEntry_NightmareToken_Spino_C</v>
      </c>
      <c r="J97" s="21" t="str">
        <f t="shared" si="51"/>
        <v>OverrideNamedEngramEntries=(EngramEntry_NightmareToken_Spino_C,EngramHidden=true)</v>
      </c>
      <c r="K97" s="2"/>
    </row>
    <row r="98">
      <c r="A98" s="6"/>
      <c r="B98" s="6"/>
      <c r="C98" s="72"/>
      <c r="D98" s="72"/>
      <c r="E98" s="22" t="s">
        <v>1894</v>
      </c>
      <c r="F98" s="22" t="s">
        <v>1895</v>
      </c>
      <c r="G98" s="23" t="str">
        <f t="shared" si="49"/>
        <v>cheat gfi PrimalItem_NightmareToken_Trike_C 1 100 0</v>
      </c>
      <c r="H98" s="22" t="s">
        <v>1896</v>
      </c>
      <c r="I98" s="71" t="str">
        <f t="shared" si="50"/>
        <v>EngramEntry_NightmareToken_Trike_C</v>
      </c>
      <c r="J98" s="23" t="str">
        <f t="shared" si="51"/>
        <v>OverrideNamedEngramEntries=(EngramEntry_NightmareToken_Trike_C,EngramHidden=true)</v>
      </c>
      <c r="K98" s="2"/>
    </row>
    <row r="99">
      <c r="A99" s="6"/>
      <c r="B99" s="6"/>
      <c r="C99" s="72"/>
      <c r="D99" s="72"/>
      <c r="E99" s="20" t="s">
        <v>1897</v>
      </c>
      <c r="F99" s="20" t="s">
        <v>1898</v>
      </c>
      <c r="G99" s="21" t="str">
        <f t="shared" si="49"/>
        <v>cheat gfi PrimalItem_NightmareToken_Yuty_C 1 100 0</v>
      </c>
      <c r="H99" s="20" t="s">
        <v>1899</v>
      </c>
      <c r="I99" s="70" t="str">
        <f t="shared" si="50"/>
        <v>EngramEntry_NightmareToken_Yuty_C</v>
      </c>
      <c r="J99" s="21" t="str">
        <f t="shared" si="51"/>
        <v>OverrideNamedEngramEntries=(EngramEntry_NightmareToken_Yuty_C,EngramHidden=true)</v>
      </c>
      <c r="K99" s="2"/>
    </row>
    <row r="100">
      <c r="A100" s="6"/>
      <c r="B100" s="6"/>
      <c r="C100" s="72"/>
      <c r="D100" s="72"/>
      <c r="E100" s="22" t="s">
        <v>1900</v>
      </c>
      <c r="F100" s="22" t="s">
        <v>1901</v>
      </c>
      <c r="G100" s="23" t="str">
        <f t="shared" si="49"/>
        <v>cheat gfi PrimalItem_OriginToken_Argent_C 1 100 0</v>
      </c>
      <c r="H100" s="22" t="s">
        <v>1902</v>
      </c>
      <c r="I100" s="71" t="str">
        <f t="shared" si="50"/>
        <v>EngramEntry_OriginToken_Argent_C</v>
      </c>
      <c r="J100" s="23" t="str">
        <f t="shared" si="51"/>
        <v>OverrideNamedEngramEntries=(EngramEntry_OriginToken_Argent_C,EngramHidden=true)</v>
      </c>
      <c r="K100" s="2"/>
    </row>
    <row r="101">
      <c r="A101" s="6"/>
      <c r="B101" s="6"/>
      <c r="C101" s="72"/>
      <c r="D101" s="72"/>
      <c r="E101" s="20" t="s">
        <v>1903</v>
      </c>
      <c r="F101" s="20" t="s">
        <v>1904</v>
      </c>
      <c r="G101" s="21" t="str">
        <f t="shared" si="49"/>
        <v>cheat gfi PrimalItem_OriginToken_Carno_C 1 100 0</v>
      </c>
      <c r="H101" s="20" t="s">
        <v>1905</v>
      </c>
      <c r="I101" s="70" t="str">
        <f t="shared" si="50"/>
        <v>EngramEntry_OriginToken_Carno_C</v>
      </c>
      <c r="J101" s="21" t="str">
        <f t="shared" si="51"/>
        <v>OverrideNamedEngramEntries=(EngramEntry_OriginToken_Carno_C,EngramHidden=true)</v>
      </c>
      <c r="K101" s="2"/>
    </row>
    <row r="102">
      <c r="A102" s="6"/>
      <c r="B102" s="6"/>
      <c r="C102" s="72"/>
      <c r="D102" s="72"/>
      <c r="E102" s="22" t="s">
        <v>1906</v>
      </c>
      <c r="F102" s="22" t="s">
        <v>1907</v>
      </c>
      <c r="G102" s="23" t="str">
        <f t="shared" si="49"/>
        <v>cheat gfi PrimalItem_OriginToken_DireBear_C 1 100 0</v>
      </c>
      <c r="H102" s="22" t="s">
        <v>1908</v>
      </c>
      <c r="I102" s="71" t="str">
        <f t="shared" si="50"/>
        <v>EngramEntry_OriginToken_DireBear_C</v>
      </c>
      <c r="J102" s="23" t="str">
        <f t="shared" si="51"/>
        <v>OverrideNamedEngramEntries=(EngramEntry_OriginToken_DireBear_C,EngramHidden=true)</v>
      </c>
      <c r="K102" s="2"/>
    </row>
    <row r="103">
      <c r="A103" s="6"/>
      <c r="B103" s="6"/>
      <c r="C103" s="72"/>
      <c r="D103" s="72"/>
      <c r="E103" s="20" t="s">
        <v>1909</v>
      </c>
      <c r="F103" s="20" t="s">
        <v>1910</v>
      </c>
      <c r="G103" s="21" t="str">
        <f t="shared" si="49"/>
        <v>cheat gfi PrimalItem_OriginToken_Kairuku_C 1 100 0</v>
      </c>
      <c r="H103" s="20" t="s">
        <v>1911</v>
      </c>
      <c r="I103" s="70" t="str">
        <f t="shared" si="50"/>
        <v>EngramEntry_OriginToken_Kairuku_C</v>
      </c>
      <c r="J103" s="21" t="str">
        <f t="shared" si="51"/>
        <v>OverrideNamedEngramEntries=(EngramEntry_OriginToken_Kairuku_C,EngramHidden=true)</v>
      </c>
      <c r="K103" s="2"/>
    </row>
    <row r="104">
      <c r="A104" s="6"/>
      <c r="B104" s="6"/>
      <c r="C104" s="72"/>
      <c r="D104" s="72"/>
      <c r="E104" s="22" t="s">
        <v>1912</v>
      </c>
      <c r="F104" s="22" t="s">
        <v>1913</v>
      </c>
      <c r="G104" s="23" t="str">
        <f t="shared" si="49"/>
        <v>cheat gfi PrimalItem_OriginToken_Raptor_C 1 100 0</v>
      </c>
      <c r="H104" s="22" t="s">
        <v>1914</v>
      </c>
      <c r="I104" s="71" t="str">
        <f t="shared" si="50"/>
        <v>EngramEntry_OriginToken_Raptor_C</v>
      </c>
      <c r="J104" s="23" t="str">
        <f t="shared" si="51"/>
        <v>OverrideNamedEngramEntries=(EngramEntry_OriginToken_Raptor_C,EngramHidden=true)</v>
      </c>
      <c r="K104" s="2"/>
    </row>
    <row r="105">
      <c r="A105" s="6"/>
      <c r="B105" s="6"/>
      <c r="C105" s="72"/>
      <c r="D105" s="72"/>
      <c r="E105" s="20" t="s">
        <v>1915</v>
      </c>
      <c r="F105" s="20" t="s">
        <v>1916</v>
      </c>
      <c r="G105" s="21" t="str">
        <f t="shared" si="49"/>
        <v>cheat gfi PrimalItem_OriginToken_Rex_C 1 100 0</v>
      </c>
      <c r="H105" s="20" t="s">
        <v>1917</v>
      </c>
      <c r="I105" s="70" t="str">
        <f t="shared" si="50"/>
        <v>EngramEntry_OriginToken_Rex_C</v>
      </c>
      <c r="J105" s="21" t="str">
        <f t="shared" si="51"/>
        <v>OverrideNamedEngramEntries=(EngramEntry_OriginToken_Rex_C,EngramHidden=true)</v>
      </c>
      <c r="K105" s="2"/>
    </row>
    <row r="106">
      <c r="A106" s="6"/>
      <c r="B106" s="6"/>
      <c r="C106" s="72"/>
      <c r="D106" s="72"/>
      <c r="E106" s="22" t="s">
        <v>1918</v>
      </c>
      <c r="F106" s="22" t="s">
        <v>1919</v>
      </c>
      <c r="G106" s="23" t="str">
        <f t="shared" si="49"/>
        <v>cheat gfi PrimalItem_OriginToken_Spino_C 1 100 0</v>
      </c>
      <c r="H106" s="22" t="s">
        <v>1920</v>
      </c>
      <c r="I106" s="71" t="str">
        <f t="shared" si="50"/>
        <v>EngramEntry_OriginToken_Spino_C</v>
      </c>
      <c r="J106" s="23" t="str">
        <f t="shared" si="51"/>
        <v>OverrideNamedEngramEntries=(EngramEntry_OriginToken_Spino_C,EngramHidden=true)</v>
      </c>
      <c r="K106" s="2"/>
    </row>
    <row r="107">
      <c r="A107" s="6"/>
      <c r="B107" s="6"/>
      <c r="C107" s="72"/>
      <c r="D107" s="72"/>
      <c r="E107" s="20" t="s">
        <v>1921</v>
      </c>
      <c r="F107" s="20" t="s">
        <v>1922</v>
      </c>
      <c r="G107" s="21" t="str">
        <f t="shared" si="49"/>
        <v>cheat gfi PrimalItem_OriginToken_Wyvern_C 1 100 0</v>
      </c>
      <c r="H107" s="20" t="s">
        <v>1923</v>
      </c>
      <c r="I107" s="70" t="str">
        <f t="shared" si="50"/>
        <v>EngramEntry_OriginToken_Wyvern_C</v>
      </c>
      <c r="J107" s="21" t="str">
        <f t="shared" si="51"/>
        <v>OverrideNamedEngramEntries=(EngramEntry_OriginToken_Wyvern_C,EngramHidden=true)</v>
      </c>
      <c r="K107" s="2"/>
    </row>
    <row r="108">
      <c r="A108" s="6"/>
      <c r="B108" s="6"/>
      <c r="C108" s="72"/>
      <c r="D108" s="72"/>
      <c r="E108" s="22" t="s">
        <v>1924</v>
      </c>
      <c r="F108" s="22" t="s">
        <v>1925</v>
      </c>
      <c r="G108" s="23" t="str">
        <f t="shared" si="49"/>
        <v>cheat gfi PrimalItem_Soul_Angelic_C 1 100 0</v>
      </c>
      <c r="H108" s="22" t="s">
        <v>1926</v>
      </c>
      <c r="I108" s="71" t="str">
        <f t="shared" si="50"/>
        <v>EngramEntry_Soul_Angelic_C</v>
      </c>
      <c r="J108" s="23" t="str">
        <f t="shared" si="51"/>
        <v>OverrideNamedEngramEntries=(EngramEntry_Soul_Angelic_C,EngramHidden=true)</v>
      </c>
      <c r="K108" s="2"/>
    </row>
    <row r="109">
      <c r="A109" s="6"/>
      <c r="B109" s="6"/>
      <c r="C109" s="72"/>
      <c r="D109" s="72"/>
      <c r="E109" s="20" t="s">
        <v>1927</v>
      </c>
      <c r="F109" s="20" t="s">
        <v>1928</v>
      </c>
      <c r="G109" s="21" t="str">
        <f t="shared" si="49"/>
        <v>cheat gfi PrimalItem_Soul_Demonic_C 1 100 0</v>
      </c>
      <c r="H109" s="20" t="s">
        <v>1929</v>
      </c>
      <c r="I109" s="70" t="str">
        <f t="shared" si="50"/>
        <v>EngramEntry_Soul_Demonic_C</v>
      </c>
      <c r="J109" s="21" t="str">
        <f t="shared" si="51"/>
        <v>OverrideNamedEngramEntries=(EngramEntry_Soul_Demonic_C,EngramHidden=true)</v>
      </c>
      <c r="K109" s="2"/>
    </row>
    <row r="110">
      <c r="A110" s="6"/>
      <c r="B110" s="6"/>
      <c r="C110" s="72"/>
      <c r="D110" s="72"/>
      <c r="E110" s="22" t="s">
        <v>1930</v>
      </c>
      <c r="F110" s="22" t="s">
        <v>1931</v>
      </c>
      <c r="G110" s="23" t="str">
        <f t="shared" si="49"/>
        <v>cheat gfi PrimalItem_OriginSoul_C 1 100 0</v>
      </c>
      <c r="H110" s="22" t="s">
        <v>1932</v>
      </c>
      <c r="I110" s="71" t="str">
        <f t="shared" si="50"/>
        <v>EngramEntry_OriginSoul_C</v>
      </c>
      <c r="J110" s="23" t="str">
        <f t="shared" si="51"/>
        <v>OverrideNamedEngramEntries=(EngramEntry_OriginSoul_C,EngramHidden=true)</v>
      </c>
      <c r="K110" s="2"/>
    </row>
    <row r="111">
      <c r="A111" s="6"/>
      <c r="B111" s="6"/>
      <c r="C111" s="72"/>
      <c r="D111" s="72"/>
      <c r="E111" s="20" t="s">
        <v>1933</v>
      </c>
      <c r="F111" s="20" t="s">
        <v>1934</v>
      </c>
      <c r="G111" s="21" t="str">
        <f t="shared" si="49"/>
        <v>cheat gfi PrimalItem_PrimalSoul_C 1 100 0</v>
      </c>
      <c r="H111" s="20" t="s">
        <v>1935</v>
      </c>
      <c r="I111" s="70" t="str">
        <f t="shared" si="50"/>
        <v>EngramEntry_PrimalSoul_C</v>
      </c>
      <c r="J111" s="21" t="str">
        <f t="shared" si="51"/>
        <v>OverrideNamedEngramEntries=(EngramEntry_PrimalSoul_C,EngramHidden=true)</v>
      </c>
      <c r="K111" s="2"/>
    </row>
    <row r="112">
      <c r="A112" s="6"/>
      <c r="B112" s="6"/>
      <c r="C112" s="72"/>
      <c r="D112" s="72"/>
      <c r="E112" s="22" t="s">
        <v>1936</v>
      </c>
      <c r="F112" s="22" t="s">
        <v>1937</v>
      </c>
      <c r="G112" s="23" t="str">
        <f t="shared" si="49"/>
        <v>cheat gfi PrimalItem_AngelicBOSSSoul_C 1 100 0</v>
      </c>
      <c r="H112" s="22" t="s">
        <v>1938</v>
      </c>
      <c r="I112" s="71" t="str">
        <f t="shared" si="50"/>
        <v>EngramEntry_AngelicBOSSSoul_C</v>
      </c>
      <c r="J112" s="23" t="str">
        <f t="shared" si="51"/>
        <v>OverrideNamedEngramEntries=(EngramEntry_AngelicBOSSSoul_C,EngramHidden=true)</v>
      </c>
      <c r="K112" s="2"/>
    </row>
    <row r="113">
      <c r="A113" s="6"/>
      <c r="B113" s="6"/>
      <c r="C113" s="72"/>
      <c r="D113" s="72"/>
      <c r="E113" s="20" t="s">
        <v>1939</v>
      </c>
      <c r="F113" s="20" t="s">
        <v>1940</v>
      </c>
      <c r="G113" s="21" t="str">
        <f t="shared" si="49"/>
        <v>cheat gfi PrimalItem_DemonicBOSSSoul_C 1 100 0</v>
      </c>
      <c r="H113" s="20" t="s">
        <v>1941</v>
      </c>
      <c r="I113" s="70" t="str">
        <f t="shared" si="50"/>
        <v>EngramEntry_DemonicBOSSSoul_C</v>
      </c>
      <c r="J113" s="21" t="str">
        <f t="shared" si="51"/>
        <v>OverrideNamedEngramEntries=(EngramEntry_DemonicBOSSSoul_C,EngramHidden=true)</v>
      </c>
      <c r="K113" s="2"/>
    </row>
    <row r="114">
      <c r="A114" s="6"/>
      <c r="B114" s="6"/>
      <c r="C114" s="72"/>
      <c r="D114" s="72"/>
      <c r="E114" s="22" t="s">
        <v>1942</v>
      </c>
      <c r="F114" s="22" t="s">
        <v>1943</v>
      </c>
      <c r="G114" s="23" t="str">
        <f t="shared" si="49"/>
        <v>cheat gfi PrimalItem_OriginBOSSSoul_C 1 100 0</v>
      </c>
      <c r="H114" s="22" t="s">
        <v>1938</v>
      </c>
      <c r="I114" s="71" t="str">
        <f t="shared" si="50"/>
        <v>EngramEntry_OriginBOSSSoul_C</v>
      </c>
      <c r="J114" s="23" t="str">
        <f t="shared" si="51"/>
        <v>OverrideNamedEngramEntries=(EngramEntry_OriginBOSSSoul_C,EngramHidden=true)</v>
      </c>
      <c r="K114" s="2"/>
    </row>
    <row r="115">
      <c r="A115" s="6"/>
      <c r="B115" s="6"/>
      <c r="C115" s="72">
        <v>13.0</v>
      </c>
      <c r="D115" s="72" t="s">
        <v>1944</v>
      </c>
      <c r="E115" s="20" t="s">
        <v>1945</v>
      </c>
      <c r="F115" s="20" t="s">
        <v>1946</v>
      </c>
      <c r="G115" s="21" t="str">
        <f t="shared" si="49"/>
        <v>cheat gfi PrimalItemConsumable_Summon_AngelicBOSS_C 1 100 0</v>
      </c>
      <c r="H115" s="20" t="s">
        <v>1947</v>
      </c>
      <c r="I115" s="70" t="str">
        <f t="shared" si="50"/>
        <v>EngramEntry_Summon_AngelicBOSS_C</v>
      </c>
      <c r="J115" s="21" t="str">
        <f t="shared" si="51"/>
        <v>OverrideNamedEngramEntries=(EngramEntry_Summon_AngelicBOSS_C,EngramHidden=true)</v>
      </c>
      <c r="K115" s="2"/>
    </row>
    <row r="116">
      <c r="A116" s="6"/>
      <c r="B116" s="6"/>
      <c r="C116" s="72">
        <v>13.0</v>
      </c>
      <c r="D116" s="72" t="s">
        <v>1948</v>
      </c>
      <c r="E116" s="22" t="s">
        <v>1949</v>
      </c>
      <c r="F116" s="22" t="s">
        <v>1950</v>
      </c>
      <c r="G116" s="23" t="str">
        <f t="shared" si="49"/>
        <v>cheat gfi PrimalItemConsumable_Summon_DeathKnight_C 1 100 0</v>
      </c>
      <c r="H116" s="22" t="s">
        <v>1951</v>
      </c>
      <c r="I116" s="71" t="str">
        <f t="shared" si="50"/>
        <v>EngramEntry_Summon_DeathKnight_C</v>
      </c>
      <c r="J116" s="23" t="str">
        <f t="shared" si="51"/>
        <v>OverrideNamedEngramEntries=(EngramEntry_Summon_DeathKnight_C,EngramHidden=true)</v>
      </c>
      <c r="K116" s="2"/>
    </row>
    <row r="117">
      <c r="A117" s="6"/>
      <c r="B117" s="6"/>
      <c r="C117" s="72">
        <v>13.0</v>
      </c>
      <c r="D117" s="72" t="s">
        <v>1948</v>
      </c>
      <c r="E117" s="20" t="s">
        <v>1952</v>
      </c>
      <c r="F117" s="20" t="s">
        <v>1953</v>
      </c>
      <c r="G117" s="21" t="str">
        <f t="shared" si="49"/>
        <v>cheat gfi PrimalItemConsumable_Summon_DeathKnight_Tameable_C 1 100 0</v>
      </c>
      <c r="H117" s="20" t="s">
        <v>1954</v>
      </c>
      <c r="I117" s="70" t="str">
        <f t="shared" si="50"/>
        <v>EngramEntry_Summon_DeathKnight_Tameable_C</v>
      </c>
      <c r="J117" s="21" t="str">
        <f t="shared" si="51"/>
        <v>OverrideNamedEngramEntries=(EngramEntry_Summon_DeathKnight_Tameable_C,EngramHidden=true)</v>
      </c>
      <c r="K117" s="2"/>
    </row>
    <row r="118">
      <c r="A118" s="6"/>
      <c r="B118" s="6"/>
      <c r="C118" s="4"/>
      <c r="D118" s="72"/>
      <c r="E118" s="22" t="s">
        <v>1955</v>
      </c>
      <c r="F118" s="22" t="s">
        <v>1956</v>
      </c>
      <c r="G118" s="23" t="str">
        <f t="shared" si="49"/>
        <v>cheat gfi PrimalItemConsumable_Summon_DemonicBOSS_C 1 100 0</v>
      </c>
      <c r="H118" s="22" t="s">
        <v>1957</v>
      </c>
      <c r="I118" s="71" t="str">
        <f t="shared" si="50"/>
        <v>EngramEntry_Summon_DemonicBOSS_C</v>
      </c>
      <c r="J118" s="23" t="str">
        <f t="shared" si="51"/>
        <v>OverrideNamedEngramEntries=(EngramEntry_Summon_DemonicBOSS_C,EngramHidden=true)</v>
      </c>
      <c r="K118" s="2"/>
    </row>
    <row r="119">
      <c r="A119" s="6"/>
      <c r="B119" s="6"/>
      <c r="C119" s="4"/>
      <c r="D119" s="72"/>
      <c r="E119" s="20" t="s">
        <v>1958</v>
      </c>
      <c r="F119" s="20" t="s">
        <v>1959</v>
      </c>
      <c r="G119" s="21" t="str">
        <f t="shared" si="49"/>
        <v>cheat gfi PrimalItemConsumable_Summon_Draconis_C 1 100 0</v>
      </c>
      <c r="H119" s="20" t="s">
        <v>1960</v>
      </c>
      <c r="I119" s="70" t="str">
        <f t="shared" si="50"/>
        <v>EngramEntry_Summon_Draconis_C</v>
      </c>
      <c r="J119" s="21" t="str">
        <f t="shared" si="51"/>
        <v>OverrideNamedEngramEntries=(EngramEntry_Summon_Draconis_C,EngramHidden=true)</v>
      </c>
      <c r="K119" s="2"/>
    </row>
    <row r="120">
      <c r="A120" s="6"/>
      <c r="B120" s="6"/>
      <c r="C120" s="4">
        <f t="shared" ref="C120:C121" si="52">IF(D120="PrimalItemConsumable_Blood",1)+IF(D120="PrimalItemConsumable_Narcotic",2)+IF(D120="PrimalItemConsumable_Seed",3)+IF(D120="PrimalItemConsumable_Fruit",4)+IF(D120="PrimalItemConsumable_Egg_Unfertilized",5)+IF(D120="PrimalItemConsumable_Kibble",6)+IF(D120="PrimalItemConsumable_Potion",7)+IF(D120="PrimalItemConsumable_XP",8)+IF(D120="PrimalItemConsumable_Food",9)+IF(D120="PrimalItemResource",10)+IF(D120="PrimalItemResource_Hide",11)+IF(D120="PrimalItemResource_MetalIngot",12)+IF(D120="PrimalItemConsumable_Summon",13)+IF(D120="PrimalItemStructure",14)+IF(D120="PrimalItem_Weapon",15)+IF(D120="PrimalItemAmmo",16)+IF(D120="PrimalItemArmor",17)+IF(D120="PrimalItemSaddle",18)+IF(D120="PrimalItemConsumable_UnderwaterEgg",19)+IF(D120="PrimalItemConsumable_Egg",20)</f>
        <v>13</v>
      </c>
      <c r="D120" s="72" t="s">
        <v>1948</v>
      </c>
      <c r="E120" s="23" t="s">
        <v>1961</v>
      </c>
      <c r="F120" s="23" t="s">
        <v>1962</v>
      </c>
      <c r="G120" s="23" t="str">
        <f t="shared" si="49"/>
        <v>cheat gfi PrimalItemConsumable_ElectricGuardianSummon_C 1 100 0</v>
      </c>
      <c r="H120" s="23" t="s">
        <v>1963</v>
      </c>
      <c r="I120" s="71" t="str">
        <f t="shared" si="50"/>
        <v>EngramEntry_ElectricGuardianSummon_C</v>
      </c>
      <c r="J120" s="23" t="str">
        <f t="shared" si="51"/>
        <v>OverrideNamedEngramEntries=(EngramEntry_ElectricGuardianSummon_C,EngramHidden=true)</v>
      </c>
      <c r="K120" s="2"/>
    </row>
    <row r="121">
      <c r="A121" s="6"/>
      <c r="B121" s="6"/>
      <c r="C121" s="4">
        <f t="shared" si="52"/>
        <v>13</v>
      </c>
      <c r="D121" s="72" t="s">
        <v>1948</v>
      </c>
      <c r="E121" s="21" t="s">
        <v>1964</v>
      </c>
      <c r="F121" s="21" t="s">
        <v>1965</v>
      </c>
      <c r="G121" s="21" t="str">
        <f t="shared" si="49"/>
        <v>cheat gfi PrimalItemConsumable_HydroGuardianSummon_C 1 100 0</v>
      </c>
      <c r="H121" s="21" t="s">
        <v>1966</v>
      </c>
      <c r="I121" s="70" t="str">
        <f t="shared" si="50"/>
        <v>EngramEntry_HydroGuardianSummon_C</v>
      </c>
      <c r="J121" s="21" t="str">
        <f t="shared" si="51"/>
        <v>OverrideNamedEngramEntries=(EngramEntry_HydroGuardianSummon_C,EngramHidden=true)</v>
      </c>
      <c r="K121" s="2"/>
    </row>
    <row r="122">
      <c r="A122" s="6"/>
      <c r="B122" s="6"/>
      <c r="C122" s="4"/>
      <c r="D122" s="4"/>
      <c r="E122" s="22" t="s">
        <v>1967</v>
      </c>
      <c r="F122" s="22" t="s">
        <v>1968</v>
      </c>
      <c r="G122" s="23" t="str">
        <f t="shared" si="49"/>
        <v>cheat gfi PrimalItemConsumable_Summon_ChaosBOSS_C 1 100 0</v>
      </c>
      <c r="H122" s="22" t="s">
        <v>1969</v>
      </c>
      <c r="I122" s="71" t="str">
        <f t="shared" si="50"/>
        <v>EngramEntry_Summon_ChaosBOSS_C</v>
      </c>
      <c r="J122" s="23" t="str">
        <f t="shared" si="51"/>
        <v>OverrideNamedEngramEntries=(EngramEntry_Summon_ChaosBOSS_C,EngramHidden=true)</v>
      </c>
      <c r="K122" s="2"/>
    </row>
    <row r="123">
      <c r="A123" s="6"/>
      <c r="B123" s="6"/>
      <c r="C123" s="4"/>
      <c r="D123" s="4"/>
      <c r="E123" s="20" t="s">
        <v>1970</v>
      </c>
      <c r="F123" s="21" t="s">
        <v>1971</v>
      </c>
      <c r="G123" s="21" t="str">
        <f t="shared" si="49"/>
        <v>cheat gfi PrimalItemConsumable_Summon_SpiritBOSS_C 1 100 0</v>
      </c>
      <c r="H123" s="20" t="s">
        <v>1972</v>
      </c>
      <c r="I123" s="70" t="str">
        <f t="shared" si="50"/>
        <v>EngramEntry_Summon_SpiritBOSS_C</v>
      </c>
      <c r="J123" s="21" t="str">
        <f t="shared" si="51"/>
        <v>OverrideNamedEngramEntries=(EngramEntry_Summon_SpiritBOSS_C,EngramHidden=true)</v>
      </c>
      <c r="K123" s="2"/>
    </row>
    <row r="124">
      <c r="A124" s="6"/>
      <c r="B124" s="6"/>
      <c r="C124" s="4">
        <f t="shared" ref="C124:C131" si="53">IF(D124="PrimalItemConsumable_Blood",1)+IF(D124="PrimalItemConsumable_Narcotic",2)+IF(D124="PrimalItemConsumable_Seed",3)+IF(D124="PrimalItemConsumable_Fruit",4)+IF(D124="PrimalItemConsumable_Egg_Unfertilized",5)+IF(D124="PrimalItemConsumable_Kibble",6)+IF(D124="PrimalItemConsumable_Potion",7)+IF(D124="PrimalItemConsumable_XP",8)+IF(D124="PrimalItemConsumable_Food",9)+IF(D124="PrimalItemResource",10)+IF(D124="PrimalItemResource_Hide",11)+IF(D124="PrimalItemResource_MetalIngot",12)+IF(D124="PrimalItemConsumable_Summon",13)+IF(D124="PrimalItemStructure",14)+IF(D124="PrimalItem_Weapon",15)+IF(D124="PrimalItemAmmo",16)+IF(D124="PrimalItemArmor",17)+IF(D124="PrimalItemSaddle",18)+IF(D124="PrimalItemConsumable_UnderwaterEgg",19)+IF(D124="PrimalItemConsumable_Egg",20)</f>
        <v>13</v>
      </c>
      <c r="D124" s="4" t="str">
        <f t="shared" ref="D124:D130" si="54">Left(F124,find("Summon",F124)+5)</f>
        <v>PrimalItemConsumable_Summon</v>
      </c>
      <c r="E124" s="23" t="s">
        <v>1973</v>
      </c>
      <c r="F124" s="23" t="s">
        <v>1974</v>
      </c>
      <c r="G124" s="23" t="str">
        <f t="shared" si="49"/>
        <v>cheat gfi PrimalItemConsumable_Summon_NightmareCarno_C 1 100 0</v>
      </c>
      <c r="H124" s="23" t="s">
        <v>1975</v>
      </c>
      <c r="I124" s="71" t="str">
        <f t="shared" si="50"/>
        <v>EngramEntry_Summon_NightmareCarno_C</v>
      </c>
      <c r="J124" s="23" t="str">
        <f t="shared" si="51"/>
        <v>OverrideNamedEngramEntries=(EngramEntry_Summon_NightmareCarno_C,EngramHidden=true)</v>
      </c>
      <c r="K124" s="2"/>
    </row>
    <row r="125">
      <c r="A125" s="6"/>
      <c r="B125" s="6"/>
      <c r="C125" s="4">
        <f t="shared" si="53"/>
        <v>13</v>
      </c>
      <c r="D125" s="4" t="str">
        <f t="shared" si="54"/>
        <v>PrimalItemConsumable_Summon</v>
      </c>
      <c r="E125" s="20" t="s">
        <v>1976</v>
      </c>
      <c r="F125" s="20" t="s">
        <v>1977</v>
      </c>
      <c r="G125" s="21" t="str">
        <f t="shared" si="49"/>
        <v>cheat gfi PrimalItemConsumable_Summon_NightmareReaper_C 1 100 0</v>
      </c>
      <c r="H125" s="20" t="s">
        <v>1978</v>
      </c>
      <c r="I125" s="70" t="str">
        <f t="shared" si="50"/>
        <v>EngramEntry_Summon_NightmareReaper_C</v>
      </c>
      <c r="J125" s="21" t="str">
        <f t="shared" si="51"/>
        <v>OverrideNamedEngramEntries=(EngramEntry_Summon_NightmareReaper_C,EngramHidden=true)</v>
      </c>
      <c r="K125" s="2"/>
    </row>
    <row r="126">
      <c r="A126" s="6"/>
      <c r="B126" s="6"/>
      <c r="C126" s="4">
        <f t="shared" si="53"/>
        <v>13</v>
      </c>
      <c r="D126" s="4" t="str">
        <f t="shared" si="54"/>
        <v>PrimalItemConsumable_Summon</v>
      </c>
      <c r="E126" s="23" t="s">
        <v>1979</v>
      </c>
      <c r="F126" s="23" t="s">
        <v>1980</v>
      </c>
      <c r="G126" s="23" t="str">
        <f t="shared" si="49"/>
        <v>cheat gfi PrimalItemConsumable_Summon_NightmareRaptor_C 1 100 0</v>
      </c>
      <c r="H126" s="23" t="s">
        <v>1981</v>
      </c>
      <c r="I126" s="71" t="str">
        <f t="shared" si="50"/>
        <v>EngramEntry_Summon_NightmareRaptor_C</v>
      </c>
      <c r="J126" s="23" t="str">
        <f t="shared" si="51"/>
        <v>OverrideNamedEngramEntries=(EngramEntry_Summon_NightmareRaptor_C,EngramHidden=true)</v>
      </c>
      <c r="K126" s="2"/>
    </row>
    <row r="127">
      <c r="A127" s="6"/>
      <c r="B127" s="6"/>
      <c r="C127" s="4">
        <f t="shared" si="53"/>
        <v>13</v>
      </c>
      <c r="D127" s="4" t="str">
        <f t="shared" si="54"/>
        <v>PrimalItemConsumable_Summon</v>
      </c>
      <c r="E127" s="21" t="s">
        <v>1982</v>
      </c>
      <c r="F127" s="21" t="s">
        <v>1983</v>
      </c>
      <c r="G127" s="21" t="str">
        <f t="shared" si="49"/>
        <v>cheat gfi PrimalItemConsumable_Summon_NightmareRex_C 1 100 0</v>
      </c>
      <c r="H127" s="21" t="s">
        <v>1984</v>
      </c>
      <c r="I127" s="70" t="str">
        <f t="shared" si="50"/>
        <v>EngramEntry_Summon_NightmareRex_C</v>
      </c>
      <c r="J127" s="21" t="str">
        <f t="shared" si="51"/>
        <v>OverrideNamedEngramEntries=(EngramEntry_Summon_NightmareRex_C,EngramHidden=true)</v>
      </c>
      <c r="K127" s="2"/>
    </row>
    <row r="128">
      <c r="A128" s="6"/>
      <c r="B128" s="6"/>
      <c r="C128" s="4">
        <f t="shared" si="53"/>
        <v>13</v>
      </c>
      <c r="D128" s="4" t="str">
        <f t="shared" si="54"/>
        <v>PrimalItemConsumable_Summon</v>
      </c>
      <c r="E128" s="23" t="s">
        <v>1985</v>
      </c>
      <c r="F128" s="23" t="s">
        <v>1986</v>
      </c>
      <c r="G128" s="23" t="str">
        <f t="shared" si="49"/>
        <v>cheat gfi PrimalItemConsumable_Summon_NightmareSpino_C 1 100 0</v>
      </c>
      <c r="H128" s="23" t="s">
        <v>1987</v>
      </c>
      <c r="I128" s="71" t="str">
        <f t="shared" si="50"/>
        <v>EngramEntry_Summon_NightmareSpino_C</v>
      </c>
      <c r="J128" s="23" t="str">
        <f t="shared" si="51"/>
        <v>OverrideNamedEngramEntries=(EngramEntry_Summon_NightmareSpino_C,EngramHidden=true)</v>
      </c>
      <c r="K128" s="2"/>
    </row>
    <row r="129">
      <c r="A129" s="6"/>
      <c r="B129" s="6"/>
      <c r="C129" s="4">
        <f t="shared" si="53"/>
        <v>13</v>
      </c>
      <c r="D129" s="4" t="str">
        <f t="shared" si="54"/>
        <v>PrimalItemConsumable_Summon</v>
      </c>
      <c r="E129" s="21" t="s">
        <v>1988</v>
      </c>
      <c r="F129" s="21" t="s">
        <v>1989</v>
      </c>
      <c r="G129" s="21" t="str">
        <f t="shared" si="49"/>
        <v>cheat gfi PrimalItemConsumable_Summon_NightmareTrike_C 1 100 0</v>
      </c>
      <c r="H129" s="21" t="s">
        <v>1990</v>
      </c>
      <c r="I129" s="70" t="str">
        <f t="shared" si="50"/>
        <v>EngramEntry_Summon_NightmareTrike_C</v>
      </c>
      <c r="J129" s="21" t="str">
        <f t="shared" si="51"/>
        <v>OverrideNamedEngramEntries=(EngramEntry_Summon_NightmareTrike_C,EngramHidden=true)</v>
      </c>
      <c r="K129" s="2"/>
    </row>
    <row r="130">
      <c r="A130" s="6"/>
      <c r="B130" s="6"/>
      <c r="C130" s="4">
        <f t="shared" si="53"/>
        <v>13</v>
      </c>
      <c r="D130" s="4" t="str">
        <f t="shared" si="54"/>
        <v>PrimalItemConsumable_Summon</v>
      </c>
      <c r="E130" s="23" t="s">
        <v>1991</v>
      </c>
      <c r="F130" s="23" t="s">
        <v>1992</v>
      </c>
      <c r="G130" s="23" t="str">
        <f t="shared" si="49"/>
        <v>cheat gfi PrimalItemConsumable_Summon_NightmareYuty_C 1 100 0</v>
      </c>
      <c r="H130" s="23" t="s">
        <v>1993</v>
      </c>
      <c r="I130" s="71" t="str">
        <f t="shared" si="50"/>
        <v>EngramEntry_Summon_NightmareYuty_C</v>
      </c>
      <c r="J130" s="23" t="str">
        <f t="shared" si="51"/>
        <v>OverrideNamedEngramEntries=(EngramEntry_Summon_NightmareYuty_C,EngramHidden=true)</v>
      </c>
      <c r="K130" s="2"/>
    </row>
    <row r="131">
      <c r="A131" s="6"/>
      <c r="B131" s="13"/>
      <c r="C131" s="4">
        <f t="shared" si="53"/>
        <v>13</v>
      </c>
      <c r="D131" s="4" t="s">
        <v>1948</v>
      </c>
      <c r="E131" s="21" t="s">
        <v>1994</v>
      </c>
      <c r="F131" s="21" t="s">
        <v>1995</v>
      </c>
      <c r="G131" s="21" t="str">
        <f t="shared" si="49"/>
        <v>cheat gfi PrimalItemConsumable_VolcanicGuardianSummon_C 1 100 0</v>
      </c>
      <c r="H131" s="21" t="s">
        <v>1996</v>
      </c>
      <c r="I131" s="70" t="str">
        <f t="shared" si="50"/>
        <v>EngramEntry_VolcanicGuardianSummon_C</v>
      </c>
      <c r="J131" s="21" t="str">
        <f t="shared" si="51"/>
        <v>OverrideNamedEngramEntries=(EngramEntry_VolcanicGuardianSummon_C,EngramHidden=true)</v>
      </c>
      <c r="K131" s="2"/>
    </row>
    <row r="132">
      <c r="A132" s="6"/>
      <c r="B132" s="14"/>
      <c r="C132" s="15"/>
      <c r="D132" s="15"/>
      <c r="E132" s="15"/>
      <c r="F132" s="15"/>
      <c r="G132" s="15"/>
      <c r="H132" s="15"/>
      <c r="I132" s="15"/>
      <c r="J132" s="15"/>
      <c r="K132" s="2"/>
    </row>
    <row r="133">
      <c r="A133" s="6"/>
      <c r="B133" s="78" t="s">
        <v>1997</v>
      </c>
      <c r="C133" s="4">
        <f>IF(D133="PrimalItemConsumable_Blood",1)+IF(D133="PrimalItemConsumable_Narcotic",2)+IF(D133="PrimalItemConsumable_Seed",3)+IF(D133="PrimalItemConsumable_Fruit",4)+IF(D133="PrimalItemConsumable_Egg_Unfertilized",5)+IF(D133="PrimalItemConsumable_Kibble",6)+IF(D133="PrimalItemConsumable_Potion",7)+IF(D133="PrimalItemConsumable_XP",8)+IF(D133="PrimalItemConsumable_Food",9)+IF(D133="PrimalItemResource",10)+IF(D133="PrimalItemResource_Hide",11)+IF(D133="PrimalItemResource_MetalIngot",12)+IF(D133="PrimalItemConsumable_Summon",13)+IF(D133="PrimalItemStructure",14)+IF(D133="PrimalItem_Weapon",15)+IF(D133="PrimalItemAmmo",16)+IF(D133="PrimalItemArmor",17)+IF(D133="PrimalItemSaddle",18)+IF(D133="PrimalItemConsumable_UnderwaterEgg",19)+IF(D133="PrimalItemConsumable_Egg",20)</f>
        <v>14</v>
      </c>
      <c r="D133" s="4" t="str">
        <f>Left(F133,find("Structure",F133)+8)</f>
        <v>PrimalItemStructure</v>
      </c>
      <c r="E133" s="21" t="s">
        <v>1998</v>
      </c>
      <c r="F133" s="21" t="s">
        <v>1999</v>
      </c>
      <c r="G133" s="21" t="str">
        <f t="shared" ref="G133:G143" si="55">"cheat gfi "&amp;F133&amp;" 1 100 0"</f>
        <v>cheat gfi PrimalItemStructure_AnvilBench_Chaos_C 1 100 0</v>
      </c>
      <c r="H133" s="21" t="s">
        <v>2000</v>
      </c>
      <c r="I133" s="70" t="str">
        <f t="shared" ref="I133:I143" si="56">CONCATENATE("EngramEntry",RIGHT(F133,LEN(F133) - (FIND("_",F133) - 1)))</f>
        <v>EngramEntry_AnvilBench_Chaos_C</v>
      </c>
      <c r="J133" s="21" t="str">
        <f t="shared" ref="J133:J143" si="57">"OverrideNamedEngramEntries=("&amp;I133&amp;",EngramHidden=true)"</f>
        <v>OverrideNamedEngramEntries=(EngramEntry_AnvilBench_Chaos_C,EngramHidden=true)</v>
      </c>
      <c r="K133" s="2"/>
    </row>
    <row r="134">
      <c r="A134" s="6"/>
      <c r="B134" s="6"/>
      <c r="C134" s="4"/>
      <c r="D134" s="4"/>
      <c r="E134" s="22" t="s">
        <v>2001</v>
      </c>
      <c r="F134" s="22" t="s">
        <v>2002</v>
      </c>
      <c r="G134" s="23" t="str">
        <f t="shared" si="55"/>
        <v>cheat gfi PrimalItemStructure_ChaosBed_C 1 100 0</v>
      </c>
      <c r="H134" s="22" t="s">
        <v>2003</v>
      </c>
      <c r="I134" s="71" t="str">
        <f t="shared" si="56"/>
        <v>EngramEntry_ChaosBed_C</v>
      </c>
      <c r="J134" s="23" t="str">
        <f t="shared" si="57"/>
        <v>OverrideNamedEngramEntries=(EngramEntry_ChaosBed_C,EngramHidden=true)</v>
      </c>
      <c r="K134" s="2"/>
    </row>
    <row r="135">
      <c r="A135" s="6"/>
      <c r="B135" s="6"/>
      <c r="C135" s="4">
        <f t="shared" ref="C135:C137" si="58">IF(D135="PrimalItemConsumable_Blood",1)+IF(D135="PrimalItemConsumable_Narcotic",2)+IF(D135="PrimalItemConsumable_Seed",3)+IF(D135="PrimalItemConsumable_Fruit",4)+IF(D135="PrimalItemConsumable_Egg_Unfertilized",5)+IF(D135="PrimalItemConsumable_Kibble",6)+IF(D135="PrimalItemConsumable_Potion",7)+IF(D135="PrimalItemConsumable_XP",8)+IF(D135="PrimalItemConsumable_Food",9)+IF(D135="PrimalItemResource",10)+IF(D135="PrimalItemResource_Hide",11)+IF(D135="PrimalItemResource_MetalIngot",12)+IF(D135="PrimalItemConsumable_Summon",13)+IF(D135="PrimalItemStructure",14)+IF(D135="PrimalItem_Weapon",15)+IF(D135="PrimalItemAmmo",16)+IF(D135="PrimalItemArmor",17)+IF(D135="PrimalItemSaddle",18)+IF(D135="PrimalItemConsumable_UnderwaterEgg",19)+IF(D135="PrimalItemConsumable_Egg",20)</f>
        <v>14</v>
      </c>
      <c r="D135" s="4" t="str">
        <f t="shared" ref="D135:D137" si="59">Left(F135,find("Structure",F135)+8)</f>
        <v>PrimalItemStructure</v>
      </c>
      <c r="E135" s="21" t="s">
        <v>2004</v>
      </c>
      <c r="F135" s="21" t="s">
        <v>2005</v>
      </c>
      <c r="G135" s="21" t="str">
        <f t="shared" si="55"/>
        <v>cheat gfi PrimalItemStructure_Forge_Chaos_C 1 100 0</v>
      </c>
      <c r="H135" s="21" t="s">
        <v>2006</v>
      </c>
      <c r="I135" s="70" t="str">
        <f t="shared" si="56"/>
        <v>EngramEntry_Forge_Chaos_C</v>
      </c>
      <c r="J135" s="21" t="str">
        <f t="shared" si="57"/>
        <v>OverrideNamedEngramEntries=(EngramEntry_Forge_Chaos_C,EngramHidden=true)</v>
      </c>
      <c r="K135" s="2"/>
    </row>
    <row r="136">
      <c r="A136" s="6"/>
      <c r="B136" s="6"/>
      <c r="C136" s="4">
        <f t="shared" si="58"/>
        <v>14</v>
      </c>
      <c r="D136" s="4" t="str">
        <f t="shared" si="59"/>
        <v>PrimalItemStructure</v>
      </c>
      <c r="E136" s="23" t="s">
        <v>2007</v>
      </c>
      <c r="F136" s="23" t="s">
        <v>2008</v>
      </c>
      <c r="G136" s="23" t="str">
        <f t="shared" si="55"/>
        <v>cheat gfi PrimalItemStructure_MetalSpikeWall_Alpha_C 1 100 0</v>
      </c>
      <c r="H136" s="23" t="s">
        <v>2009</v>
      </c>
      <c r="I136" s="71" t="str">
        <f t="shared" si="56"/>
        <v>EngramEntry_MetalSpikeWall_Alpha_C</v>
      </c>
      <c r="J136" s="23" t="str">
        <f t="shared" si="57"/>
        <v>OverrideNamedEngramEntries=(EngramEntry_MetalSpikeWall_Alpha_C,EngramHidden=true)</v>
      </c>
      <c r="K136" s="2"/>
    </row>
    <row r="137">
      <c r="A137" s="6"/>
      <c r="B137" s="6"/>
      <c r="C137" s="4">
        <f t="shared" si="58"/>
        <v>14</v>
      </c>
      <c r="D137" s="4" t="str">
        <f t="shared" si="59"/>
        <v>PrimalItemStructure</v>
      </c>
      <c r="E137" s="21" t="s">
        <v>2010</v>
      </c>
      <c r="F137" s="21" t="s">
        <v>2011</v>
      </c>
      <c r="G137" s="21" t="str">
        <f t="shared" si="55"/>
        <v>cheat gfi PrimalItemStructure_MetalSpikeWall_Mythic_C 1 100 0</v>
      </c>
      <c r="H137" s="21" t="s">
        <v>2012</v>
      </c>
      <c r="I137" s="70" t="str">
        <f t="shared" si="56"/>
        <v>EngramEntry_MetalSpikeWall_Mythic_C</v>
      </c>
      <c r="J137" s="21" t="str">
        <f t="shared" si="57"/>
        <v>OverrideNamedEngramEntries=(EngramEntry_MetalSpikeWall_Mythic_C,EngramHidden=true)</v>
      </c>
      <c r="K137" s="2"/>
    </row>
    <row r="138">
      <c r="A138" s="6"/>
      <c r="B138" s="6"/>
      <c r="C138" s="4"/>
      <c r="D138" s="4"/>
      <c r="E138" s="22" t="s">
        <v>2013</v>
      </c>
      <c r="F138" s="22" t="s">
        <v>2014</v>
      </c>
      <c r="G138" s="23" t="str">
        <f t="shared" si="55"/>
        <v>cheat gfi PrimalItemStructure_MetalSpikeWall_Toxic_C 1 100 0</v>
      </c>
      <c r="H138" s="22" t="s">
        <v>2015</v>
      </c>
      <c r="I138" s="71" t="str">
        <f t="shared" si="56"/>
        <v>EngramEntry_MetalSpikeWall_Toxic_C</v>
      </c>
      <c r="J138" s="23" t="str">
        <f t="shared" si="57"/>
        <v>OverrideNamedEngramEntries=(EngramEntry_MetalSpikeWall_Toxic_C,EngramHidden=true)</v>
      </c>
      <c r="K138" s="2"/>
    </row>
    <row r="139">
      <c r="A139" s="6"/>
      <c r="B139" s="6"/>
      <c r="C139" s="4">
        <f t="shared" ref="C139:C143" si="60">IF(D139="PrimalItemConsumable_Blood",1)+IF(D139="PrimalItemConsumable_Narcotic",2)+IF(D139="PrimalItemConsumable_Seed",3)+IF(D139="PrimalItemConsumable_Fruit",4)+IF(D139="PrimalItemConsumable_Egg_Unfertilized",5)+IF(D139="PrimalItemConsumable_Kibble",6)+IF(D139="PrimalItemConsumable_Potion",7)+IF(D139="PrimalItemConsumable_XP",8)+IF(D139="PrimalItemConsumable_Food",9)+IF(D139="PrimalItemResource",10)+IF(D139="PrimalItemResource_Hide",11)+IF(D139="PrimalItemResource_MetalIngot",12)+IF(D139="PrimalItemConsumable_Summon",13)+IF(D139="PrimalItemStructure",14)+IF(D139="PrimalItem_Weapon",15)+IF(D139="PrimalItemAmmo",16)+IF(D139="PrimalItemArmor",17)+IF(D139="PrimalItemSaddle",18)+IF(D139="PrimalItemConsumable_UnderwaterEgg",19)+IF(D139="PrimalItemConsumable_Egg",20)</f>
        <v>14</v>
      </c>
      <c r="D139" s="4" t="str">
        <f t="shared" ref="D139:D143" si="61">Left(F139,find("Structure",F139)+8)</f>
        <v>PrimalItemStructure</v>
      </c>
      <c r="E139" s="20" t="s">
        <v>2016</v>
      </c>
      <c r="F139" s="20" t="s">
        <v>2017</v>
      </c>
      <c r="G139" s="21" t="str">
        <f t="shared" si="55"/>
        <v>cheat gfi PrimalItemStructure_PrimalTekShield_C 1 100 0</v>
      </c>
      <c r="H139" s="20" t="s">
        <v>2018</v>
      </c>
      <c r="I139" s="70" t="str">
        <f t="shared" si="56"/>
        <v>EngramEntry_PrimalTekShield_C</v>
      </c>
      <c r="J139" s="21" t="str">
        <f t="shared" si="57"/>
        <v>OverrideNamedEngramEntries=(EngramEntry_PrimalTekShield_C,EngramHidden=true)</v>
      </c>
      <c r="K139" s="2"/>
    </row>
    <row r="140">
      <c r="A140" s="6"/>
      <c r="B140" s="6"/>
      <c r="C140" s="4">
        <f t="shared" si="60"/>
        <v>14</v>
      </c>
      <c r="D140" s="4" t="str">
        <f t="shared" si="61"/>
        <v>PrimalItemStructure</v>
      </c>
      <c r="E140" s="23" t="s">
        <v>2019</v>
      </c>
      <c r="F140" s="23" t="s">
        <v>2020</v>
      </c>
      <c r="G140" s="23" t="str">
        <f t="shared" si="55"/>
        <v>cheat gfi PrimalItemStructure_Turret_Alpha_C 1 100 0</v>
      </c>
      <c r="H140" s="23" t="s">
        <v>2021</v>
      </c>
      <c r="I140" s="71" t="str">
        <f t="shared" si="56"/>
        <v>EngramEntry_Turret_Alpha_C</v>
      </c>
      <c r="J140" s="23" t="str">
        <f t="shared" si="57"/>
        <v>OverrideNamedEngramEntries=(EngramEntry_Turret_Alpha_C,EngramHidden=true)</v>
      </c>
      <c r="K140" s="2"/>
    </row>
    <row r="141">
      <c r="A141" s="6"/>
      <c r="B141" s="6"/>
      <c r="C141" s="4">
        <f t="shared" si="60"/>
        <v>14</v>
      </c>
      <c r="D141" s="4" t="str">
        <f t="shared" si="61"/>
        <v>PrimalItemStructure</v>
      </c>
      <c r="E141" s="21" t="s">
        <v>2022</v>
      </c>
      <c r="F141" s="21" t="s">
        <v>2023</v>
      </c>
      <c r="G141" s="21" t="str">
        <f t="shared" si="55"/>
        <v>cheat gfi PrimalItemStructure_Turret_Electric_C 1 100 0</v>
      </c>
      <c r="H141" s="21" t="s">
        <v>2024</v>
      </c>
      <c r="I141" s="70" t="str">
        <f t="shared" si="56"/>
        <v>EngramEntry_Turret_Electric_C</v>
      </c>
      <c r="J141" s="21" t="str">
        <f t="shared" si="57"/>
        <v>OverrideNamedEngramEntries=(EngramEntry_Turret_Electric_C,EngramHidden=true)</v>
      </c>
      <c r="K141" s="2"/>
    </row>
    <row r="142">
      <c r="A142" s="6"/>
      <c r="B142" s="6"/>
      <c r="C142" s="4">
        <f t="shared" si="60"/>
        <v>14</v>
      </c>
      <c r="D142" s="4" t="str">
        <f t="shared" si="61"/>
        <v>PrimalItemStructure</v>
      </c>
      <c r="E142" s="23" t="s">
        <v>2025</v>
      </c>
      <c r="F142" s="23" t="s">
        <v>2026</v>
      </c>
      <c r="G142" s="23" t="str">
        <f t="shared" si="55"/>
        <v>cheat gfi PrimalItemStructure_Turret_Hydro_C 1 100 0</v>
      </c>
      <c r="H142" s="23" t="s">
        <v>2027</v>
      </c>
      <c r="I142" s="71" t="str">
        <f t="shared" si="56"/>
        <v>EngramEntry_Turret_Hydro_C</v>
      </c>
      <c r="J142" s="23" t="str">
        <f t="shared" si="57"/>
        <v>OverrideNamedEngramEntries=(EngramEntry_Turret_Hydro_C,EngramHidden=true)</v>
      </c>
      <c r="K142" s="2"/>
    </row>
    <row r="143">
      <c r="A143" s="6"/>
      <c r="B143" s="13"/>
      <c r="C143" s="4">
        <f t="shared" si="60"/>
        <v>14</v>
      </c>
      <c r="D143" s="4" t="str">
        <f t="shared" si="61"/>
        <v>PrimalItemStructure</v>
      </c>
      <c r="E143" s="21" t="s">
        <v>2028</v>
      </c>
      <c r="F143" s="21" t="s">
        <v>2029</v>
      </c>
      <c r="G143" s="21" t="str">
        <f t="shared" si="55"/>
        <v>cheat gfi PrimalItemStructure_Turret_Volcanic_C 1 100 0</v>
      </c>
      <c r="H143" s="21" t="s">
        <v>2030</v>
      </c>
      <c r="I143" s="70" t="str">
        <f t="shared" si="56"/>
        <v>EngramEntry_Turret_Volcanic_C</v>
      </c>
      <c r="J143" s="21" t="str">
        <f t="shared" si="57"/>
        <v>OverrideNamedEngramEntries=(EngramEntry_Turret_Volcanic_C,EngramHidden=true)</v>
      </c>
      <c r="K143" s="2"/>
    </row>
    <row r="144">
      <c r="A144" s="6"/>
      <c r="B144" s="14"/>
      <c r="C144" s="15"/>
      <c r="D144" s="15"/>
      <c r="E144" s="15"/>
      <c r="F144" s="15"/>
      <c r="G144" s="15"/>
      <c r="H144" s="15"/>
      <c r="I144" s="15"/>
      <c r="J144" s="15"/>
      <c r="K144" s="2"/>
    </row>
    <row r="145">
      <c r="A145" s="6"/>
      <c r="B145" s="79" t="s">
        <v>2031</v>
      </c>
      <c r="C145" s="72">
        <v>15.0</v>
      </c>
      <c r="D145" s="72" t="s">
        <v>1944</v>
      </c>
      <c r="E145" s="20" t="s">
        <v>2032</v>
      </c>
      <c r="F145" s="20" t="s">
        <v>2033</v>
      </c>
      <c r="G145" s="21" t="str">
        <f t="shared" ref="G145:G177" si="62">"cheat gfi "&amp;F145&amp;" 1 100 0"</f>
        <v>cheat gfi PrimalItem_GrapplingBow_C 1 100 0</v>
      </c>
      <c r="H145" s="20" t="s">
        <v>2034</v>
      </c>
      <c r="I145" s="70" t="str">
        <f t="shared" ref="I145:I177" si="63">CONCATENATE("EngramEntry",RIGHT(F145,LEN(F145) - (FIND("_",F145) - 1)))</f>
        <v>EngramEntry_GrapplingBow_C</v>
      </c>
      <c r="J145" s="21" t="str">
        <f t="shared" ref="J145:J177" si="64">"OverrideNamedEngramEntries=("&amp;I145&amp;",EngramHidden=true)"</f>
        <v>OverrideNamedEngramEntries=(EngramEntry_GrapplingBow_C,EngramHidden=true)</v>
      </c>
      <c r="K145" s="2"/>
    </row>
    <row r="146">
      <c r="A146" s="6"/>
      <c r="B146" s="6"/>
      <c r="C146" s="72">
        <v>15.0</v>
      </c>
      <c r="D146" s="72" t="s">
        <v>1944</v>
      </c>
      <c r="E146" s="22" t="s">
        <v>2035</v>
      </c>
      <c r="F146" s="22" t="s">
        <v>2036</v>
      </c>
      <c r="G146" s="23" t="str">
        <f t="shared" si="62"/>
        <v>cheat gfi Primalitem_ReusableParachute_C 1 100 0</v>
      </c>
      <c r="H146" s="22" t="s">
        <v>2037</v>
      </c>
      <c r="I146" s="71" t="str">
        <f t="shared" si="63"/>
        <v>EngramEntry_ReusableParachute_C</v>
      </c>
      <c r="J146" s="23" t="str">
        <f t="shared" si="64"/>
        <v>OverrideNamedEngramEntries=(EngramEntry_ReusableParachute_C,EngramHidden=true)</v>
      </c>
      <c r="K146" s="2"/>
    </row>
    <row r="147">
      <c r="A147" s="6"/>
      <c r="B147" s="6"/>
      <c r="C147" s="72">
        <v>15.0</v>
      </c>
      <c r="D147" s="72" t="s">
        <v>1944</v>
      </c>
      <c r="E147" s="20" t="s">
        <v>2038</v>
      </c>
      <c r="F147" s="20" t="s">
        <v>2039</v>
      </c>
      <c r="G147" s="21" t="str">
        <f t="shared" si="62"/>
        <v>cheat gfi PrimalItem_ReusableSpear_C 1 100 0</v>
      </c>
      <c r="H147" s="20" t="s">
        <v>2040</v>
      </c>
      <c r="I147" s="70" t="str">
        <f t="shared" si="63"/>
        <v>EngramEntry_ReusableSpear_C</v>
      </c>
      <c r="J147" s="21" t="str">
        <f t="shared" si="64"/>
        <v>OverrideNamedEngramEntries=(EngramEntry_ReusableSpear_C,EngramHidden=true)</v>
      </c>
      <c r="K147" s="2"/>
    </row>
    <row r="148">
      <c r="A148" s="6"/>
      <c r="B148" s="6"/>
      <c r="C148" s="4">
        <f t="shared" ref="C148:C177" si="65">IF(D148="PrimalItemConsumable_Blood",1)+IF(D148="PrimalItemConsumable_Narcotic",2)+IF(D148="PrimalItemConsumable_Seed",3)+IF(D148="PrimalItemConsumable_Fruit",4)+IF(D148="PrimalItemConsumable_Egg_Unfertilized",5)+IF(D148="PrimalItemConsumable_Kibble",6)+IF(D148="PrimalItemConsumable_Potion",7)+IF(D148="PrimalItemConsumable_XP",8)+IF(D148="PrimalItemConsumable_Food",9)+IF(D148="PrimalItemResource",10)+IF(D148="PrimalItemResource_Hide",11)+IF(D148="PrimalItemResource_MetalIngot",12)+IF(D148="PrimalItemConsumable_Summon",13)+IF(D148="PrimalItemStructure",14)+IF(D148="PrimalItem_Weapon",15)+IF(D148="PrimalItemAmmo",16)+IF(D148="PrimalItemArmor",17)+IF(D148="PrimalItemSaddle",18)+IF(D148="PrimalItemConsumable_UnderwaterEgg",19)+IF(D148="PrimalItemConsumable_Egg",20)</f>
        <v>15</v>
      </c>
      <c r="D148" s="4" t="str">
        <f t="shared" ref="D148:D164" si="66">Left(F148,find("Weapon",F148)+5)</f>
        <v>PrimalItem_Weapon</v>
      </c>
      <c r="E148" s="23" t="s">
        <v>2041</v>
      </c>
      <c r="F148" s="23" t="s">
        <v>2042</v>
      </c>
      <c r="G148" s="23" t="str">
        <f t="shared" si="62"/>
        <v>cheat gfi PrimalItem_WeaponMetalHatchet_Alpha_C 1 100 0</v>
      </c>
      <c r="H148" s="23" t="s">
        <v>2043</v>
      </c>
      <c r="I148" s="71" t="str">
        <f t="shared" si="63"/>
        <v>EngramEntry_WeaponMetalHatchet_Alpha_C</v>
      </c>
      <c r="J148" s="23" t="str">
        <f t="shared" si="64"/>
        <v>OverrideNamedEngramEntries=(EngramEntry_WeaponMetalHatchet_Alpha_C,EngramHidden=true)</v>
      </c>
      <c r="K148" s="2"/>
    </row>
    <row r="149">
      <c r="A149" s="6"/>
      <c r="B149" s="6"/>
      <c r="C149" s="4">
        <f t="shared" si="65"/>
        <v>15</v>
      </c>
      <c r="D149" s="4" t="str">
        <f t="shared" si="66"/>
        <v>PrimalItem_Weapon</v>
      </c>
      <c r="E149" s="20" t="s">
        <v>2044</v>
      </c>
      <c r="F149" s="20" t="s">
        <v>2045</v>
      </c>
      <c r="G149" s="21" t="str">
        <f t="shared" si="62"/>
        <v>cheat gfi PrimalItem_WeaponMetalHatchet_Toxic_C 1 100 0</v>
      </c>
      <c r="H149" s="20" t="s">
        <v>2046</v>
      </c>
      <c r="I149" s="70" t="str">
        <f t="shared" si="63"/>
        <v>EngramEntry_WeaponMetalHatchet_Toxic_C</v>
      </c>
      <c r="J149" s="21" t="str">
        <f t="shared" si="64"/>
        <v>OverrideNamedEngramEntries=(EngramEntry_WeaponMetalHatchet_Toxic_C,EngramHidden=true)</v>
      </c>
      <c r="K149" s="2"/>
    </row>
    <row r="150">
      <c r="A150" s="6"/>
      <c r="B150" s="6"/>
      <c r="C150" s="4">
        <f t="shared" si="65"/>
        <v>15</v>
      </c>
      <c r="D150" s="4" t="str">
        <f t="shared" si="66"/>
        <v>PrimalItem_Weapon</v>
      </c>
      <c r="E150" s="23" t="s">
        <v>2047</v>
      </c>
      <c r="F150" s="23" t="s">
        <v>2048</v>
      </c>
      <c r="G150" s="23" t="str">
        <f t="shared" si="62"/>
        <v>cheat gfi PrimalItem_WeaponMetalPick_Alpha_C 1 100 0</v>
      </c>
      <c r="H150" s="23" t="s">
        <v>2049</v>
      </c>
      <c r="I150" s="71" t="str">
        <f t="shared" si="63"/>
        <v>EngramEntry_WeaponMetalPick_Alpha_C</v>
      </c>
      <c r="J150" s="23" t="str">
        <f t="shared" si="64"/>
        <v>OverrideNamedEngramEntries=(EngramEntry_WeaponMetalPick_Alpha_C,EngramHidden=true)</v>
      </c>
      <c r="K150" s="2"/>
    </row>
    <row r="151">
      <c r="A151" s="6"/>
      <c r="B151" s="6"/>
      <c r="C151" s="4">
        <f t="shared" si="65"/>
        <v>15</v>
      </c>
      <c r="D151" s="4" t="str">
        <f t="shared" si="66"/>
        <v>PrimalItem_Weapon</v>
      </c>
      <c r="E151" s="20" t="s">
        <v>2050</v>
      </c>
      <c r="F151" s="20" t="s">
        <v>2051</v>
      </c>
      <c r="G151" s="21" t="str">
        <f t="shared" si="62"/>
        <v>cheat gfi PrimalItem_WeaponMetalPick_Toxic_C 1 100 0</v>
      </c>
      <c r="H151" s="20" t="s">
        <v>2052</v>
      </c>
      <c r="I151" s="70" t="str">
        <f t="shared" si="63"/>
        <v>EngramEntry_WeaponMetalPick_Toxic_C</v>
      </c>
      <c r="J151" s="21" t="str">
        <f t="shared" si="64"/>
        <v>OverrideNamedEngramEntries=(EngramEntry_WeaponMetalPick_Toxic_C,EngramHidden=true)</v>
      </c>
      <c r="K151" s="2"/>
    </row>
    <row r="152">
      <c r="A152" s="6"/>
      <c r="B152" s="6"/>
      <c r="C152" s="4">
        <f t="shared" si="65"/>
        <v>15</v>
      </c>
      <c r="D152" s="4" t="str">
        <f t="shared" si="66"/>
        <v>PrimalItem_Weapon</v>
      </c>
      <c r="E152" s="23" t="s">
        <v>2053</v>
      </c>
      <c r="F152" s="23" t="s">
        <v>2054</v>
      </c>
      <c r="G152" s="23" t="str">
        <f t="shared" si="62"/>
        <v>cheat gfi PrimalItem_WeaponPike_Alpha_C 1 100 0</v>
      </c>
      <c r="H152" s="23" t="s">
        <v>2055</v>
      </c>
      <c r="I152" s="71" t="str">
        <f t="shared" si="63"/>
        <v>EngramEntry_WeaponPike_Alpha_C</v>
      </c>
      <c r="J152" s="23" t="str">
        <f t="shared" si="64"/>
        <v>OverrideNamedEngramEntries=(EngramEntry_WeaponPike_Alpha_C,EngramHidden=true)</v>
      </c>
      <c r="K152" s="2"/>
    </row>
    <row r="153">
      <c r="A153" s="6"/>
      <c r="B153" s="6"/>
      <c r="C153" s="4">
        <f t="shared" si="65"/>
        <v>15</v>
      </c>
      <c r="D153" s="4" t="str">
        <f t="shared" si="66"/>
        <v>PrimalItem_Weapon</v>
      </c>
      <c r="E153" s="20" t="s">
        <v>2056</v>
      </c>
      <c r="F153" s="20" t="s">
        <v>2057</v>
      </c>
      <c r="G153" s="21" t="str">
        <f t="shared" si="62"/>
        <v>cheat gfi PrimalItem_WeaponPike_Toxic_C 1 100 0</v>
      </c>
      <c r="H153" s="20" t="s">
        <v>2058</v>
      </c>
      <c r="I153" s="70" t="str">
        <f t="shared" si="63"/>
        <v>EngramEntry_WeaponPike_Toxic_C</v>
      </c>
      <c r="J153" s="21" t="str">
        <f t="shared" si="64"/>
        <v>OverrideNamedEngramEntries=(EngramEntry_WeaponPike_Toxic_C,EngramHidden=true)</v>
      </c>
      <c r="K153" s="2"/>
    </row>
    <row r="154">
      <c r="A154" s="6"/>
      <c r="B154" s="6"/>
      <c r="C154" s="4">
        <f t="shared" si="65"/>
        <v>15</v>
      </c>
      <c r="D154" s="4" t="str">
        <f t="shared" si="66"/>
        <v>PrimalItem_Weapon</v>
      </c>
      <c r="E154" s="23" t="s">
        <v>2059</v>
      </c>
      <c r="F154" s="23" t="s">
        <v>2060</v>
      </c>
      <c r="G154" s="23" t="str">
        <f t="shared" si="62"/>
        <v>cheat gfi PrimalItem_WeaponRocketLauncher_Demonic_C 1 100 0</v>
      </c>
      <c r="H154" s="23" t="s">
        <v>2061</v>
      </c>
      <c r="I154" s="71" t="str">
        <f t="shared" si="63"/>
        <v>EngramEntry_WeaponRocketLauncher_Demonic_C</v>
      </c>
      <c r="J154" s="23" t="str">
        <f t="shared" si="64"/>
        <v>OverrideNamedEngramEntries=(EngramEntry_WeaponRocketLauncher_Demonic_C,EngramHidden=true)</v>
      </c>
      <c r="K154" s="2"/>
    </row>
    <row r="155">
      <c r="A155" s="6"/>
      <c r="B155" s="6"/>
      <c r="C155" s="4">
        <f t="shared" si="65"/>
        <v>15</v>
      </c>
      <c r="D155" s="4" t="str">
        <f t="shared" si="66"/>
        <v>PrimalItem_Weapon</v>
      </c>
      <c r="E155" s="21" t="s">
        <v>2062</v>
      </c>
      <c r="F155" s="21" t="s">
        <v>2063</v>
      </c>
      <c r="G155" s="21" t="str">
        <f t="shared" si="62"/>
        <v>cheat gfi PrimalItem_WeaponSickle_Alpha_C 1 100 0</v>
      </c>
      <c r="H155" s="21" t="s">
        <v>2064</v>
      </c>
      <c r="I155" s="70" t="str">
        <f t="shared" si="63"/>
        <v>EngramEntry_WeaponSickle_Alpha_C</v>
      </c>
      <c r="J155" s="21" t="str">
        <f t="shared" si="64"/>
        <v>OverrideNamedEngramEntries=(EngramEntry_WeaponSickle_Alpha_C,EngramHidden=true)</v>
      </c>
      <c r="K155" s="2"/>
    </row>
    <row r="156">
      <c r="A156" s="6"/>
      <c r="B156" s="6"/>
      <c r="C156" s="4">
        <f t="shared" si="65"/>
        <v>15</v>
      </c>
      <c r="D156" s="4" t="str">
        <f t="shared" si="66"/>
        <v>PrimalItem_Weapon</v>
      </c>
      <c r="E156" s="22" t="s">
        <v>2065</v>
      </c>
      <c r="F156" s="22" t="s">
        <v>2066</v>
      </c>
      <c r="G156" s="23" t="str">
        <f t="shared" si="62"/>
        <v>cheat gfi PrimalItem_WeaponSickle_Toxic_C 1 100 0</v>
      </c>
      <c r="H156" s="22" t="s">
        <v>2067</v>
      </c>
      <c r="I156" s="71" t="str">
        <f t="shared" si="63"/>
        <v>EngramEntry_WeaponSickle_Toxic_C</v>
      </c>
      <c r="J156" s="23" t="str">
        <f t="shared" si="64"/>
        <v>OverrideNamedEngramEntries=(EngramEntry_WeaponSickle_Toxic_C,EngramHidden=true)</v>
      </c>
      <c r="K156" s="2"/>
    </row>
    <row r="157">
      <c r="A157" s="6"/>
      <c r="B157" s="6"/>
      <c r="C157" s="80">
        <f t="shared" si="65"/>
        <v>15</v>
      </c>
      <c r="D157" s="81" t="str">
        <f t="shared" si="66"/>
        <v>PrimalItem_Weapon</v>
      </c>
      <c r="E157" s="82" t="s">
        <v>2068</v>
      </c>
      <c r="F157" s="83" t="s">
        <v>2069</v>
      </c>
      <c r="G157" s="21" t="str">
        <f t="shared" si="62"/>
        <v>cheat gfi PrimalItem_WeaponMetalPick_Mythic_C 1 100 0</v>
      </c>
      <c r="H157" s="83" t="s">
        <v>2070</v>
      </c>
      <c r="I157" s="70" t="str">
        <f t="shared" si="63"/>
        <v>EngramEntry_WeaponMetalPick_Mythic_C</v>
      </c>
      <c r="J157" s="21" t="str">
        <f t="shared" si="64"/>
        <v>OverrideNamedEngramEntries=(EngramEntry_WeaponMetalPick_Mythic_C,EngramHidden=true)</v>
      </c>
      <c r="K157" s="2"/>
    </row>
    <row r="158">
      <c r="A158" s="6"/>
      <c r="B158" s="6"/>
      <c r="C158" s="84">
        <f t="shared" si="65"/>
        <v>15</v>
      </c>
      <c r="D158" s="85" t="str">
        <f t="shared" si="66"/>
        <v>PrimalItem_Weapon</v>
      </c>
      <c r="E158" s="86" t="s">
        <v>2071</v>
      </c>
      <c r="F158" s="87" t="s">
        <v>2072</v>
      </c>
      <c r="G158" s="23" t="str">
        <f t="shared" si="62"/>
        <v>cheat gfi PrimalItem_WeaponMetalHatchet_Mythic_C 1 100 0</v>
      </c>
      <c r="H158" s="87" t="s">
        <v>2073</v>
      </c>
      <c r="I158" s="71" t="str">
        <f t="shared" si="63"/>
        <v>EngramEntry_WeaponMetalHatchet_Mythic_C</v>
      </c>
      <c r="J158" s="23" t="str">
        <f t="shared" si="64"/>
        <v>OverrideNamedEngramEntries=(EngramEntry_WeaponMetalHatchet_Mythic_C,EngramHidden=true)</v>
      </c>
      <c r="K158" s="2"/>
    </row>
    <row r="159">
      <c r="A159" s="6"/>
      <c r="B159" s="6"/>
      <c r="C159" s="80">
        <f t="shared" si="65"/>
        <v>15</v>
      </c>
      <c r="D159" s="81" t="str">
        <f t="shared" si="66"/>
        <v>PrimalItem_Weapon</v>
      </c>
      <c r="E159" s="82" t="s">
        <v>2074</v>
      </c>
      <c r="F159" s="83" t="s">
        <v>2075</v>
      </c>
      <c r="G159" s="21" t="str">
        <f t="shared" si="62"/>
        <v>cheat gfi PrimalItem_WeaponSickle_Mythic_C 1 100 0</v>
      </c>
      <c r="H159" s="83" t="s">
        <v>2076</v>
      </c>
      <c r="I159" s="70" t="str">
        <f t="shared" si="63"/>
        <v>EngramEntry_WeaponSickle_Mythic_C</v>
      </c>
      <c r="J159" s="21" t="str">
        <f t="shared" si="64"/>
        <v>OverrideNamedEngramEntries=(EngramEntry_WeaponSickle_Mythic_C,EngramHidden=true)</v>
      </c>
      <c r="K159" s="2"/>
    </row>
    <row r="160">
      <c r="A160" s="6"/>
      <c r="B160" s="6"/>
      <c r="C160" s="84">
        <f t="shared" si="65"/>
        <v>15</v>
      </c>
      <c r="D160" s="85" t="str">
        <f t="shared" si="66"/>
        <v>PrimalItem_Weapon</v>
      </c>
      <c r="E160" s="86" t="s">
        <v>2077</v>
      </c>
      <c r="F160" s="87" t="s">
        <v>2078</v>
      </c>
      <c r="G160" s="23" t="str">
        <f t="shared" si="62"/>
        <v>cheat gfi PrimalItem_WeaponPike_Mythic_C 1 100 0</v>
      </c>
      <c r="H160" s="87" t="s">
        <v>2079</v>
      </c>
      <c r="I160" s="71" t="str">
        <f t="shared" si="63"/>
        <v>EngramEntry_WeaponPike_Mythic_C</v>
      </c>
      <c r="J160" s="23" t="str">
        <f t="shared" si="64"/>
        <v>OverrideNamedEngramEntries=(EngramEntry_WeaponPike_Mythic_C,EngramHidden=true)</v>
      </c>
      <c r="K160" s="2"/>
    </row>
    <row r="161">
      <c r="A161" s="6"/>
      <c r="B161" s="6"/>
      <c r="C161" s="80">
        <f t="shared" si="65"/>
        <v>15</v>
      </c>
      <c r="D161" s="81" t="str">
        <f t="shared" si="66"/>
        <v>PrimalItem_Weapon</v>
      </c>
      <c r="E161" s="82" t="s">
        <v>2080</v>
      </c>
      <c r="F161" s="83" t="s">
        <v>2081</v>
      </c>
      <c r="G161" s="21" t="str">
        <f t="shared" si="62"/>
        <v>cheat gfi PrimalItem_WeaponMetalPick_Volcanic_C 1 100 0</v>
      </c>
      <c r="H161" s="83" t="s">
        <v>2082</v>
      </c>
      <c r="I161" s="70" t="str">
        <f t="shared" si="63"/>
        <v>EngramEntry_WeaponMetalPick_Volcanic_C</v>
      </c>
      <c r="J161" s="21" t="str">
        <f t="shared" si="64"/>
        <v>OverrideNamedEngramEntries=(EngramEntry_WeaponMetalPick_Volcanic_C,EngramHidden=true)</v>
      </c>
      <c r="K161" s="2"/>
    </row>
    <row r="162">
      <c r="A162" s="6"/>
      <c r="B162" s="6"/>
      <c r="C162" s="84">
        <f t="shared" si="65"/>
        <v>15</v>
      </c>
      <c r="D162" s="85" t="str">
        <f t="shared" si="66"/>
        <v>PrimalItem_Weapon</v>
      </c>
      <c r="E162" s="86" t="s">
        <v>2083</v>
      </c>
      <c r="F162" s="87" t="s">
        <v>2084</v>
      </c>
      <c r="G162" s="23" t="str">
        <f t="shared" si="62"/>
        <v>cheat gfi PrimalItem_WeaponMetalHatchet_Volcanic_C 1 100 0</v>
      </c>
      <c r="H162" s="87" t="s">
        <v>2085</v>
      </c>
      <c r="I162" s="71" t="str">
        <f t="shared" si="63"/>
        <v>EngramEntry_WeaponMetalHatchet_Volcanic_C</v>
      </c>
      <c r="J162" s="23" t="str">
        <f t="shared" si="64"/>
        <v>OverrideNamedEngramEntries=(EngramEntry_WeaponMetalHatchet_Volcanic_C,EngramHidden=true)</v>
      </c>
      <c r="K162" s="2"/>
    </row>
    <row r="163">
      <c r="A163" s="6"/>
      <c r="B163" s="6"/>
      <c r="C163" s="80">
        <f t="shared" si="65"/>
        <v>15</v>
      </c>
      <c r="D163" s="81" t="str">
        <f t="shared" si="66"/>
        <v>PrimalItem_Weapon</v>
      </c>
      <c r="E163" s="82" t="s">
        <v>2086</v>
      </c>
      <c r="F163" s="83" t="s">
        <v>2087</v>
      </c>
      <c r="G163" s="21" t="str">
        <f t="shared" si="62"/>
        <v>cheat gfi PrimalItem_WeaponSickle_Volcanic_C 1 100 0</v>
      </c>
      <c r="H163" s="83" t="s">
        <v>2088</v>
      </c>
      <c r="I163" s="70" t="str">
        <f t="shared" si="63"/>
        <v>EngramEntry_WeaponSickle_Volcanic_C</v>
      </c>
      <c r="J163" s="21" t="str">
        <f t="shared" si="64"/>
        <v>OverrideNamedEngramEntries=(EngramEntry_WeaponSickle_Volcanic_C,EngramHidden=true)</v>
      </c>
      <c r="K163" s="2"/>
    </row>
    <row r="164">
      <c r="A164" s="6"/>
      <c r="B164" s="6"/>
      <c r="C164" s="84">
        <f t="shared" si="65"/>
        <v>15</v>
      </c>
      <c r="D164" s="85" t="str">
        <f t="shared" si="66"/>
        <v>PrimalItem_Weapon</v>
      </c>
      <c r="E164" s="86" t="s">
        <v>2089</v>
      </c>
      <c r="F164" s="87" t="s">
        <v>2090</v>
      </c>
      <c r="G164" s="23" t="str">
        <f t="shared" si="62"/>
        <v>cheat gfi PrimalItem_WeaponPike_Volcanic_C 1 100 0</v>
      </c>
      <c r="H164" s="87" t="s">
        <v>2091</v>
      </c>
      <c r="I164" s="71" t="str">
        <f t="shared" si="63"/>
        <v>EngramEntry_WeaponPike_Volcanic_C</v>
      </c>
      <c r="J164" s="23" t="str">
        <f t="shared" si="64"/>
        <v>OverrideNamedEngramEntries=(EngramEntry_WeaponPike_Volcanic_C,EngramHidden=true)</v>
      </c>
      <c r="K164" s="2"/>
    </row>
    <row r="165">
      <c r="A165" s="6"/>
      <c r="B165" s="6"/>
      <c r="C165" s="4">
        <f t="shared" si="65"/>
        <v>16</v>
      </c>
      <c r="D165" s="72" t="str">
        <f t="shared" ref="D165:D177" si="67">Left(F165,find("Ammo",F165)+3)</f>
        <v>PrimalItemAmmo</v>
      </c>
      <c r="E165" s="21" t="s">
        <v>2092</v>
      </c>
      <c r="F165" s="21" t="s">
        <v>2093</v>
      </c>
      <c r="G165" s="21" t="str">
        <f t="shared" si="62"/>
        <v>cheat gfi PrimalItemAmmo_AdvancedRifleBullet_Alpha_C 1 100 0</v>
      </c>
      <c r="H165" s="21" t="s">
        <v>2094</v>
      </c>
      <c r="I165" s="70" t="str">
        <f t="shared" si="63"/>
        <v>EngramEntry_AdvancedRifleBullet_Alpha_C</v>
      </c>
      <c r="J165" s="21" t="str">
        <f t="shared" si="64"/>
        <v>OverrideNamedEngramEntries=(EngramEntry_AdvancedRifleBullet_Alpha_C,EngramHidden=true)</v>
      </c>
      <c r="K165" s="2"/>
    </row>
    <row r="166">
      <c r="A166" s="6"/>
      <c r="B166" s="6"/>
      <c r="C166" s="4">
        <f t="shared" si="65"/>
        <v>16</v>
      </c>
      <c r="D166" s="72" t="str">
        <f t="shared" si="67"/>
        <v>PrimalItemAmmo</v>
      </c>
      <c r="E166" s="23" t="s">
        <v>2095</v>
      </c>
      <c r="F166" s="23" t="s">
        <v>2096</v>
      </c>
      <c r="G166" s="23" t="str">
        <f t="shared" si="62"/>
        <v>cheat gfi PrimalItemAmmo_AdvancedRifleBullet_Element_C 1 100 0</v>
      </c>
      <c r="H166" s="23" t="s">
        <v>2097</v>
      </c>
      <c r="I166" s="71" t="str">
        <f t="shared" si="63"/>
        <v>EngramEntry_AdvancedRifleBullet_Element_C</v>
      </c>
      <c r="J166" s="23" t="str">
        <f t="shared" si="64"/>
        <v>OverrideNamedEngramEntries=(EngramEntry_AdvancedRifleBullet_Element_C,EngramHidden=true)</v>
      </c>
      <c r="K166" s="2"/>
    </row>
    <row r="167">
      <c r="A167" s="6"/>
      <c r="B167" s="6"/>
      <c r="C167" s="4">
        <f t="shared" si="65"/>
        <v>16</v>
      </c>
      <c r="D167" s="72" t="str">
        <f t="shared" si="67"/>
        <v>PrimalItemAmmo</v>
      </c>
      <c r="E167" s="21" t="s">
        <v>2098</v>
      </c>
      <c r="F167" s="21" t="s">
        <v>2099</v>
      </c>
      <c r="G167" s="21" t="str">
        <f t="shared" si="62"/>
        <v>cheat gfi PrimalItemAmmo_ArrowTranq_Alpha_C 1 100 0</v>
      </c>
      <c r="H167" s="21" t="s">
        <v>2100</v>
      </c>
      <c r="I167" s="70" t="str">
        <f t="shared" si="63"/>
        <v>EngramEntry_ArrowTranq_Alpha_C</v>
      </c>
      <c r="J167" s="21" t="str">
        <f t="shared" si="64"/>
        <v>OverrideNamedEngramEntries=(EngramEntry_ArrowTranq_Alpha_C,EngramHidden=true)</v>
      </c>
      <c r="K167" s="2"/>
    </row>
    <row r="168">
      <c r="A168" s="6"/>
      <c r="B168" s="6"/>
      <c r="C168" s="4">
        <f t="shared" si="65"/>
        <v>16</v>
      </c>
      <c r="D168" s="72" t="str">
        <f t="shared" si="67"/>
        <v>PrimalItemAmmo</v>
      </c>
      <c r="E168" s="22" t="s">
        <v>2101</v>
      </c>
      <c r="F168" s="22" t="s">
        <v>2102</v>
      </c>
      <c r="G168" s="23" t="str">
        <f t="shared" si="62"/>
        <v>cheat gfi PrimalItemAmmo_ArrowTranq_Toxic_C 1 100 0</v>
      </c>
      <c r="H168" s="22" t="s">
        <v>2103</v>
      </c>
      <c r="I168" s="71" t="str">
        <f t="shared" si="63"/>
        <v>EngramEntry_ArrowTranq_Toxic_C</v>
      </c>
      <c r="J168" s="23" t="str">
        <f t="shared" si="64"/>
        <v>OverrideNamedEngramEntries=(EngramEntry_ArrowTranq_Toxic_C,EngramHidden=true)</v>
      </c>
      <c r="K168" s="2"/>
    </row>
    <row r="169">
      <c r="A169" s="6"/>
      <c r="B169" s="6"/>
      <c r="C169" s="4">
        <f t="shared" si="65"/>
        <v>16</v>
      </c>
      <c r="D169" s="72" t="str">
        <f t="shared" si="67"/>
        <v>PrimalItemAmmo</v>
      </c>
      <c r="E169" s="21" t="s">
        <v>2104</v>
      </c>
      <c r="F169" s="21" t="s">
        <v>2105</v>
      </c>
      <c r="G169" s="21" t="str">
        <f t="shared" si="62"/>
        <v>cheat gfi PrimalItemAmmo_Rocket_Demonic_C 1 100 0</v>
      </c>
      <c r="H169" s="21" t="s">
        <v>2106</v>
      </c>
      <c r="I169" s="70" t="str">
        <f t="shared" si="63"/>
        <v>EngramEntry_Rocket_Demonic_C</v>
      </c>
      <c r="J169" s="21" t="str">
        <f t="shared" si="64"/>
        <v>OverrideNamedEngramEntries=(EngramEntry_Rocket_Demonic_C,EngramHidden=true)</v>
      </c>
      <c r="K169" s="2"/>
    </row>
    <row r="170">
      <c r="A170" s="6"/>
      <c r="B170" s="6"/>
      <c r="C170" s="4">
        <f t="shared" si="65"/>
        <v>16</v>
      </c>
      <c r="D170" s="72" t="str">
        <f t="shared" si="67"/>
        <v>PrimalItemAmmo</v>
      </c>
      <c r="E170" s="23" t="s">
        <v>2107</v>
      </c>
      <c r="F170" s="23" t="s">
        <v>2108</v>
      </c>
      <c r="G170" s="23" t="str">
        <f t="shared" si="62"/>
        <v>cheat gfi PrimalItemAmmo_TranqDart_Alpha_C 1 100 0</v>
      </c>
      <c r="H170" s="23" t="s">
        <v>2109</v>
      </c>
      <c r="I170" s="71" t="str">
        <f t="shared" si="63"/>
        <v>EngramEntry_TranqDart_Alpha_C</v>
      </c>
      <c r="J170" s="23" t="str">
        <f t="shared" si="64"/>
        <v>OverrideNamedEngramEntries=(EngramEntry_TranqDart_Alpha_C,EngramHidden=true)</v>
      </c>
      <c r="K170" s="2"/>
    </row>
    <row r="171">
      <c r="A171" s="6"/>
      <c r="B171" s="6"/>
      <c r="C171" s="4">
        <f t="shared" si="65"/>
        <v>16</v>
      </c>
      <c r="D171" s="72" t="str">
        <f t="shared" si="67"/>
        <v>PrimalItemAmmo</v>
      </c>
      <c r="E171" s="21" t="s">
        <v>2110</v>
      </c>
      <c r="F171" s="21" t="s">
        <v>2111</v>
      </c>
      <c r="G171" s="21" t="str">
        <f t="shared" si="62"/>
        <v>cheat gfi PrimalItemAmmo_TranqDart_Element_C 1 100 0</v>
      </c>
      <c r="H171" s="21" t="s">
        <v>2112</v>
      </c>
      <c r="I171" s="70" t="str">
        <f t="shared" si="63"/>
        <v>EngramEntry_TranqDart_Element_C</v>
      </c>
      <c r="J171" s="21" t="str">
        <f t="shared" si="64"/>
        <v>OverrideNamedEngramEntries=(EngramEntry_TranqDart_Element_C,EngramHidden=true)</v>
      </c>
      <c r="K171" s="2"/>
    </row>
    <row r="172">
      <c r="A172" s="6"/>
      <c r="B172" s="6"/>
      <c r="C172" s="4">
        <f t="shared" si="65"/>
        <v>16</v>
      </c>
      <c r="D172" s="72" t="str">
        <f t="shared" si="67"/>
        <v>PrimalItemAmmo</v>
      </c>
      <c r="E172" s="23" t="s">
        <v>2113</v>
      </c>
      <c r="F172" s="23" t="s">
        <v>2114</v>
      </c>
      <c r="G172" s="23" t="str">
        <f t="shared" si="62"/>
        <v>cheat gfi PrimalItemAmmo_TranqDart_Mythic_C 1 100 0</v>
      </c>
      <c r="H172" s="23" t="s">
        <v>2115</v>
      </c>
      <c r="I172" s="71" t="str">
        <f t="shared" si="63"/>
        <v>EngramEntry_TranqDart_Mythic_C</v>
      </c>
      <c r="J172" s="23" t="str">
        <f t="shared" si="64"/>
        <v>OverrideNamedEngramEntries=(EngramEntry_TranqDart_Mythic_C,EngramHidden=true)</v>
      </c>
      <c r="K172" s="2"/>
    </row>
    <row r="173">
      <c r="A173" s="6"/>
      <c r="B173" s="6"/>
      <c r="C173" s="4">
        <f t="shared" si="65"/>
        <v>16</v>
      </c>
      <c r="D173" s="72" t="str">
        <f t="shared" si="67"/>
        <v>PrimalItemAmmo</v>
      </c>
      <c r="E173" s="21" t="s">
        <v>2116</v>
      </c>
      <c r="F173" s="21" t="s">
        <v>2117</v>
      </c>
      <c r="G173" s="21" t="str">
        <f t="shared" si="62"/>
        <v>cheat gfi PrimalItemAmmo_TranqDart_Potent_C 1 100 0</v>
      </c>
      <c r="H173" s="21" t="s">
        <v>2118</v>
      </c>
      <c r="I173" s="70" t="str">
        <f t="shared" si="63"/>
        <v>EngramEntry_TranqDart_Potent_C</v>
      </c>
      <c r="J173" s="21" t="str">
        <f t="shared" si="64"/>
        <v>OverrideNamedEngramEntries=(EngramEntry_TranqDart_Potent_C,EngramHidden=true)</v>
      </c>
      <c r="K173" s="2"/>
    </row>
    <row r="174">
      <c r="A174" s="6"/>
      <c r="B174" s="6"/>
      <c r="C174" s="4">
        <f t="shared" si="65"/>
        <v>16</v>
      </c>
      <c r="D174" s="72" t="str">
        <f t="shared" si="67"/>
        <v>PrimalItemAmmo</v>
      </c>
      <c r="E174" s="23" t="s">
        <v>2119</v>
      </c>
      <c r="F174" s="23" t="s">
        <v>2120</v>
      </c>
      <c r="G174" s="23" t="str">
        <f t="shared" si="62"/>
        <v>cheat gfi PrimalItemAmmo_TranqSpearBolt_Alpha_C 1 100 0</v>
      </c>
      <c r="H174" s="23" t="s">
        <v>2121</v>
      </c>
      <c r="I174" s="71" t="str">
        <f t="shared" si="63"/>
        <v>EngramEntry_TranqSpearBolt_Alpha_C</v>
      </c>
      <c r="J174" s="23" t="str">
        <f t="shared" si="64"/>
        <v>OverrideNamedEngramEntries=(EngramEntry_TranqSpearBolt_Alpha_C,EngramHidden=true)</v>
      </c>
      <c r="K174" s="2"/>
    </row>
    <row r="175">
      <c r="A175" s="6"/>
      <c r="B175" s="6"/>
      <c r="C175" s="4">
        <f t="shared" si="65"/>
        <v>16</v>
      </c>
      <c r="D175" s="72" t="str">
        <f t="shared" si="67"/>
        <v>PrimalItemAmmo</v>
      </c>
      <c r="E175" s="21" t="s">
        <v>2122</v>
      </c>
      <c r="F175" s="21" t="s">
        <v>2123</v>
      </c>
      <c r="G175" s="21" t="str">
        <f t="shared" si="62"/>
        <v>cheat gfi PrimalItemAmmo_TranqSpearBolt_Element_C 1 100 0</v>
      </c>
      <c r="H175" s="21" t="s">
        <v>2124</v>
      </c>
      <c r="I175" s="70" t="str">
        <f t="shared" si="63"/>
        <v>EngramEntry_TranqSpearBolt_Element_C</v>
      </c>
      <c r="J175" s="21" t="str">
        <f t="shared" si="64"/>
        <v>OverrideNamedEngramEntries=(EngramEntry_TranqSpearBolt_Element_C,EngramHidden=true)</v>
      </c>
      <c r="K175" s="2"/>
    </row>
    <row r="176">
      <c r="A176" s="6"/>
      <c r="B176" s="6"/>
      <c r="C176" s="4">
        <f t="shared" si="65"/>
        <v>16</v>
      </c>
      <c r="D176" s="72" t="str">
        <f t="shared" si="67"/>
        <v>PrimalItemAmmo</v>
      </c>
      <c r="E176" s="23" t="s">
        <v>2125</v>
      </c>
      <c r="F176" s="23" t="s">
        <v>2126</v>
      </c>
      <c r="G176" s="23" t="str">
        <f t="shared" si="62"/>
        <v>cheat gfi PrimalItemAmmo_TranqSpearBolt_Mythic_C 1 100 0</v>
      </c>
      <c r="H176" s="23" t="s">
        <v>2127</v>
      </c>
      <c r="I176" s="71" t="str">
        <f t="shared" si="63"/>
        <v>EngramEntry_TranqSpearBolt_Mythic_C</v>
      </c>
      <c r="J176" s="23" t="str">
        <f t="shared" si="64"/>
        <v>OverrideNamedEngramEntries=(EngramEntry_TranqSpearBolt_Mythic_C,EngramHidden=true)</v>
      </c>
      <c r="K176" s="2"/>
    </row>
    <row r="177">
      <c r="A177" s="6"/>
      <c r="B177" s="13"/>
      <c r="C177" s="4">
        <f t="shared" si="65"/>
        <v>16</v>
      </c>
      <c r="D177" s="72" t="str">
        <f t="shared" si="67"/>
        <v>PrimalItemAmmo</v>
      </c>
      <c r="E177" s="21" t="s">
        <v>2128</v>
      </c>
      <c r="F177" s="21" t="s">
        <v>2129</v>
      </c>
      <c r="G177" s="21" t="str">
        <f t="shared" si="62"/>
        <v>cheat gfi PrimalItemAmmo_TranqSpearBolt_Potent_C 1 100 0</v>
      </c>
      <c r="H177" s="21" t="s">
        <v>2130</v>
      </c>
      <c r="I177" s="70" t="str">
        <f t="shared" si="63"/>
        <v>EngramEntry_TranqSpearBolt_Potent_C</v>
      </c>
      <c r="J177" s="21" t="str">
        <f t="shared" si="64"/>
        <v>OverrideNamedEngramEntries=(EngramEntry_TranqSpearBolt_Potent_C,EngramHidden=true)</v>
      </c>
      <c r="K177" s="2"/>
    </row>
    <row r="178">
      <c r="A178" s="6"/>
      <c r="B178" s="14"/>
      <c r="C178" s="15"/>
      <c r="D178" s="15"/>
      <c r="E178" s="15"/>
      <c r="F178" s="15"/>
      <c r="G178" s="15"/>
      <c r="H178" s="15"/>
      <c r="I178" s="15"/>
      <c r="J178" s="15"/>
      <c r="K178" s="2"/>
    </row>
    <row r="179">
      <c r="A179" s="6"/>
      <c r="B179" s="88" t="s">
        <v>2131</v>
      </c>
      <c r="C179" s="80">
        <f t="shared" ref="C179:C188" si="68">IF(D179="PrimalItemConsumable_Blood",1)+IF(D179="PrimalItemConsumable_Narcotic",2)+IF(D179="PrimalItemConsumable_Seed",3)+IF(D179="PrimalItemConsumable_Fruit",4)+IF(D179="PrimalItemConsumable_Egg_Unfertilized",5)+IF(D179="PrimalItemConsumable_Kibble",6)+IF(D179="PrimalItemConsumable_Potion",7)+IF(D179="PrimalItemConsumable_XP",8)+IF(D179="PrimalItemConsumable_Food",9)+IF(D179="PrimalItemResource",10)+IF(D179="PrimalItemResource_Hide",11)+IF(D179="PrimalItemResource_MetalIngot",12)+IF(D179="PrimalItemConsumable_Summon",13)+IF(D179="PrimalItemStructure",14)+IF(D179="PrimalItem_Weapon",15)+IF(D179="PrimalItemAmmo",16)+IF(D179="PrimalItemArmor",17)+IF(D179="PrimalItemSaddle",18)+IF(D179="PrimalItemConsumable_UnderwaterEgg",19)+IF(D179="PrimalItemConsumable_Egg",20)</f>
        <v>17</v>
      </c>
      <c r="D179" s="56" t="str">
        <f t="shared" ref="D179:D188" si="69">Left(F179,find("Armor",F179)+4)</f>
        <v>PrimalItemArmor</v>
      </c>
      <c r="E179" s="60" t="s">
        <v>2132</v>
      </c>
      <c r="F179" s="38" t="s">
        <v>2133</v>
      </c>
      <c r="G179" s="21" t="str">
        <f t="shared" ref="G179:G218" si="70">"cheat gfi "&amp;F179&amp;" 1 100 0"</f>
        <v>cheat gfi PrimalItemArmor_ChitinBoots_Alpha_C 1 100 0</v>
      </c>
      <c r="H179" s="38" t="s">
        <v>2134</v>
      </c>
      <c r="I179" s="70" t="str">
        <f t="shared" ref="I179:I218" si="71">CONCATENATE("EngramEntry",RIGHT(F179,LEN(F179) - (FIND("_",F179) - 1)))</f>
        <v>EngramEntry_ChitinBoots_Alpha_C</v>
      </c>
      <c r="J179" s="21" t="str">
        <f t="shared" ref="J179:J218" si="72">"OverrideNamedEngramEntries=("&amp;I179&amp;",EngramHidden=true)"</f>
        <v>OverrideNamedEngramEntries=(EngramEntry_ChitinBoots_Alpha_C,EngramHidden=true)</v>
      </c>
      <c r="K179" s="2"/>
    </row>
    <row r="180">
      <c r="A180" s="6"/>
      <c r="B180" s="6"/>
      <c r="C180" s="84">
        <f t="shared" si="68"/>
        <v>17</v>
      </c>
      <c r="D180" s="57" t="str">
        <f t="shared" si="69"/>
        <v>PrimalItemArmor</v>
      </c>
      <c r="E180" s="58" t="s">
        <v>2135</v>
      </c>
      <c r="F180" s="55" t="s">
        <v>2136</v>
      </c>
      <c r="G180" s="23" t="str">
        <f t="shared" si="70"/>
        <v>cheat gfi PrimalItemArmor_ChitinGloves_Alpha_C 1 100 0</v>
      </c>
      <c r="H180" s="55" t="s">
        <v>2137</v>
      </c>
      <c r="I180" s="71" t="str">
        <f t="shared" si="71"/>
        <v>EngramEntry_ChitinGloves_Alpha_C</v>
      </c>
      <c r="J180" s="23" t="str">
        <f t="shared" si="72"/>
        <v>OverrideNamedEngramEntries=(EngramEntry_ChitinGloves_Alpha_C,EngramHidden=true)</v>
      </c>
      <c r="K180" s="2"/>
    </row>
    <row r="181">
      <c r="A181" s="6"/>
      <c r="B181" s="6"/>
      <c r="C181" s="80">
        <f t="shared" si="68"/>
        <v>17</v>
      </c>
      <c r="D181" s="56" t="str">
        <f t="shared" si="69"/>
        <v>PrimalItemArmor</v>
      </c>
      <c r="E181" s="60" t="s">
        <v>2138</v>
      </c>
      <c r="F181" s="38" t="s">
        <v>2139</v>
      </c>
      <c r="G181" s="21" t="str">
        <f t="shared" si="70"/>
        <v>cheat gfi PrimalItemArmor_ChitinHelmet_Alpha_C 1 100 0</v>
      </c>
      <c r="H181" s="38" t="s">
        <v>2140</v>
      </c>
      <c r="I181" s="70" t="str">
        <f t="shared" si="71"/>
        <v>EngramEntry_ChitinHelmet_Alpha_C</v>
      </c>
      <c r="J181" s="21" t="str">
        <f t="shared" si="72"/>
        <v>OverrideNamedEngramEntries=(EngramEntry_ChitinHelmet_Alpha_C,EngramHidden=true)</v>
      </c>
      <c r="K181" s="2"/>
    </row>
    <row r="182">
      <c r="A182" s="6"/>
      <c r="B182" s="6"/>
      <c r="C182" s="84">
        <f t="shared" si="68"/>
        <v>17</v>
      </c>
      <c r="D182" s="57" t="str">
        <f t="shared" si="69"/>
        <v>PrimalItemArmor</v>
      </c>
      <c r="E182" s="58" t="s">
        <v>2141</v>
      </c>
      <c r="F182" s="55" t="s">
        <v>2142</v>
      </c>
      <c r="G182" s="23" t="str">
        <f t="shared" si="70"/>
        <v>cheat gfi PrimalItemArmor_ChitinPants_Alpha_C 1 100 0</v>
      </c>
      <c r="H182" s="55" t="s">
        <v>2143</v>
      </c>
      <c r="I182" s="71" t="str">
        <f t="shared" si="71"/>
        <v>EngramEntry_ChitinPants_Alpha_C</v>
      </c>
      <c r="J182" s="23" t="str">
        <f t="shared" si="72"/>
        <v>OverrideNamedEngramEntries=(EngramEntry_ChitinPants_Alpha_C,EngramHidden=true)</v>
      </c>
      <c r="K182" s="2"/>
    </row>
    <row r="183">
      <c r="A183" s="6"/>
      <c r="B183" s="6"/>
      <c r="C183" s="80">
        <f t="shared" si="68"/>
        <v>17</v>
      </c>
      <c r="D183" s="56" t="str">
        <f t="shared" si="69"/>
        <v>PrimalItemArmor</v>
      </c>
      <c r="E183" s="60" t="s">
        <v>2144</v>
      </c>
      <c r="F183" s="38" t="s">
        <v>2145</v>
      </c>
      <c r="G183" s="21" t="str">
        <f t="shared" si="70"/>
        <v>cheat gfi PrimalItemArmor_ChitinShirt_Alpha_C 1 100 0</v>
      </c>
      <c r="H183" s="38" t="s">
        <v>2146</v>
      </c>
      <c r="I183" s="70" t="str">
        <f t="shared" si="71"/>
        <v>EngramEntry_ChitinShirt_Alpha_C</v>
      </c>
      <c r="J183" s="21" t="str">
        <f t="shared" si="72"/>
        <v>OverrideNamedEngramEntries=(EngramEntry_ChitinShirt_Alpha_C,EngramHidden=true)</v>
      </c>
      <c r="K183" s="2"/>
    </row>
    <row r="184">
      <c r="A184" s="6"/>
      <c r="B184" s="6"/>
      <c r="C184" s="84">
        <f t="shared" si="68"/>
        <v>17</v>
      </c>
      <c r="D184" s="57" t="str">
        <f t="shared" si="69"/>
        <v>PrimalItemArmor</v>
      </c>
      <c r="E184" s="58" t="s">
        <v>2147</v>
      </c>
      <c r="F184" s="55" t="s">
        <v>2148</v>
      </c>
      <c r="G184" s="23" t="str">
        <f t="shared" si="70"/>
        <v>cheat gfi PrimalItemArmor_MetalBoots_Alpha_C 1 100 0</v>
      </c>
      <c r="H184" s="55" t="s">
        <v>2149</v>
      </c>
      <c r="I184" s="71" t="str">
        <f t="shared" si="71"/>
        <v>EngramEntry_MetalBoots_Alpha_C</v>
      </c>
      <c r="J184" s="23" t="str">
        <f t="shared" si="72"/>
        <v>OverrideNamedEngramEntries=(EngramEntry_MetalBoots_Alpha_C,EngramHidden=true)</v>
      </c>
      <c r="K184" s="2"/>
    </row>
    <row r="185">
      <c r="A185" s="6"/>
      <c r="B185" s="6"/>
      <c r="C185" s="80">
        <f t="shared" si="68"/>
        <v>17</v>
      </c>
      <c r="D185" s="56" t="str">
        <f t="shared" si="69"/>
        <v>PrimalItemArmor</v>
      </c>
      <c r="E185" s="60" t="s">
        <v>2150</v>
      </c>
      <c r="F185" s="38" t="s">
        <v>2151</v>
      </c>
      <c r="G185" s="21" t="str">
        <f t="shared" si="70"/>
        <v>cheat gfi PrimalItemArmor_MetalGloves_Alpha_C 1 100 0</v>
      </c>
      <c r="H185" s="38" t="s">
        <v>2152</v>
      </c>
      <c r="I185" s="70" t="str">
        <f t="shared" si="71"/>
        <v>EngramEntry_MetalGloves_Alpha_C</v>
      </c>
      <c r="J185" s="21" t="str">
        <f t="shared" si="72"/>
        <v>OverrideNamedEngramEntries=(EngramEntry_MetalGloves_Alpha_C,EngramHidden=true)</v>
      </c>
      <c r="K185" s="2"/>
    </row>
    <row r="186">
      <c r="A186" s="6"/>
      <c r="B186" s="6"/>
      <c r="C186" s="84">
        <f t="shared" si="68"/>
        <v>17</v>
      </c>
      <c r="D186" s="57" t="str">
        <f t="shared" si="69"/>
        <v>PrimalItemArmor</v>
      </c>
      <c r="E186" s="58" t="s">
        <v>2153</v>
      </c>
      <c r="F186" s="55" t="s">
        <v>2154</v>
      </c>
      <c r="G186" s="23" t="str">
        <f t="shared" si="70"/>
        <v>cheat gfi PrimalItemArmor_MetalHelmet_Alpha_C 1 100 0</v>
      </c>
      <c r="H186" s="55" t="s">
        <v>2155</v>
      </c>
      <c r="I186" s="71" t="str">
        <f t="shared" si="71"/>
        <v>EngramEntry_MetalHelmet_Alpha_C</v>
      </c>
      <c r="J186" s="23" t="str">
        <f t="shared" si="72"/>
        <v>OverrideNamedEngramEntries=(EngramEntry_MetalHelmet_Alpha_C,EngramHidden=true)</v>
      </c>
      <c r="K186" s="2"/>
    </row>
    <row r="187">
      <c r="A187" s="6"/>
      <c r="B187" s="6"/>
      <c r="C187" s="89">
        <f t="shared" si="68"/>
        <v>17</v>
      </c>
      <c r="D187" s="56" t="str">
        <f t="shared" si="69"/>
        <v>PrimalItemArmor</v>
      </c>
      <c r="E187" s="60" t="s">
        <v>2156</v>
      </c>
      <c r="F187" s="38" t="s">
        <v>2157</v>
      </c>
      <c r="G187" s="21" t="str">
        <f t="shared" si="70"/>
        <v>cheat gfi PrimalItemArmor_MetalPants_Alpha_C 1 100 0</v>
      </c>
      <c r="H187" s="38" t="s">
        <v>2158</v>
      </c>
      <c r="I187" s="70" t="str">
        <f t="shared" si="71"/>
        <v>EngramEntry_MetalPants_Alpha_C</v>
      </c>
      <c r="J187" s="21" t="str">
        <f t="shared" si="72"/>
        <v>OverrideNamedEngramEntries=(EngramEntry_MetalPants_Alpha_C,EngramHidden=true)</v>
      </c>
      <c r="K187" s="2"/>
    </row>
    <row r="188">
      <c r="A188" s="6"/>
      <c r="B188" s="6"/>
      <c r="C188" s="90">
        <f t="shared" si="68"/>
        <v>17</v>
      </c>
      <c r="D188" s="57" t="str">
        <f t="shared" si="69"/>
        <v>PrimalItemArmor</v>
      </c>
      <c r="E188" s="58" t="s">
        <v>2159</v>
      </c>
      <c r="F188" s="55" t="s">
        <v>2160</v>
      </c>
      <c r="G188" s="23" t="str">
        <f t="shared" si="70"/>
        <v>cheat gfi PrimalItemArmor_MetalShirt_Alpha_C 1 100 0</v>
      </c>
      <c r="H188" s="55" t="s">
        <v>2161</v>
      </c>
      <c r="I188" s="71" t="str">
        <f t="shared" si="71"/>
        <v>EngramEntry_MetalShirt_Alpha_C</v>
      </c>
      <c r="J188" s="23" t="str">
        <f t="shared" si="72"/>
        <v>OverrideNamedEngramEntries=(EngramEntry_MetalShirt_Alpha_C,EngramHidden=true)</v>
      </c>
      <c r="K188" s="2"/>
    </row>
    <row r="189">
      <c r="A189" s="6"/>
      <c r="B189" s="6"/>
      <c r="C189" s="89"/>
      <c r="D189" s="56"/>
      <c r="E189" s="38" t="s">
        <v>2162</v>
      </c>
      <c r="F189" s="38" t="s">
        <v>2163</v>
      </c>
      <c r="G189" s="21" t="str">
        <f t="shared" si="70"/>
        <v>cheat gfi PrimalItemArmor_ClothBoots_Toxic_C 1 100 0</v>
      </c>
      <c r="H189" s="38" t="s">
        <v>2164</v>
      </c>
      <c r="I189" s="70" t="str">
        <f t="shared" si="71"/>
        <v>EngramEntry_ClothBoots_Toxic_C</v>
      </c>
      <c r="J189" s="21" t="str">
        <f t="shared" si="72"/>
        <v>OverrideNamedEngramEntries=(EngramEntry_ClothBoots_Toxic_C,EngramHidden=true)</v>
      </c>
      <c r="K189" s="2"/>
    </row>
    <row r="190">
      <c r="A190" s="6"/>
      <c r="B190" s="6"/>
      <c r="C190" s="89"/>
      <c r="D190" s="56"/>
      <c r="E190" s="55" t="s">
        <v>2165</v>
      </c>
      <c r="F190" s="55" t="s">
        <v>2166</v>
      </c>
      <c r="G190" s="23" t="str">
        <f t="shared" si="70"/>
        <v>cheat gfi PrimalItemArmor_ClothGloves_Toxic_C 1 100 0</v>
      </c>
      <c r="H190" s="55" t="s">
        <v>2167</v>
      </c>
      <c r="I190" s="71" t="str">
        <f t="shared" si="71"/>
        <v>EngramEntry_ClothGloves_Toxic_C</v>
      </c>
      <c r="J190" s="23" t="str">
        <f t="shared" si="72"/>
        <v>OverrideNamedEngramEntries=(EngramEntry_ClothGloves_Toxic_C,EngramHidden=true)</v>
      </c>
      <c r="K190" s="2"/>
    </row>
    <row r="191">
      <c r="A191" s="6"/>
      <c r="B191" s="6"/>
      <c r="C191" s="89"/>
      <c r="D191" s="56"/>
      <c r="E191" s="38" t="s">
        <v>2168</v>
      </c>
      <c r="F191" s="38" t="s">
        <v>2169</v>
      </c>
      <c r="G191" s="21" t="str">
        <f t="shared" si="70"/>
        <v>cheat gfi PrimalItemArmor_ClothHelmet_Toxic_C 1 100 0</v>
      </c>
      <c r="H191" s="38" t="s">
        <v>2170</v>
      </c>
      <c r="I191" s="70" t="str">
        <f t="shared" si="71"/>
        <v>EngramEntry_ClothHelmet_Toxic_C</v>
      </c>
      <c r="J191" s="21" t="str">
        <f t="shared" si="72"/>
        <v>OverrideNamedEngramEntries=(EngramEntry_ClothHelmet_Toxic_C,EngramHidden=true)</v>
      </c>
      <c r="K191" s="2"/>
    </row>
    <row r="192">
      <c r="A192" s="6"/>
      <c r="B192" s="6"/>
      <c r="C192" s="89"/>
      <c r="D192" s="56"/>
      <c r="E192" s="55" t="s">
        <v>2171</v>
      </c>
      <c r="F192" s="55" t="s">
        <v>2172</v>
      </c>
      <c r="G192" s="23" t="str">
        <f t="shared" si="70"/>
        <v>cheat gfi PrimalItemArmor_ClothPants_Toxic_C 1 100 0</v>
      </c>
      <c r="H192" s="55" t="s">
        <v>2173</v>
      </c>
      <c r="I192" s="71" t="str">
        <f t="shared" si="71"/>
        <v>EngramEntry_ClothPants_Toxic_C</v>
      </c>
      <c r="J192" s="23" t="str">
        <f t="shared" si="72"/>
        <v>OverrideNamedEngramEntries=(EngramEntry_ClothPants_Toxic_C,EngramHidden=true)</v>
      </c>
      <c r="K192" s="2"/>
    </row>
    <row r="193">
      <c r="A193" s="6"/>
      <c r="B193" s="6"/>
      <c r="C193" s="89"/>
      <c r="D193" s="56"/>
      <c r="E193" s="38" t="s">
        <v>2174</v>
      </c>
      <c r="F193" s="38" t="s">
        <v>2175</v>
      </c>
      <c r="G193" s="21" t="str">
        <f t="shared" si="70"/>
        <v>cheat gfi PrimalItemArmor_ClothShirt_Toxic_C 1 100 0</v>
      </c>
      <c r="H193" s="38" t="s">
        <v>2176</v>
      </c>
      <c r="I193" s="70" t="str">
        <f t="shared" si="71"/>
        <v>EngramEntry_ClothShirt_Toxic_C</v>
      </c>
      <c r="J193" s="21" t="str">
        <f t="shared" si="72"/>
        <v>OverrideNamedEngramEntries=(EngramEntry_ClothShirt_Toxic_C,EngramHidden=true)</v>
      </c>
      <c r="K193" s="2"/>
    </row>
    <row r="194">
      <c r="A194" s="6"/>
      <c r="B194" s="6"/>
      <c r="C194" s="89">
        <f t="shared" ref="C194:C218" si="73">IF(D194="PrimalItemConsumable_Blood",1)+IF(D194="PrimalItemConsumable_Narcotic",2)+IF(D194="PrimalItemConsumable_Seed",3)+IF(D194="PrimalItemConsumable_Fruit",4)+IF(D194="PrimalItemConsumable_Egg_Unfertilized",5)+IF(D194="PrimalItemConsumable_Kibble",6)+IF(D194="PrimalItemConsumable_Potion",7)+IF(D194="PrimalItemConsumable_XP",8)+IF(D194="PrimalItemConsumable_Food",9)+IF(D194="PrimalItemResource",10)+IF(D194="PrimalItemResource_Hide",11)+IF(D194="PrimalItemResource_MetalIngot",12)+IF(D194="PrimalItemConsumable_Summon",13)+IF(D194="PrimalItemStructure",14)+IF(D194="PrimalItem_Weapon",15)+IF(D194="PrimalItemAmmo",16)+IF(D194="PrimalItemArmor",17)+IF(D194="PrimalItemSaddle",18)+IF(D194="PrimalItemConsumable_UnderwaterEgg",19)+IF(D194="PrimalItemConsumable_Egg",20)</f>
        <v>17</v>
      </c>
      <c r="D194" s="56" t="str">
        <f t="shared" ref="D194:D218" si="74">Left(F194,find("Armor",F194)+4)</f>
        <v>PrimalItemArmor</v>
      </c>
      <c r="E194" s="55" t="s">
        <v>2177</v>
      </c>
      <c r="F194" s="55" t="s">
        <v>2178</v>
      </c>
      <c r="G194" s="23" t="str">
        <f t="shared" si="70"/>
        <v>cheat gfi PrimalItemArmor_HideBoots_Toxic_C 1 100 0</v>
      </c>
      <c r="H194" s="55" t="s">
        <v>2179</v>
      </c>
      <c r="I194" s="71" t="str">
        <f t="shared" si="71"/>
        <v>EngramEntry_HideBoots_Toxic_C</v>
      </c>
      <c r="J194" s="23" t="str">
        <f t="shared" si="72"/>
        <v>OverrideNamedEngramEntries=(EngramEntry_HideBoots_Toxic_C,EngramHidden=true)</v>
      </c>
      <c r="K194" s="2"/>
    </row>
    <row r="195">
      <c r="A195" s="6"/>
      <c r="B195" s="6"/>
      <c r="C195" s="90">
        <f t="shared" si="73"/>
        <v>17</v>
      </c>
      <c r="D195" s="57" t="str">
        <f t="shared" si="74"/>
        <v>PrimalItemArmor</v>
      </c>
      <c r="E195" s="38" t="s">
        <v>2180</v>
      </c>
      <c r="F195" s="38" t="s">
        <v>2181</v>
      </c>
      <c r="G195" s="21" t="str">
        <f t="shared" si="70"/>
        <v>cheat gfi PrimalItemArmor_HideGloves_Toxic_C 1 100 0</v>
      </c>
      <c r="H195" s="38" t="s">
        <v>2182</v>
      </c>
      <c r="I195" s="70" t="str">
        <f t="shared" si="71"/>
        <v>EngramEntry_HideGloves_Toxic_C</v>
      </c>
      <c r="J195" s="21" t="str">
        <f t="shared" si="72"/>
        <v>OverrideNamedEngramEntries=(EngramEntry_HideGloves_Toxic_C,EngramHidden=true)</v>
      </c>
      <c r="K195" s="1"/>
    </row>
    <row r="196">
      <c r="A196" s="6"/>
      <c r="B196" s="6"/>
      <c r="C196" s="89">
        <f t="shared" si="73"/>
        <v>17</v>
      </c>
      <c r="D196" s="91" t="str">
        <f t="shared" si="74"/>
        <v>PrimalItemArmor</v>
      </c>
      <c r="E196" s="71" t="s">
        <v>2183</v>
      </c>
      <c r="F196" s="71" t="s">
        <v>2184</v>
      </c>
      <c r="G196" s="23" t="str">
        <f t="shared" si="70"/>
        <v>cheat gfi PrimalItemArmor_HideHelmet_Toxic_C 1 100 0</v>
      </c>
      <c r="H196" s="71" t="s">
        <v>2185</v>
      </c>
      <c r="I196" s="71" t="str">
        <f t="shared" si="71"/>
        <v>EngramEntry_HideHelmet_Toxic_C</v>
      </c>
      <c r="J196" s="23" t="str">
        <f t="shared" si="72"/>
        <v>OverrideNamedEngramEntries=(EngramEntry_HideHelmet_Toxic_C,EngramHidden=true)</v>
      </c>
      <c r="K196" s="1"/>
    </row>
    <row r="197">
      <c r="A197" s="6"/>
      <c r="B197" s="6"/>
      <c r="C197" s="84">
        <f t="shared" si="73"/>
        <v>17</v>
      </c>
      <c r="D197" s="85" t="str">
        <f t="shared" si="74"/>
        <v>PrimalItemArmor</v>
      </c>
      <c r="E197" s="83" t="s">
        <v>2186</v>
      </c>
      <c r="F197" s="83" t="s">
        <v>2187</v>
      </c>
      <c r="G197" s="21" t="str">
        <f t="shared" si="70"/>
        <v>cheat gfi PrimalItemArmor_HidePants_Toxic_C 1 100 0</v>
      </c>
      <c r="H197" s="83" t="s">
        <v>2188</v>
      </c>
      <c r="I197" s="70" t="str">
        <f t="shared" si="71"/>
        <v>EngramEntry_HidePants_Toxic_C</v>
      </c>
      <c r="J197" s="21" t="str">
        <f t="shared" si="72"/>
        <v>OverrideNamedEngramEntries=(EngramEntry_HidePants_Toxic_C,EngramHidden=true)</v>
      </c>
      <c r="K197" s="1"/>
    </row>
    <row r="198">
      <c r="A198" s="6"/>
      <c r="B198" s="6"/>
      <c r="C198" s="80">
        <f t="shared" si="73"/>
        <v>17</v>
      </c>
      <c r="D198" s="81" t="str">
        <f t="shared" si="74"/>
        <v>PrimalItemArmor</v>
      </c>
      <c r="E198" s="87" t="s">
        <v>2189</v>
      </c>
      <c r="F198" s="87" t="s">
        <v>2190</v>
      </c>
      <c r="G198" s="23" t="str">
        <f t="shared" si="70"/>
        <v>cheat gfi PrimalItemArmor_HideShirt_Toxic_C 1 100 0</v>
      </c>
      <c r="H198" s="87" t="s">
        <v>2191</v>
      </c>
      <c r="I198" s="71" t="str">
        <f t="shared" si="71"/>
        <v>EngramEntry_HideShirt_Toxic_C</v>
      </c>
      <c r="J198" s="23" t="str">
        <f t="shared" si="72"/>
        <v>OverrideNamedEngramEntries=(EngramEntry_HideShirt_Toxic_C,EngramHidden=true)</v>
      </c>
      <c r="K198" s="1"/>
    </row>
    <row r="199">
      <c r="A199" s="6"/>
      <c r="B199" s="6"/>
      <c r="C199" s="80">
        <f t="shared" si="73"/>
        <v>17</v>
      </c>
      <c r="D199" s="81" t="str">
        <f t="shared" si="74"/>
        <v>PrimalItemArmor</v>
      </c>
      <c r="E199" s="82" t="s">
        <v>2192</v>
      </c>
      <c r="F199" s="83" t="s">
        <v>2193</v>
      </c>
      <c r="G199" s="21" t="str">
        <f t="shared" si="70"/>
        <v>cheat gfi PrimalItemArmor_Deathknight_Boots_C 1 100 0</v>
      </c>
      <c r="H199" s="83" t="s">
        <v>2194</v>
      </c>
      <c r="I199" s="70" t="str">
        <f t="shared" si="71"/>
        <v>EngramEntry_Deathknight_Boots_C</v>
      </c>
      <c r="J199" s="21" t="str">
        <f t="shared" si="72"/>
        <v>OverrideNamedEngramEntries=(EngramEntry_Deathknight_Boots_C,EngramHidden=true)</v>
      </c>
      <c r="K199" s="1"/>
    </row>
    <row r="200">
      <c r="A200" s="6"/>
      <c r="B200" s="6"/>
      <c r="C200" s="84">
        <f t="shared" si="73"/>
        <v>17</v>
      </c>
      <c r="D200" s="85" t="str">
        <f t="shared" si="74"/>
        <v>PrimalItemArmor</v>
      </c>
      <c r="E200" s="87" t="s">
        <v>2195</v>
      </c>
      <c r="F200" s="87" t="s">
        <v>2196</v>
      </c>
      <c r="G200" s="23" t="str">
        <f t="shared" si="70"/>
        <v>cheat gfi PrimalItemArmor_Deathknight_Chest_C 1 100 0</v>
      </c>
      <c r="H200" s="87" t="s">
        <v>2197</v>
      </c>
      <c r="I200" s="71" t="str">
        <f t="shared" si="71"/>
        <v>EngramEntry_Deathknight_Chest_C</v>
      </c>
      <c r="J200" s="23" t="str">
        <f t="shared" si="72"/>
        <v>OverrideNamedEngramEntries=(EngramEntry_Deathknight_Chest_C,EngramHidden=true)</v>
      </c>
      <c r="K200" s="1"/>
    </row>
    <row r="201">
      <c r="A201" s="6"/>
      <c r="B201" s="6"/>
      <c r="C201" s="80">
        <f t="shared" si="73"/>
        <v>17</v>
      </c>
      <c r="D201" s="81" t="str">
        <f t="shared" si="74"/>
        <v>PrimalItemArmor</v>
      </c>
      <c r="E201" s="83" t="s">
        <v>2198</v>
      </c>
      <c r="F201" s="83" t="s">
        <v>2199</v>
      </c>
      <c r="G201" s="21" t="str">
        <f t="shared" si="70"/>
        <v>cheat gfi PrimalItemArmor_Deathknight_Gloves_C 1 100 0</v>
      </c>
      <c r="H201" s="83" t="s">
        <v>2200</v>
      </c>
      <c r="I201" s="70" t="str">
        <f t="shared" si="71"/>
        <v>EngramEntry_Deathknight_Gloves_C</v>
      </c>
      <c r="J201" s="21" t="str">
        <f t="shared" si="72"/>
        <v>OverrideNamedEngramEntries=(EngramEntry_Deathknight_Gloves_C,EngramHidden=true)</v>
      </c>
      <c r="K201" s="1"/>
    </row>
    <row r="202">
      <c r="A202" s="6"/>
      <c r="B202" s="6"/>
      <c r="C202" s="84">
        <f t="shared" si="73"/>
        <v>17</v>
      </c>
      <c r="D202" s="85" t="str">
        <f t="shared" si="74"/>
        <v>PrimalItemArmor</v>
      </c>
      <c r="E202" s="87" t="s">
        <v>2201</v>
      </c>
      <c r="F202" s="87" t="s">
        <v>2202</v>
      </c>
      <c r="G202" s="23" t="str">
        <f t="shared" si="70"/>
        <v>cheat gfi PrimalItemArmor_Deathknight_Helmet_C 1 100 0</v>
      </c>
      <c r="H202" s="87" t="s">
        <v>2203</v>
      </c>
      <c r="I202" s="71" t="str">
        <f t="shared" si="71"/>
        <v>EngramEntry_Deathknight_Helmet_C</v>
      </c>
      <c r="J202" s="23" t="str">
        <f t="shared" si="72"/>
        <v>OverrideNamedEngramEntries=(EngramEntry_Deathknight_Helmet_C,EngramHidden=true)</v>
      </c>
      <c r="K202" s="1"/>
    </row>
    <row r="203">
      <c r="A203" s="6"/>
      <c r="B203" s="6"/>
      <c r="C203" s="80">
        <f t="shared" si="73"/>
        <v>17</v>
      </c>
      <c r="D203" s="81" t="str">
        <f t="shared" si="74"/>
        <v>PrimalItemArmor</v>
      </c>
      <c r="E203" s="83" t="s">
        <v>2204</v>
      </c>
      <c r="F203" s="83" t="s">
        <v>2205</v>
      </c>
      <c r="G203" s="21" t="str">
        <f t="shared" si="70"/>
        <v>cheat gfi PrimalItemArmor_Deathknight_Pants_C 1 100 0</v>
      </c>
      <c r="H203" s="83" t="s">
        <v>2206</v>
      </c>
      <c r="I203" s="70" t="str">
        <f t="shared" si="71"/>
        <v>EngramEntry_Deathknight_Pants_C</v>
      </c>
      <c r="J203" s="21" t="str">
        <f t="shared" si="72"/>
        <v>OverrideNamedEngramEntries=(EngramEntry_Deathknight_Pants_C,EngramHidden=true)</v>
      </c>
      <c r="K203" s="1"/>
    </row>
    <row r="204">
      <c r="A204" s="6"/>
      <c r="B204" s="6"/>
      <c r="C204" s="80">
        <f t="shared" si="73"/>
        <v>17</v>
      </c>
      <c r="D204" s="81" t="str">
        <f t="shared" si="74"/>
        <v>PrimalItemArmor</v>
      </c>
      <c r="E204" s="86" t="s">
        <v>2207</v>
      </c>
      <c r="F204" s="87" t="s">
        <v>2208</v>
      </c>
      <c r="G204" s="23" t="str">
        <f t="shared" si="70"/>
        <v>cheat gfi PrimalItemArmor_RiotBoots_Legend_C 1 100 0</v>
      </c>
      <c r="H204" s="87" t="s">
        <v>2209</v>
      </c>
      <c r="I204" s="71" t="str">
        <f t="shared" si="71"/>
        <v>EngramEntry_RiotBoots_Legend_C</v>
      </c>
      <c r="J204" s="23" t="str">
        <f t="shared" si="72"/>
        <v>OverrideNamedEngramEntries=(EngramEntry_RiotBoots_Legend_C,EngramHidden=true)</v>
      </c>
      <c r="K204" s="1"/>
    </row>
    <row r="205">
      <c r="A205" s="6"/>
      <c r="B205" s="6"/>
      <c r="C205" s="84">
        <f t="shared" si="73"/>
        <v>17</v>
      </c>
      <c r="D205" s="85" t="str">
        <f t="shared" si="74"/>
        <v>PrimalItemArmor</v>
      </c>
      <c r="E205" s="82" t="s">
        <v>2210</v>
      </c>
      <c r="F205" s="83" t="s">
        <v>2211</v>
      </c>
      <c r="G205" s="21" t="str">
        <f t="shared" si="70"/>
        <v>cheat gfi PrimalItemArmor_RiotGloves_Legend_C 1 100 0</v>
      </c>
      <c r="H205" s="83" t="s">
        <v>2212</v>
      </c>
      <c r="I205" s="70" t="str">
        <f t="shared" si="71"/>
        <v>EngramEntry_RiotGloves_Legend_C</v>
      </c>
      <c r="J205" s="21" t="str">
        <f t="shared" si="72"/>
        <v>OverrideNamedEngramEntries=(EngramEntry_RiotGloves_Legend_C,EngramHidden=true)</v>
      </c>
      <c r="K205" s="1"/>
    </row>
    <row r="206">
      <c r="A206" s="6"/>
      <c r="B206" s="6"/>
      <c r="C206" s="80">
        <f t="shared" si="73"/>
        <v>17</v>
      </c>
      <c r="D206" s="81" t="str">
        <f t="shared" si="74"/>
        <v>PrimalItemArmor</v>
      </c>
      <c r="E206" s="86" t="s">
        <v>2213</v>
      </c>
      <c r="F206" s="87" t="s">
        <v>2214</v>
      </c>
      <c r="G206" s="23" t="str">
        <f t="shared" si="70"/>
        <v>cheat gfi PrimalItemArmor_RiotHelmet_Legend_C 1 100 0</v>
      </c>
      <c r="H206" s="87" t="s">
        <v>2215</v>
      </c>
      <c r="I206" s="71" t="str">
        <f t="shared" si="71"/>
        <v>EngramEntry_RiotHelmet_Legend_C</v>
      </c>
      <c r="J206" s="23" t="str">
        <f t="shared" si="72"/>
        <v>OverrideNamedEngramEntries=(EngramEntry_RiotHelmet_Legend_C,EngramHidden=true)</v>
      </c>
      <c r="K206" s="1"/>
    </row>
    <row r="207">
      <c r="A207" s="6"/>
      <c r="B207" s="6"/>
      <c r="C207" s="84">
        <f t="shared" si="73"/>
        <v>17</v>
      </c>
      <c r="D207" s="85" t="str">
        <f t="shared" si="74"/>
        <v>PrimalItemArmor</v>
      </c>
      <c r="E207" s="82" t="s">
        <v>2216</v>
      </c>
      <c r="F207" s="83" t="s">
        <v>2217</v>
      </c>
      <c r="G207" s="21" t="str">
        <f t="shared" si="70"/>
        <v>cheat gfi PrimalItemArmor_RiotPants_Legend_C 1 100 0</v>
      </c>
      <c r="H207" s="83" t="s">
        <v>2218</v>
      </c>
      <c r="I207" s="70" t="str">
        <f t="shared" si="71"/>
        <v>EngramEntry_RiotPants_Legend_C</v>
      </c>
      <c r="J207" s="21" t="str">
        <f t="shared" si="72"/>
        <v>OverrideNamedEngramEntries=(EngramEntry_RiotPants_Legend_C,EngramHidden=true)</v>
      </c>
      <c r="K207" s="1"/>
    </row>
    <row r="208">
      <c r="A208" s="6"/>
      <c r="B208" s="6"/>
      <c r="C208" s="80">
        <f t="shared" si="73"/>
        <v>17</v>
      </c>
      <c r="D208" s="81" t="str">
        <f t="shared" si="74"/>
        <v>PrimalItemArmor</v>
      </c>
      <c r="E208" s="86" t="s">
        <v>2219</v>
      </c>
      <c r="F208" s="87" t="s">
        <v>2220</v>
      </c>
      <c r="G208" s="23" t="str">
        <f t="shared" si="70"/>
        <v>cheat gfi PrimalItemArmor_RiotShirt_Legend_C 1 100 0</v>
      </c>
      <c r="H208" s="87" t="s">
        <v>2221</v>
      </c>
      <c r="I208" s="71" t="str">
        <f t="shared" si="71"/>
        <v>EngramEntry_RiotShirt_Legend_C</v>
      </c>
      <c r="J208" s="23" t="str">
        <f t="shared" si="72"/>
        <v>OverrideNamedEngramEntries=(EngramEntry_RiotShirt_Legend_C,EngramHidden=true)</v>
      </c>
      <c r="K208" s="1"/>
    </row>
    <row r="209">
      <c r="A209" s="6"/>
      <c r="B209" s="6"/>
      <c r="C209" s="80">
        <f t="shared" si="73"/>
        <v>17</v>
      </c>
      <c r="D209" s="81" t="str">
        <f t="shared" si="74"/>
        <v>PrimalItemArmor</v>
      </c>
      <c r="E209" s="82" t="s">
        <v>2222</v>
      </c>
      <c r="F209" s="83" t="s">
        <v>2223</v>
      </c>
      <c r="G209" s="21" t="str">
        <f t="shared" si="70"/>
        <v>cheat gfi PrimalItemArmor_MetalBoots_Mythic_C 1 100 0</v>
      </c>
      <c r="H209" s="83" t="s">
        <v>2224</v>
      </c>
      <c r="I209" s="70" t="str">
        <f t="shared" si="71"/>
        <v>EngramEntry_MetalBoots_Mythic_C</v>
      </c>
      <c r="J209" s="21" t="str">
        <f t="shared" si="72"/>
        <v>OverrideNamedEngramEntries=(EngramEntry_MetalBoots_Mythic_C,EngramHidden=true)</v>
      </c>
      <c r="K209" s="1"/>
    </row>
    <row r="210">
      <c r="A210" s="6"/>
      <c r="B210" s="6"/>
      <c r="C210" s="84">
        <f t="shared" si="73"/>
        <v>17</v>
      </c>
      <c r="D210" s="85" t="str">
        <f t="shared" si="74"/>
        <v>PrimalItemArmor</v>
      </c>
      <c r="E210" s="86" t="s">
        <v>2225</v>
      </c>
      <c r="F210" s="87" t="s">
        <v>2226</v>
      </c>
      <c r="G210" s="23" t="str">
        <f t="shared" si="70"/>
        <v>cheat gfi PrimalItemArmor_MetalGloves_Mythic_C 1 100 0</v>
      </c>
      <c r="H210" s="87" t="s">
        <v>2227</v>
      </c>
      <c r="I210" s="71" t="str">
        <f t="shared" si="71"/>
        <v>EngramEntry_MetalGloves_Mythic_C</v>
      </c>
      <c r="J210" s="23" t="str">
        <f t="shared" si="72"/>
        <v>OverrideNamedEngramEntries=(EngramEntry_MetalGloves_Mythic_C,EngramHidden=true)</v>
      </c>
      <c r="K210" s="1"/>
    </row>
    <row r="211">
      <c r="A211" s="6"/>
      <c r="B211" s="6"/>
      <c r="C211" s="80">
        <f t="shared" si="73"/>
        <v>17</v>
      </c>
      <c r="D211" s="81" t="str">
        <f t="shared" si="74"/>
        <v>PrimalItemArmor</v>
      </c>
      <c r="E211" s="82" t="s">
        <v>2228</v>
      </c>
      <c r="F211" s="83" t="s">
        <v>2229</v>
      </c>
      <c r="G211" s="21" t="str">
        <f t="shared" si="70"/>
        <v>cheat gfi PrimalItemArmor_MetalHelmet_Mythic_C 1 100 0</v>
      </c>
      <c r="H211" s="83" t="s">
        <v>2230</v>
      </c>
      <c r="I211" s="70" t="str">
        <f t="shared" si="71"/>
        <v>EngramEntry_MetalHelmet_Mythic_C</v>
      </c>
      <c r="J211" s="21" t="str">
        <f t="shared" si="72"/>
        <v>OverrideNamedEngramEntries=(EngramEntry_MetalHelmet_Mythic_C,EngramHidden=true)</v>
      </c>
      <c r="K211" s="1"/>
    </row>
    <row r="212">
      <c r="A212" s="6"/>
      <c r="B212" s="6"/>
      <c r="C212" s="84">
        <f t="shared" si="73"/>
        <v>17</v>
      </c>
      <c r="D212" s="85" t="str">
        <f t="shared" si="74"/>
        <v>PrimalItemArmor</v>
      </c>
      <c r="E212" s="86" t="s">
        <v>2231</v>
      </c>
      <c r="F212" s="87" t="s">
        <v>2232</v>
      </c>
      <c r="G212" s="23" t="str">
        <f t="shared" si="70"/>
        <v>cheat gfi PrimalItemArmor_MetalPants_Mythic_C 1 100 0</v>
      </c>
      <c r="H212" s="87" t="s">
        <v>2233</v>
      </c>
      <c r="I212" s="71" t="str">
        <f t="shared" si="71"/>
        <v>EngramEntry_MetalPants_Mythic_C</v>
      </c>
      <c r="J212" s="23" t="str">
        <f t="shared" si="72"/>
        <v>OverrideNamedEngramEntries=(EngramEntry_MetalPants_Mythic_C,EngramHidden=true)</v>
      </c>
      <c r="K212" s="1"/>
    </row>
    <row r="213">
      <c r="A213" s="6"/>
      <c r="B213" s="6"/>
      <c r="C213" s="80">
        <f t="shared" si="73"/>
        <v>17</v>
      </c>
      <c r="D213" s="81" t="str">
        <f t="shared" si="74"/>
        <v>PrimalItemArmor</v>
      </c>
      <c r="E213" s="82" t="s">
        <v>2234</v>
      </c>
      <c r="F213" s="83" t="s">
        <v>2235</v>
      </c>
      <c r="G213" s="21" t="str">
        <f t="shared" si="70"/>
        <v>cheat gfi PrimalItemArmor_MetalShirt_Mythic_C 1 100 0</v>
      </c>
      <c r="H213" s="83" t="s">
        <v>2236</v>
      </c>
      <c r="I213" s="70" t="str">
        <f t="shared" si="71"/>
        <v>EngramEntry_MetalShirt_Mythic_C</v>
      </c>
      <c r="J213" s="21" t="str">
        <f t="shared" si="72"/>
        <v>OverrideNamedEngramEntries=(EngramEntry_MetalShirt_Mythic_C,EngramHidden=true)</v>
      </c>
      <c r="K213" s="1"/>
    </row>
    <row r="214">
      <c r="A214" s="6"/>
      <c r="B214" s="6"/>
      <c r="C214" s="80">
        <f t="shared" si="73"/>
        <v>17</v>
      </c>
      <c r="D214" s="81" t="str">
        <f t="shared" si="74"/>
        <v>PrimalItemArmor</v>
      </c>
      <c r="E214" s="86" t="s">
        <v>2237</v>
      </c>
      <c r="F214" s="87" t="s">
        <v>2238</v>
      </c>
      <c r="G214" s="23" t="str">
        <f t="shared" si="70"/>
        <v>cheat gfi PrimalItemArmor_MetalBoots_Volcanic_C 1 100 0</v>
      </c>
      <c r="H214" s="87" t="s">
        <v>2239</v>
      </c>
      <c r="I214" s="71" t="str">
        <f t="shared" si="71"/>
        <v>EngramEntry_MetalBoots_Volcanic_C</v>
      </c>
      <c r="J214" s="23" t="str">
        <f t="shared" si="72"/>
        <v>OverrideNamedEngramEntries=(EngramEntry_MetalBoots_Volcanic_C,EngramHidden=true)</v>
      </c>
      <c r="K214" s="1"/>
    </row>
    <row r="215">
      <c r="A215" s="6"/>
      <c r="B215" s="6"/>
      <c r="C215" s="84">
        <f t="shared" si="73"/>
        <v>17</v>
      </c>
      <c r="D215" s="85" t="str">
        <f t="shared" si="74"/>
        <v>PrimalItemArmor</v>
      </c>
      <c r="E215" s="82" t="s">
        <v>2240</v>
      </c>
      <c r="F215" s="83" t="s">
        <v>2241</v>
      </c>
      <c r="G215" s="21" t="str">
        <f t="shared" si="70"/>
        <v>cheat gfi PrimalItemArmor_MetalGloves_Volcanic_C 1 100 0</v>
      </c>
      <c r="H215" s="83" t="s">
        <v>2242</v>
      </c>
      <c r="I215" s="70" t="str">
        <f t="shared" si="71"/>
        <v>EngramEntry_MetalGloves_Volcanic_C</v>
      </c>
      <c r="J215" s="21" t="str">
        <f t="shared" si="72"/>
        <v>OverrideNamedEngramEntries=(EngramEntry_MetalGloves_Volcanic_C,EngramHidden=true)</v>
      </c>
      <c r="K215" s="1"/>
    </row>
    <row r="216">
      <c r="A216" s="6"/>
      <c r="B216" s="6"/>
      <c r="C216" s="80">
        <f t="shared" si="73"/>
        <v>17</v>
      </c>
      <c r="D216" s="81" t="str">
        <f t="shared" si="74"/>
        <v>PrimalItemArmor</v>
      </c>
      <c r="E216" s="86" t="s">
        <v>2243</v>
      </c>
      <c r="F216" s="87" t="s">
        <v>2244</v>
      </c>
      <c r="G216" s="23" t="str">
        <f t="shared" si="70"/>
        <v>cheat gfi PrimalItemArmor_MetalHelmet_Volcanic_C 1 100 0</v>
      </c>
      <c r="H216" s="87" t="s">
        <v>2245</v>
      </c>
      <c r="I216" s="71" t="str">
        <f t="shared" si="71"/>
        <v>EngramEntry_MetalHelmet_Volcanic_C</v>
      </c>
      <c r="J216" s="23" t="str">
        <f t="shared" si="72"/>
        <v>OverrideNamedEngramEntries=(EngramEntry_MetalHelmet_Volcanic_C,EngramHidden=true)</v>
      </c>
      <c r="K216" s="1"/>
    </row>
    <row r="217">
      <c r="A217" s="6"/>
      <c r="B217" s="6"/>
      <c r="C217" s="84">
        <f t="shared" si="73"/>
        <v>17</v>
      </c>
      <c r="D217" s="85" t="str">
        <f t="shared" si="74"/>
        <v>PrimalItemArmor</v>
      </c>
      <c r="E217" s="82" t="s">
        <v>2246</v>
      </c>
      <c r="F217" s="83" t="s">
        <v>2247</v>
      </c>
      <c r="G217" s="21" t="str">
        <f t="shared" si="70"/>
        <v>cheat gfi PrimalItemArmor_MetalPants_Volcanic_C 1 100 0</v>
      </c>
      <c r="H217" s="83" t="s">
        <v>2248</v>
      </c>
      <c r="I217" s="70" t="str">
        <f t="shared" si="71"/>
        <v>EngramEntry_MetalPants_Volcanic_C</v>
      </c>
      <c r="J217" s="21" t="str">
        <f t="shared" si="72"/>
        <v>OverrideNamedEngramEntries=(EngramEntry_MetalPants_Volcanic_C,EngramHidden=true)</v>
      </c>
      <c r="K217" s="1"/>
    </row>
    <row r="218">
      <c r="A218" s="6"/>
      <c r="B218" s="6"/>
      <c r="C218" s="80">
        <f t="shared" si="73"/>
        <v>17</v>
      </c>
      <c r="D218" s="81" t="str">
        <f t="shared" si="74"/>
        <v>PrimalItemArmor</v>
      </c>
      <c r="E218" s="86" t="s">
        <v>2249</v>
      </c>
      <c r="F218" s="87" t="s">
        <v>2250</v>
      </c>
      <c r="G218" s="23" t="str">
        <f t="shared" si="70"/>
        <v>cheat gfi PrimalItemArmor_MetalShirt_Volcanic_C 1 100 0</v>
      </c>
      <c r="H218" s="87" t="s">
        <v>2251</v>
      </c>
      <c r="I218" s="71" t="str">
        <f t="shared" si="71"/>
        <v>EngramEntry_MetalShirt_Volcanic_C</v>
      </c>
      <c r="J218" s="23" t="str">
        <f t="shared" si="72"/>
        <v>OverrideNamedEngramEntries=(EngramEntry_MetalShirt_Volcanic_C,EngramHidden=true)</v>
      </c>
      <c r="K218" s="1"/>
    </row>
    <row r="219">
      <c r="A219" s="6"/>
      <c r="B219" s="92"/>
      <c r="C219" s="93"/>
      <c r="D219" s="94"/>
      <c r="E219" s="95"/>
      <c r="F219" s="95"/>
      <c r="G219" s="94"/>
      <c r="H219" s="95"/>
      <c r="I219" s="95"/>
      <c r="J219" s="94"/>
      <c r="K219" s="1"/>
    </row>
    <row r="220">
      <c r="A220" s="6"/>
      <c r="B220" s="96" t="s">
        <v>2252</v>
      </c>
      <c r="C220" s="97">
        <v>18.0</v>
      </c>
      <c r="D220" s="81" t="str">
        <f t="shared" ref="D220:D221" si="75">Left(F220,find("Saddle",F220)+5)</f>
        <v>PrimalItemSaddle</v>
      </c>
      <c r="E220" s="87" t="s">
        <v>2253</v>
      </c>
      <c r="F220" s="87" t="s">
        <v>2254</v>
      </c>
      <c r="G220" s="81" t="str">
        <f t="shared" ref="G220:G303" si="76">CONCATENATE("cheat gfi ",F220," 1 0 0")</f>
        <v>cheat gfi PrimalItemSaddle_Achatina_Alpha_C 1 0 0</v>
      </c>
      <c r="H220" s="87" t="s">
        <v>2255</v>
      </c>
      <c r="I220" s="71" t="str">
        <f t="shared" ref="I220:I504" si="77">CONCATENATE("EngramEntry",RIGHT(F220,LEN(F220) - (FIND("_",F220) - 1)))</f>
        <v>EngramEntry_Achatina_Alpha_C</v>
      </c>
      <c r="J220" s="98" t="str">
        <f t="shared" ref="J220:J504" si="78">"OverrideNamedEngramEntries=("&amp;I220&amp;",EngramHidden=true)"</f>
        <v>OverrideNamedEngramEntries=(EngramEntry_Achatina_Alpha_C,EngramHidden=true)</v>
      </c>
      <c r="K220" s="1"/>
    </row>
    <row r="221">
      <c r="A221" s="6"/>
      <c r="B221" s="6"/>
      <c r="C221" s="97">
        <v>18.0</v>
      </c>
      <c r="D221" s="81" t="str">
        <f t="shared" si="75"/>
        <v>PrimalItemSaddle</v>
      </c>
      <c r="E221" s="83" t="s">
        <v>2256</v>
      </c>
      <c r="F221" s="83" t="s">
        <v>2257</v>
      </c>
      <c r="G221" s="85" t="str">
        <f t="shared" si="76"/>
        <v>cheat gfi PrimalItemSaddle_Achatina_Toxic_C 1 0 0</v>
      </c>
      <c r="H221" s="83" t="s">
        <v>2258</v>
      </c>
      <c r="I221" s="70" t="str">
        <f t="shared" si="77"/>
        <v>EngramEntry_Achatina_Toxic_C</v>
      </c>
      <c r="J221" s="99" t="str">
        <f t="shared" si="78"/>
        <v>OverrideNamedEngramEntries=(EngramEntry_Achatina_Toxic_C,EngramHidden=true)</v>
      </c>
      <c r="K221" s="1"/>
    </row>
    <row r="222">
      <c r="A222" s="6"/>
      <c r="B222" s="6"/>
      <c r="C222" s="97">
        <v>18.0</v>
      </c>
      <c r="D222" s="81" t="str">
        <f t="shared" ref="D222:D230" si="79">Left(F222,find("Armor",F222)+4)</f>
        <v>PrimalItemArmor</v>
      </c>
      <c r="E222" s="87" t="s">
        <v>2259</v>
      </c>
      <c r="F222" s="87" t="s">
        <v>2260</v>
      </c>
      <c r="G222" s="81" t="str">
        <f t="shared" si="76"/>
        <v>cheat gfi PrimalItemArmor_AlloSaddle_Alpha_C 1 0 0</v>
      </c>
      <c r="H222" s="87" t="s">
        <v>2261</v>
      </c>
      <c r="I222" s="71" t="str">
        <f t="shared" si="77"/>
        <v>EngramEntry_AlloSaddle_Alpha_C</v>
      </c>
      <c r="J222" s="98" t="str">
        <f t="shared" si="78"/>
        <v>OverrideNamedEngramEntries=(EngramEntry_AlloSaddle_Alpha_C,EngramHidden=true)</v>
      </c>
      <c r="K222" s="1"/>
    </row>
    <row r="223">
      <c r="A223" s="6"/>
      <c r="B223" s="6"/>
      <c r="C223" s="97">
        <v>18.0</v>
      </c>
      <c r="D223" s="81" t="str">
        <f t="shared" si="79"/>
        <v>PrimalItemArmor</v>
      </c>
      <c r="E223" s="83" t="s">
        <v>2262</v>
      </c>
      <c r="F223" s="83" t="s">
        <v>2263</v>
      </c>
      <c r="G223" s="85" t="str">
        <f t="shared" si="76"/>
        <v>cheat gfi PrimalItemArmor_AlloSaddle_Electric_C 1 0 0</v>
      </c>
      <c r="H223" s="83" t="s">
        <v>2264</v>
      </c>
      <c r="I223" s="70" t="str">
        <f t="shared" si="77"/>
        <v>EngramEntry_AlloSaddle_Electric_C</v>
      </c>
      <c r="J223" s="99" t="str">
        <f t="shared" si="78"/>
        <v>OverrideNamedEngramEntries=(EngramEntry_AlloSaddle_Electric_C,EngramHidden=true)</v>
      </c>
      <c r="K223" s="1"/>
    </row>
    <row r="224">
      <c r="A224" s="6"/>
      <c r="B224" s="6"/>
      <c r="C224" s="97">
        <v>18.0</v>
      </c>
      <c r="D224" s="81" t="str">
        <f t="shared" si="79"/>
        <v>PrimalItemArmor</v>
      </c>
      <c r="E224" s="87" t="s">
        <v>2265</v>
      </c>
      <c r="F224" s="87" t="s">
        <v>2266</v>
      </c>
      <c r="G224" s="81" t="str">
        <f t="shared" si="76"/>
        <v>cheat gfi PrimalItemArmor_AlloSaddle_Hydro_C 1 0 0</v>
      </c>
      <c r="H224" s="87" t="s">
        <v>2267</v>
      </c>
      <c r="I224" s="71" t="str">
        <f t="shared" si="77"/>
        <v>EngramEntry_AlloSaddle_Hydro_C</v>
      </c>
      <c r="J224" s="98" t="str">
        <f t="shared" si="78"/>
        <v>OverrideNamedEngramEntries=(EngramEntry_AlloSaddle_Hydro_C,EngramHidden=true)</v>
      </c>
      <c r="K224" s="1"/>
    </row>
    <row r="225">
      <c r="A225" s="6"/>
      <c r="B225" s="6"/>
      <c r="C225" s="97">
        <v>18.0</v>
      </c>
      <c r="D225" s="81" t="str">
        <f t="shared" si="79"/>
        <v>PrimalItemArmor</v>
      </c>
      <c r="E225" s="83" t="s">
        <v>2268</v>
      </c>
      <c r="F225" s="83" t="s">
        <v>2269</v>
      </c>
      <c r="G225" s="85" t="str">
        <f t="shared" si="76"/>
        <v>cheat gfi PrimalItemArmor_AlloSaddle_Legendary_C 1 0 0</v>
      </c>
      <c r="H225" s="83" t="s">
        <v>2270</v>
      </c>
      <c r="I225" s="70" t="str">
        <f t="shared" si="77"/>
        <v>EngramEntry_AlloSaddle_Legendary_C</v>
      </c>
      <c r="J225" s="99" t="str">
        <f t="shared" si="78"/>
        <v>OverrideNamedEngramEntries=(EngramEntry_AlloSaddle_Legendary_C,EngramHidden=true)</v>
      </c>
      <c r="K225" s="1"/>
    </row>
    <row r="226">
      <c r="A226" s="6"/>
      <c r="B226" s="6"/>
      <c r="C226" s="97">
        <v>18.0</v>
      </c>
      <c r="D226" s="81" t="str">
        <f t="shared" si="79"/>
        <v>PrimalItemArmor</v>
      </c>
      <c r="E226" s="87" t="s">
        <v>2271</v>
      </c>
      <c r="F226" s="87" t="s">
        <v>2272</v>
      </c>
      <c r="G226" s="81" t="str">
        <f t="shared" si="76"/>
        <v>cheat gfi PrimalItemArmor_AlloSaddle_Toxic_C 1 0 0</v>
      </c>
      <c r="H226" s="87" t="s">
        <v>2273</v>
      </c>
      <c r="I226" s="71" t="str">
        <f t="shared" si="77"/>
        <v>EngramEntry_AlloSaddle_Toxic_C</v>
      </c>
      <c r="J226" s="98" t="str">
        <f t="shared" si="78"/>
        <v>OverrideNamedEngramEntries=(EngramEntry_AlloSaddle_Toxic_C,EngramHidden=true)</v>
      </c>
      <c r="K226" s="1"/>
    </row>
    <row r="227">
      <c r="A227" s="6"/>
      <c r="B227" s="6"/>
      <c r="C227" s="97">
        <v>18.0</v>
      </c>
      <c r="D227" s="81" t="str">
        <f t="shared" si="79"/>
        <v>PrimalItemArmor</v>
      </c>
      <c r="E227" s="83" t="s">
        <v>2274</v>
      </c>
      <c r="F227" s="83" t="s">
        <v>2275</v>
      </c>
      <c r="G227" s="85" t="str">
        <f t="shared" si="76"/>
        <v>cheat gfi PrimalItemArmor_AlloSaddle_Volcanic_C 1 0 0</v>
      </c>
      <c r="H227" s="83" t="s">
        <v>2276</v>
      </c>
      <c r="I227" s="70" t="str">
        <f t="shared" si="77"/>
        <v>EngramEntry_AlloSaddle_Volcanic_C</v>
      </c>
      <c r="J227" s="99" t="str">
        <f t="shared" si="78"/>
        <v>OverrideNamedEngramEntries=(EngramEntry_AlloSaddle_Volcanic_C,EngramHidden=true)</v>
      </c>
      <c r="K227" s="1"/>
    </row>
    <row r="228">
      <c r="A228" s="6"/>
      <c r="B228" s="6"/>
      <c r="C228" s="97">
        <v>18.0</v>
      </c>
      <c r="D228" s="81" t="str">
        <f t="shared" si="79"/>
        <v>PrimalItemArmor</v>
      </c>
      <c r="E228" s="87" t="s">
        <v>2277</v>
      </c>
      <c r="F228" s="87" t="s">
        <v>2278</v>
      </c>
      <c r="G228" s="81" t="str">
        <f t="shared" si="76"/>
        <v>cheat gfi PrimalItemArmor_AnkyloSaddle_Alpha_C 1 0 0</v>
      </c>
      <c r="H228" s="87" t="s">
        <v>2279</v>
      </c>
      <c r="I228" s="71" t="str">
        <f t="shared" si="77"/>
        <v>EngramEntry_AnkyloSaddle_Alpha_C</v>
      </c>
      <c r="J228" s="98" t="str">
        <f t="shared" si="78"/>
        <v>OverrideNamedEngramEntries=(EngramEntry_AnkyloSaddle_Alpha_C,EngramHidden=true)</v>
      </c>
      <c r="K228" s="1"/>
    </row>
    <row r="229">
      <c r="A229" s="6"/>
      <c r="B229" s="6"/>
      <c r="C229" s="97">
        <v>18.0</v>
      </c>
      <c r="D229" s="81" t="str">
        <f t="shared" si="79"/>
        <v>PrimalItemArmor</v>
      </c>
      <c r="E229" s="83" t="s">
        <v>2280</v>
      </c>
      <c r="F229" s="83" t="s">
        <v>2281</v>
      </c>
      <c r="G229" s="85" t="str">
        <f t="shared" si="76"/>
        <v>cheat gfi PrimalItemArmor_AnkyloSaddle_Mythic_C 1 0 0</v>
      </c>
      <c r="H229" s="83" t="s">
        <v>2282</v>
      </c>
      <c r="I229" s="70" t="str">
        <f t="shared" si="77"/>
        <v>EngramEntry_AnkyloSaddle_Mythic_C</v>
      </c>
      <c r="J229" s="99" t="str">
        <f t="shared" si="78"/>
        <v>OverrideNamedEngramEntries=(EngramEntry_AnkyloSaddle_Mythic_C,EngramHidden=true)</v>
      </c>
      <c r="K229" s="1"/>
    </row>
    <row r="230">
      <c r="A230" s="6"/>
      <c r="B230" s="6"/>
      <c r="C230" s="97">
        <v>18.0</v>
      </c>
      <c r="D230" s="81" t="str">
        <f t="shared" si="79"/>
        <v>PrimalItemArmor</v>
      </c>
      <c r="E230" s="87" t="s">
        <v>2283</v>
      </c>
      <c r="F230" s="87" t="s">
        <v>2284</v>
      </c>
      <c r="G230" s="81" t="str">
        <f t="shared" si="76"/>
        <v>cheat gfi PrimalItemArmor_AnkyloSaddle_Toxic_C 1 0 0</v>
      </c>
      <c r="H230" s="87" t="s">
        <v>2285</v>
      </c>
      <c r="I230" s="71" t="str">
        <f t="shared" si="77"/>
        <v>EngramEntry_AnkyloSaddle_Toxic_C</v>
      </c>
      <c r="J230" s="98" t="str">
        <f t="shared" si="78"/>
        <v>OverrideNamedEngramEntries=(EngramEntry_AnkyloSaddle_Toxic_C,EngramHidden=true)</v>
      </c>
      <c r="K230" s="1"/>
    </row>
    <row r="231">
      <c r="A231" s="6"/>
      <c r="B231" s="6"/>
      <c r="C231" s="97">
        <v>18.0</v>
      </c>
      <c r="D231" s="81" t="str">
        <f t="shared" ref="D231:D234" si="80">Left(F231,find("Saddle",F231)+5)</f>
        <v>PrimalItemSaddle</v>
      </c>
      <c r="E231" s="83" t="s">
        <v>2286</v>
      </c>
      <c r="F231" s="83" t="s">
        <v>2287</v>
      </c>
      <c r="G231" s="85" t="str">
        <f t="shared" si="76"/>
        <v>cheat gfi PrimalItemSaddle_Ant_Alpha_C 1 0 0</v>
      </c>
      <c r="H231" s="83" t="s">
        <v>2288</v>
      </c>
      <c r="I231" s="70" t="str">
        <f t="shared" si="77"/>
        <v>EngramEntry_Ant_Alpha_C</v>
      </c>
      <c r="J231" s="99" t="str">
        <f t="shared" si="78"/>
        <v>OverrideNamedEngramEntries=(EngramEntry_Ant_Alpha_C,EngramHidden=true)</v>
      </c>
      <c r="K231" s="1"/>
    </row>
    <row r="232">
      <c r="A232" s="6"/>
      <c r="B232" s="6"/>
      <c r="C232" s="97">
        <v>18.0</v>
      </c>
      <c r="D232" s="81" t="str">
        <f t="shared" si="80"/>
        <v>PrimalItemSaddle</v>
      </c>
      <c r="E232" s="87" t="s">
        <v>2289</v>
      </c>
      <c r="F232" s="87" t="s">
        <v>2290</v>
      </c>
      <c r="G232" s="81" t="str">
        <f t="shared" si="76"/>
        <v>cheat gfi PrimalItemSaddle_Ant_Toxic_C 1 0 0</v>
      </c>
      <c r="H232" s="87" t="s">
        <v>2291</v>
      </c>
      <c r="I232" s="71" t="str">
        <f t="shared" si="77"/>
        <v>EngramEntry_Ant_Toxic_C</v>
      </c>
      <c r="J232" s="98" t="str">
        <f t="shared" si="78"/>
        <v>OverrideNamedEngramEntries=(EngramEntry_Ant_Toxic_C,EngramHidden=true)</v>
      </c>
      <c r="K232" s="1"/>
    </row>
    <row r="233">
      <c r="A233" s="6"/>
      <c r="B233" s="6"/>
      <c r="C233" s="97">
        <v>18.0</v>
      </c>
      <c r="D233" s="81" t="str">
        <f t="shared" si="80"/>
        <v>PrimalItemSaddle</v>
      </c>
      <c r="E233" s="83" t="s">
        <v>2292</v>
      </c>
      <c r="F233" s="83" t="s">
        <v>2293</v>
      </c>
      <c r="G233" s="85" t="str">
        <f t="shared" si="76"/>
        <v>cheat gfi PrimalItemSaddle_Archaeopteryx_Alpha_C 1 0 0</v>
      </c>
      <c r="H233" s="83" t="s">
        <v>2294</v>
      </c>
      <c r="I233" s="70" t="str">
        <f t="shared" si="77"/>
        <v>EngramEntry_Archaeopteryx_Alpha_C</v>
      </c>
      <c r="J233" s="99" t="str">
        <f t="shared" si="78"/>
        <v>OverrideNamedEngramEntries=(EngramEntry_Archaeopteryx_Alpha_C,EngramHidden=true)</v>
      </c>
      <c r="K233" s="1"/>
    </row>
    <row r="234">
      <c r="A234" s="6"/>
      <c r="B234" s="6"/>
      <c r="C234" s="97">
        <v>18.0</v>
      </c>
      <c r="D234" s="81" t="str">
        <f t="shared" si="80"/>
        <v>PrimalItemSaddle</v>
      </c>
      <c r="E234" s="87" t="s">
        <v>2295</v>
      </c>
      <c r="F234" s="87" t="s">
        <v>2296</v>
      </c>
      <c r="G234" s="81" t="str">
        <f t="shared" si="76"/>
        <v>cheat gfi PrimalItemSaddle_Archaeopteryx_Toxic_C 1 0 0</v>
      </c>
      <c r="H234" s="87" t="s">
        <v>2297</v>
      </c>
      <c r="I234" s="71" t="str">
        <f t="shared" si="77"/>
        <v>EngramEntry_Archaeopteryx_Toxic_C</v>
      </c>
      <c r="J234" s="98" t="str">
        <f t="shared" si="78"/>
        <v>OverrideNamedEngramEntries=(EngramEntry_Archaeopteryx_Toxic_C,EngramHidden=true)</v>
      </c>
      <c r="K234" s="1"/>
    </row>
    <row r="235">
      <c r="A235" s="6"/>
      <c r="B235" s="6"/>
      <c r="C235" s="97">
        <v>18.0</v>
      </c>
      <c r="D235" s="81" t="str">
        <f t="shared" ref="D235:D240" si="81">Left(F235,find("Armor",F235)+4)</f>
        <v>PrimalItemArmor</v>
      </c>
      <c r="E235" s="83" t="s">
        <v>2298</v>
      </c>
      <c r="F235" s="83" t="s">
        <v>2299</v>
      </c>
      <c r="G235" s="85" t="str">
        <f t="shared" si="76"/>
        <v>cheat gfi PrimalItemArmor_ArgentavisSaddle_Alpha_C 1 0 0</v>
      </c>
      <c r="H235" s="83" t="s">
        <v>2300</v>
      </c>
      <c r="I235" s="70" t="str">
        <f t="shared" si="77"/>
        <v>EngramEntry_ArgentavisSaddle_Alpha_C</v>
      </c>
      <c r="J235" s="99" t="str">
        <f t="shared" si="78"/>
        <v>OverrideNamedEngramEntries=(EngramEntry_ArgentavisSaddle_Alpha_C,EngramHidden=true)</v>
      </c>
      <c r="K235" s="1"/>
    </row>
    <row r="236">
      <c r="A236" s="6"/>
      <c r="B236" s="6"/>
      <c r="C236" s="97">
        <v>18.0</v>
      </c>
      <c r="D236" s="81" t="str">
        <f t="shared" si="81"/>
        <v>PrimalItemArmor</v>
      </c>
      <c r="E236" s="87" t="s">
        <v>2301</v>
      </c>
      <c r="F236" s="87" t="s">
        <v>2302</v>
      </c>
      <c r="G236" s="81" t="str">
        <f t="shared" si="76"/>
        <v>cheat gfi PrimalItemArmor_ArgentavisSaddle_Angelic_C 1 0 0</v>
      </c>
      <c r="H236" s="87" t="s">
        <v>2303</v>
      </c>
      <c r="I236" s="71" t="str">
        <f t="shared" si="77"/>
        <v>EngramEntry_ArgentavisSaddle_Angelic_C</v>
      </c>
      <c r="J236" s="98" t="str">
        <f t="shared" si="78"/>
        <v>OverrideNamedEngramEntries=(EngramEntry_ArgentavisSaddle_Angelic_C,EngramHidden=true)</v>
      </c>
      <c r="K236" s="1"/>
    </row>
    <row r="237">
      <c r="A237" s="6"/>
      <c r="B237" s="6"/>
      <c r="C237" s="97">
        <v>18.0</v>
      </c>
      <c r="D237" s="81" t="str">
        <f t="shared" si="81"/>
        <v>PrimalItemArmor</v>
      </c>
      <c r="E237" s="83" t="s">
        <v>2304</v>
      </c>
      <c r="F237" s="83" t="s">
        <v>2305</v>
      </c>
      <c r="G237" s="85" t="str">
        <f t="shared" si="76"/>
        <v>cheat gfi PrimalItemArmor_ArgentavisSaddle_Electric_C 1 0 0</v>
      </c>
      <c r="H237" s="83" t="s">
        <v>2306</v>
      </c>
      <c r="I237" s="70" t="str">
        <f t="shared" si="77"/>
        <v>EngramEntry_ArgentavisSaddle_Electric_C</v>
      </c>
      <c r="J237" s="99" t="str">
        <f t="shared" si="78"/>
        <v>OverrideNamedEngramEntries=(EngramEntry_ArgentavisSaddle_Electric_C,EngramHidden=true)</v>
      </c>
      <c r="K237" s="1"/>
    </row>
    <row r="238">
      <c r="A238" s="6"/>
      <c r="B238" s="6"/>
      <c r="C238" s="97">
        <v>18.0</v>
      </c>
      <c r="D238" s="81" t="str">
        <f t="shared" si="81"/>
        <v>PrimalItemArmor</v>
      </c>
      <c r="E238" s="87" t="s">
        <v>2307</v>
      </c>
      <c r="F238" s="87" t="s">
        <v>2308</v>
      </c>
      <c r="G238" s="81" t="str">
        <f t="shared" si="76"/>
        <v>cheat gfi PrimalItemArmor_ArgentavisSaddle_Fairy_C 1 0 0</v>
      </c>
      <c r="H238" s="87" t="s">
        <v>2309</v>
      </c>
      <c r="I238" s="71" t="str">
        <f t="shared" si="77"/>
        <v>EngramEntry_ArgentavisSaddle_Fairy_C</v>
      </c>
      <c r="J238" s="98" t="str">
        <f t="shared" si="78"/>
        <v>OverrideNamedEngramEntries=(EngramEntry_ArgentavisSaddle_Fairy_C,EngramHidden=true)</v>
      </c>
      <c r="K238" s="1"/>
    </row>
    <row r="239">
      <c r="A239" s="6"/>
      <c r="B239" s="6"/>
      <c r="C239" s="97">
        <v>18.0</v>
      </c>
      <c r="D239" s="81" t="str">
        <f t="shared" si="81"/>
        <v>PrimalItemArmor</v>
      </c>
      <c r="E239" s="83" t="s">
        <v>2310</v>
      </c>
      <c r="F239" s="83" t="s">
        <v>2311</v>
      </c>
      <c r="G239" s="85" t="str">
        <f t="shared" si="76"/>
        <v>cheat gfi PrimalItemArmor_ArgentavisSaddle_Mythic_C 1 0 0</v>
      </c>
      <c r="H239" s="83" t="s">
        <v>2312</v>
      </c>
      <c r="I239" s="70" t="str">
        <f t="shared" si="77"/>
        <v>EngramEntry_ArgentavisSaddle_Mythic_C</v>
      </c>
      <c r="J239" s="99" t="str">
        <f t="shared" si="78"/>
        <v>OverrideNamedEngramEntries=(EngramEntry_ArgentavisSaddle_Mythic_C,EngramHidden=true)</v>
      </c>
      <c r="K239" s="1"/>
    </row>
    <row r="240">
      <c r="A240" s="6"/>
      <c r="B240" s="6"/>
      <c r="C240" s="97">
        <v>18.0</v>
      </c>
      <c r="D240" s="81" t="str">
        <f t="shared" si="81"/>
        <v>PrimalItemArmor</v>
      </c>
      <c r="E240" s="87" t="s">
        <v>2313</v>
      </c>
      <c r="F240" s="87" t="s">
        <v>2314</v>
      </c>
      <c r="G240" s="81" t="str">
        <f t="shared" si="76"/>
        <v>cheat gfi PrimalItemArmor_ArgentavisSaddle_Toxic_C 1 0 0</v>
      </c>
      <c r="H240" s="87" t="s">
        <v>2315</v>
      </c>
      <c r="I240" s="71" t="str">
        <f t="shared" si="77"/>
        <v>EngramEntry_ArgentavisSaddle_Toxic_C</v>
      </c>
      <c r="J240" s="98" t="str">
        <f t="shared" si="78"/>
        <v>OverrideNamedEngramEntries=(EngramEntry_ArgentavisSaddle_Toxic_C,EngramHidden=true)</v>
      </c>
      <c r="K240" s="1"/>
    </row>
    <row r="241">
      <c r="A241" s="6"/>
      <c r="B241" s="6"/>
      <c r="C241" s="97"/>
      <c r="D241" s="81"/>
      <c r="E241" s="83" t="s">
        <v>2316</v>
      </c>
      <c r="F241" s="43" t="s">
        <v>2317</v>
      </c>
      <c r="G241" s="85" t="str">
        <f t="shared" si="76"/>
        <v>cheat gfi PrimalItemArmor_ArgentavisSaddle_Origin_C 1 0 0</v>
      </c>
      <c r="H241" s="83" t="s">
        <v>2318</v>
      </c>
      <c r="I241" s="70" t="str">
        <f t="shared" si="77"/>
        <v>EngramEntry_ArgentavisSaddle_Origin_C</v>
      </c>
      <c r="J241" s="99" t="str">
        <f t="shared" si="78"/>
        <v>OverrideNamedEngramEntries=(EngramEntry_ArgentavisSaddle_Origin_C,EngramHidden=true)</v>
      </c>
      <c r="K241" s="1"/>
    </row>
    <row r="242">
      <c r="A242" s="6"/>
      <c r="B242" s="6"/>
      <c r="C242" s="97">
        <v>18.0</v>
      </c>
      <c r="D242" s="81" t="str">
        <f t="shared" ref="D242:D251" si="82">Left(F242,find("Armor",F242)+4)</f>
        <v>PrimalItemArmor</v>
      </c>
      <c r="E242" s="87" t="s">
        <v>2319</v>
      </c>
      <c r="F242" s="87" t="s">
        <v>2320</v>
      </c>
      <c r="G242" s="81" t="str">
        <f t="shared" si="76"/>
        <v>cheat gfi PrimalItemArmor_ArthroSaddle_Alpha_C 1 0 0</v>
      </c>
      <c r="H242" s="87" t="s">
        <v>2321</v>
      </c>
      <c r="I242" s="71" t="str">
        <f t="shared" si="77"/>
        <v>EngramEntry_ArthroSaddle_Alpha_C</v>
      </c>
      <c r="J242" s="98" t="str">
        <f t="shared" si="78"/>
        <v>OverrideNamedEngramEntries=(EngramEntry_ArthroSaddle_Alpha_C,EngramHidden=true)</v>
      </c>
      <c r="K242" s="1"/>
    </row>
    <row r="243">
      <c r="A243" s="6"/>
      <c r="B243" s="6"/>
      <c r="C243" s="97">
        <v>18.0</v>
      </c>
      <c r="D243" s="81" t="str">
        <f t="shared" si="82"/>
        <v>PrimalItemArmor</v>
      </c>
      <c r="E243" s="83" t="s">
        <v>2322</v>
      </c>
      <c r="F243" s="83" t="s">
        <v>2323</v>
      </c>
      <c r="G243" s="85" t="str">
        <f t="shared" si="76"/>
        <v>cheat gfi PrimalItemArmor_ArthroSaddle_Shadow_C 1 0 0</v>
      </c>
      <c r="H243" s="83" t="s">
        <v>2324</v>
      </c>
      <c r="I243" s="70" t="str">
        <f t="shared" si="77"/>
        <v>EngramEntry_ArthroSaddle_Shadow_C</v>
      </c>
      <c r="J243" s="99" t="str">
        <f t="shared" si="78"/>
        <v>OverrideNamedEngramEntries=(EngramEntry_ArthroSaddle_Shadow_C,EngramHidden=true)</v>
      </c>
      <c r="K243" s="1"/>
    </row>
    <row r="244">
      <c r="A244" s="6"/>
      <c r="B244" s="6"/>
      <c r="C244" s="97">
        <v>18.0</v>
      </c>
      <c r="D244" s="81" t="str">
        <f t="shared" si="82"/>
        <v>PrimalItemArmor</v>
      </c>
      <c r="E244" s="87" t="s">
        <v>2325</v>
      </c>
      <c r="F244" s="87" t="s">
        <v>2326</v>
      </c>
      <c r="G244" s="81" t="str">
        <f t="shared" si="76"/>
        <v>cheat gfi PrimalItemArmor_ArthroSaddle_Toxic_C 1 0 0</v>
      </c>
      <c r="H244" s="87" t="s">
        <v>2327</v>
      </c>
      <c r="I244" s="71" t="str">
        <f t="shared" si="77"/>
        <v>EngramEntry_ArthroSaddle_Toxic_C</v>
      </c>
      <c r="J244" s="98" t="str">
        <f t="shared" si="78"/>
        <v>OverrideNamedEngramEntries=(EngramEntry_ArthroSaddle_Toxic_C,EngramHidden=true)</v>
      </c>
      <c r="K244" s="1"/>
    </row>
    <row r="245">
      <c r="A245" s="6"/>
      <c r="B245" s="6"/>
      <c r="C245" s="97">
        <v>18.0</v>
      </c>
      <c r="D245" s="81" t="str">
        <f t="shared" si="82"/>
        <v>PrimalItemArmor</v>
      </c>
      <c r="E245" s="83" t="s">
        <v>2328</v>
      </c>
      <c r="F245" s="83" t="s">
        <v>2329</v>
      </c>
      <c r="G245" s="85" t="str">
        <f t="shared" si="76"/>
        <v>cheat gfi PrimalItemArmor_BaryonyxSaddle_Alpha_C 1 0 0</v>
      </c>
      <c r="H245" s="83" t="s">
        <v>2330</v>
      </c>
      <c r="I245" s="70" t="str">
        <f t="shared" si="77"/>
        <v>EngramEntry_BaryonyxSaddle_Alpha_C</v>
      </c>
      <c r="J245" s="99" t="str">
        <f t="shared" si="78"/>
        <v>OverrideNamedEngramEntries=(EngramEntry_BaryonyxSaddle_Alpha_C,EngramHidden=true)</v>
      </c>
      <c r="K245" s="1"/>
    </row>
    <row r="246">
      <c r="A246" s="6"/>
      <c r="B246" s="6"/>
      <c r="C246" s="97">
        <v>18.0</v>
      </c>
      <c r="D246" s="81" t="str">
        <f t="shared" si="82"/>
        <v>PrimalItemArmor</v>
      </c>
      <c r="E246" s="87" t="s">
        <v>2331</v>
      </c>
      <c r="F246" s="87" t="s">
        <v>2332</v>
      </c>
      <c r="G246" s="81" t="str">
        <f t="shared" si="76"/>
        <v>cheat gfi PrimalItemArmor_BaryonyxSaddle_Hydro_C 1 0 0</v>
      </c>
      <c r="H246" s="87" t="s">
        <v>2333</v>
      </c>
      <c r="I246" s="71" t="str">
        <f t="shared" si="77"/>
        <v>EngramEntry_BaryonyxSaddle_Hydro_C</v>
      </c>
      <c r="J246" s="98" t="str">
        <f t="shared" si="78"/>
        <v>OverrideNamedEngramEntries=(EngramEntry_BaryonyxSaddle_Hydro_C,EngramHidden=true)</v>
      </c>
      <c r="K246" s="1"/>
    </row>
    <row r="247">
      <c r="A247" s="6"/>
      <c r="B247" s="6"/>
      <c r="C247" s="97">
        <v>18.0</v>
      </c>
      <c r="D247" s="81" t="str">
        <f t="shared" si="82"/>
        <v>PrimalItemArmor</v>
      </c>
      <c r="E247" s="83" t="s">
        <v>2334</v>
      </c>
      <c r="F247" s="83" t="s">
        <v>2335</v>
      </c>
      <c r="G247" s="85" t="str">
        <f t="shared" si="76"/>
        <v>cheat gfi PrimalItemArmor_BaryonyxSaddle_Legendary_C 1 0 0</v>
      </c>
      <c r="H247" s="83" t="s">
        <v>2336</v>
      </c>
      <c r="I247" s="70" t="str">
        <f t="shared" si="77"/>
        <v>EngramEntry_BaryonyxSaddle_Legendary_C</v>
      </c>
      <c r="J247" s="99" t="str">
        <f t="shared" si="78"/>
        <v>OverrideNamedEngramEntries=(EngramEntry_BaryonyxSaddle_Legendary_C,EngramHidden=true)</v>
      </c>
      <c r="K247" s="1"/>
    </row>
    <row r="248">
      <c r="A248" s="6"/>
      <c r="B248" s="6"/>
      <c r="C248" s="97">
        <v>18.0</v>
      </c>
      <c r="D248" s="81" t="str">
        <f t="shared" si="82"/>
        <v>PrimalItemArmor</v>
      </c>
      <c r="E248" s="87" t="s">
        <v>2337</v>
      </c>
      <c r="F248" s="87" t="s">
        <v>2338</v>
      </c>
      <c r="G248" s="81" t="str">
        <f t="shared" si="76"/>
        <v>cheat gfi PrimalItemArmor_BaryonyxSaddle_Toxic_C 1 0 0</v>
      </c>
      <c r="H248" s="87" t="s">
        <v>2339</v>
      </c>
      <c r="I248" s="71" t="str">
        <f t="shared" si="77"/>
        <v>EngramEntry_BaryonyxSaddle_Toxic_C</v>
      </c>
      <c r="J248" s="98" t="str">
        <f t="shared" si="78"/>
        <v>OverrideNamedEngramEntries=(EngramEntry_BaryonyxSaddle_Toxic_C,EngramHidden=true)</v>
      </c>
      <c r="K248" s="1"/>
    </row>
    <row r="249">
      <c r="A249" s="6"/>
      <c r="B249" s="6"/>
      <c r="C249" s="97">
        <v>18.0</v>
      </c>
      <c r="D249" s="81" t="str">
        <f t="shared" si="82"/>
        <v>PrimalItemArmor</v>
      </c>
      <c r="E249" s="83" t="s">
        <v>2340</v>
      </c>
      <c r="F249" s="83" t="s">
        <v>2341</v>
      </c>
      <c r="G249" s="85" t="str">
        <f t="shared" si="76"/>
        <v>cheat gfi PrimalItemArmor_BeaverSaddle_Alpha_C 1 0 0</v>
      </c>
      <c r="H249" s="83" t="s">
        <v>2342</v>
      </c>
      <c r="I249" s="70" t="str">
        <f t="shared" si="77"/>
        <v>EngramEntry_BeaverSaddle_Alpha_C</v>
      </c>
      <c r="J249" s="99" t="str">
        <f t="shared" si="78"/>
        <v>OverrideNamedEngramEntries=(EngramEntry_BeaverSaddle_Alpha_C,EngramHidden=true)</v>
      </c>
      <c r="K249" s="1"/>
    </row>
    <row r="250">
      <c r="A250" s="6"/>
      <c r="B250" s="6"/>
      <c r="C250" s="97">
        <v>18.0</v>
      </c>
      <c r="D250" s="81" t="str">
        <f t="shared" si="82"/>
        <v>PrimalItemArmor</v>
      </c>
      <c r="E250" s="87" t="s">
        <v>2343</v>
      </c>
      <c r="F250" s="87" t="s">
        <v>2344</v>
      </c>
      <c r="G250" s="81" t="str">
        <f t="shared" si="76"/>
        <v>cheat gfi PrimalItemArmor_BeaverSaddle_Hydro_C 1 0 0</v>
      </c>
      <c r="H250" s="87" t="s">
        <v>2345</v>
      </c>
      <c r="I250" s="71" t="str">
        <f t="shared" si="77"/>
        <v>EngramEntry_BeaverSaddle_Hydro_C</v>
      </c>
      <c r="J250" s="98" t="str">
        <f t="shared" si="78"/>
        <v>OverrideNamedEngramEntries=(EngramEntry_BeaverSaddle_Hydro_C,EngramHidden=true)</v>
      </c>
      <c r="K250" s="1"/>
    </row>
    <row r="251">
      <c r="A251" s="6"/>
      <c r="B251" s="6"/>
      <c r="C251" s="97">
        <v>18.0</v>
      </c>
      <c r="D251" s="81" t="str">
        <f t="shared" si="82"/>
        <v>PrimalItemArmor</v>
      </c>
      <c r="E251" s="83" t="s">
        <v>2346</v>
      </c>
      <c r="F251" s="83" t="s">
        <v>2347</v>
      </c>
      <c r="G251" s="85" t="str">
        <f t="shared" si="76"/>
        <v>cheat gfi PrimalItemArmor_BeaverSaddle_Mythic_C 1 0 0</v>
      </c>
      <c r="H251" s="83" t="s">
        <v>2348</v>
      </c>
      <c r="I251" s="70" t="str">
        <f t="shared" si="77"/>
        <v>EngramEntry_BeaverSaddle_Mythic_C</v>
      </c>
      <c r="J251" s="99" t="str">
        <f t="shared" si="78"/>
        <v>OverrideNamedEngramEntries=(EngramEntry_BeaverSaddle_Mythic_C,EngramHidden=true)</v>
      </c>
      <c r="K251" s="1"/>
    </row>
    <row r="252">
      <c r="A252" s="6"/>
      <c r="B252" s="6"/>
      <c r="C252" s="97">
        <v>18.0</v>
      </c>
      <c r="D252" s="81" t="str">
        <f t="shared" ref="D252:D255" si="83">Left(F252,find("Saddle",F252)+5)</f>
        <v>PrimalItemArmor_BeaverSaddle</v>
      </c>
      <c r="E252" s="87" t="s">
        <v>2349</v>
      </c>
      <c r="F252" s="87" t="s">
        <v>2350</v>
      </c>
      <c r="G252" s="81" t="str">
        <f t="shared" si="76"/>
        <v>cheat gfi PrimalItemArmor_BeaverSaddle_Toxic_C 1 0 0</v>
      </c>
      <c r="H252" s="87" t="s">
        <v>2351</v>
      </c>
      <c r="I252" s="71" t="str">
        <f t="shared" si="77"/>
        <v>EngramEntry_BeaverSaddle_Toxic_C</v>
      </c>
      <c r="J252" s="98" t="str">
        <f t="shared" si="78"/>
        <v>OverrideNamedEngramEntries=(EngramEntry_BeaverSaddle_Toxic_C,EngramHidden=true)</v>
      </c>
      <c r="K252" s="1"/>
    </row>
    <row r="253">
      <c r="A253" s="6"/>
      <c r="B253" s="6"/>
      <c r="C253" s="97">
        <v>18.0</v>
      </c>
      <c r="D253" s="81" t="str">
        <f t="shared" si="83"/>
        <v>PrimalItemSaddle</v>
      </c>
      <c r="E253" s="83" t="s">
        <v>2352</v>
      </c>
      <c r="F253" s="83" t="s">
        <v>2353</v>
      </c>
      <c r="G253" s="85" t="str">
        <f t="shared" si="76"/>
        <v>cheat gfi PrimalItemSaddle_Bigfoot_Alpha_C 1 0 0</v>
      </c>
      <c r="H253" s="83" t="s">
        <v>2354</v>
      </c>
      <c r="I253" s="70" t="str">
        <f t="shared" si="77"/>
        <v>EngramEntry_Bigfoot_Alpha_C</v>
      </c>
      <c r="J253" s="99" t="str">
        <f t="shared" si="78"/>
        <v>OverrideNamedEngramEntries=(EngramEntry_Bigfoot_Alpha_C,EngramHidden=true)</v>
      </c>
      <c r="K253" s="1"/>
    </row>
    <row r="254">
      <c r="A254" s="6"/>
      <c r="B254" s="6"/>
      <c r="C254" s="97">
        <v>18.0</v>
      </c>
      <c r="D254" s="81" t="str">
        <f t="shared" si="83"/>
        <v>PrimalItemSaddle</v>
      </c>
      <c r="E254" s="87" t="s">
        <v>2355</v>
      </c>
      <c r="F254" s="87" t="s">
        <v>2356</v>
      </c>
      <c r="G254" s="81" t="str">
        <f t="shared" si="76"/>
        <v>cheat gfi PrimalItemSaddle_Bigfoot_Mythic_C 1 0 0</v>
      </c>
      <c r="H254" s="87" t="s">
        <v>2357</v>
      </c>
      <c r="I254" s="71" t="str">
        <f t="shared" si="77"/>
        <v>EngramEntry_Bigfoot_Mythic_C</v>
      </c>
      <c r="J254" s="98" t="str">
        <f t="shared" si="78"/>
        <v>OverrideNamedEngramEntries=(EngramEntry_Bigfoot_Mythic_C,EngramHidden=true)</v>
      </c>
      <c r="K254" s="1"/>
    </row>
    <row r="255">
      <c r="A255" s="6"/>
      <c r="B255" s="6"/>
      <c r="C255" s="97">
        <v>18.0</v>
      </c>
      <c r="D255" s="81" t="str">
        <f t="shared" si="83"/>
        <v>PrimalItemSaddle</v>
      </c>
      <c r="E255" s="83" t="s">
        <v>2358</v>
      </c>
      <c r="F255" s="83" t="s">
        <v>2359</v>
      </c>
      <c r="G255" s="85" t="str">
        <f t="shared" si="76"/>
        <v>cheat gfi PrimalItemSaddle_Bigfoot_Toxic_C 1 0 0</v>
      </c>
      <c r="H255" s="83" t="s">
        <v>2360</v>
      </c>
      <c r="I255" s="70" t="str">
        <f t="shared" si="77"/>
        <v>EngramEntry_Bigfoot_Toxic_C</v>
      </c>
      <c r="J255" s="99" t="str">
        <f t="shared" si="78"/>
        <v>OverrideNamedEngramEntries=(EngramEntry_Bigfoot_Toxic_C,EngramHidden=true)</v>
      </c>
      <c r="K255" s="1"/>
    </row>
    <row r="256">
      <c r="A256" s="6"/>
      <c r="B256" s="6"/>
      <c r="C256" s="97">
        <v>18.0</v>
      </c>
      <c r="D256" s="81" t="str">
        <f t="shared" ref="D256:D260" si="84">Left(F256,find("Armor",F256)+4)</f>
        <v>#VALUE!</v>
      </c>
      <c r="E256" s="87" t="s">
        <v>2361</v>
      </c>
      <c r="F256" s="87" t="s">
        <v>2362</v>
      </c>
      <c r="G256" s="81" t="str">
        <f t="shared" si="76"/>
        <v>cheat gfi PrimalItemSaddle_Broodmother_Shadow_C 1 0 0</v>
      </c>
      <c r="H256" s="87" t="s">
        <v>2363</v>
      </c>
      <c r="I256" s="71" t="str">
        <f t="shared" si="77"/>
        <v>EngramEntry_Broodmother_Shadow_C</v>
      </c>
      <c r="J256" s="98" t="str">
        <f t="shared" si="78"/>
        <v>OverrideNamedEngramEntries=(EngramEntry_Broodmother_Shadow_C,EngramHidden=true)</v>
      </c>
      <c r="K256" s="1"/>
    </row>
    <row r="257">
      <c r="A257" s="6"/>
      <c r="B257" s="6"/>
      <c r="C257" s="97">
        <v>18.0</v>
      </c>
      <c r="D257" s="81" t="str">
        <f t="shared" si="84"/>
        <v>PrimalItemArmor</v>
      </c>
      <c r="E257" s="83" t="s">
        <v>2364</v>
      </c>
      <c r="F257" s="83" t="s">
        <v>2365</v>
      </c>
      <c r="G257" s="85" t="str">
        <f t="shared" si="76"/>
        <v>cheat gfi PrimalItemArmor_CarnoSaddle_C 1 0 0</v>
      </c>
      <c r="H257" s="83" t="s">
        <v>2366</v>
      </c>
      <c r="I257" s="70" t="str">
        <f t="shared" si="77"/>
        <v>EngramEntry_CarnoSaddle_C</v>
      </c>
      <c r="J257" s="99" t="str">
        <f t="shared" si="78"/>
        <v>OverrideNamedEngramEntries=(EngramEntry_CarnoSaddle_C,EngramHidden=true)</v>
      </c>
      <c r="K257" s="1"/>
    </row>
    <row r="258">
      <c r="A258" s="6"/>
      <c r="B258" s="6"/>
      <c r="C258" s="97">
        <v>18.0</v>
      </c>
      <c r="D258" s="81" t="str">
        <f t="shared" si="84"/>
        <v>PrimalItemArmor</v>
      </c>
      <c r="E258" s="87" t="s">
        <v>2367</v>
      </c>
      <c r="F258" s="87" t="s">
        <v>2368</v>
      </c>
      <c r="G258" s="81" t="str">
        <f t="shared" si="76"/>
        <v>cheat gfi PrimalItemArmor_CarnoSaddle_Alpha_C 1 0 0</v>
      </c>
      <c r="H258" s="87" t="s">
        <v>2369</v>
      </c>
      <c r="I258" s="71" t="str">
        <f t="shared" si="77"/>
        <v>EngramEntry_CarnoSaddle_Alpha_C</v>
      </c>
      <c r="J258" s="98" t="str">
        <f t="shared" si="78"/>
        <v>OverrideNamedEngramEntries=(EngramEntry_CarnoSaddle_Alpha_C,EngramHidden=true)</v>
      </c>
      <c r="K258" s="1"/>
    </row>
    <row r="259">
      <c r="A259" s="6"/>
      <c r="B259" s="6"/>
      <c r="C259" s="97">
        <v>18.0</v>
      </c>
      <c r="D259" s="81" t="str">
        <f t="shared" si="84"/>
        <v>PrimalItemArmor</v>
      </c>
      <c r="E259" s="83" t="s">
        <v>2370</v>
      </c>
      <c r="F259" s="83" t="s">
        <v>2371</v>
      </c>
      <c r="G259" s="85" t="str">
        <f t="shared" si="76"/>
        <v>cheat gfi PrimalItemArmor_CarnoSaddle__Legendary_C 1 0 0</v>
      </c>
      <c r="H259" s="83" t="s">
        <v>2372</v>
      </c>
      <c r="I259" s="70" t="str">
        <f t="shared" si="77"/>
        <v>EngramEntry_CarnoSaddle__Legendary_C</v>
      </c>
      <c r="J259" s="99" t="str">
        <f t="shared" si="78"/>
        <v>OverrideNamedEngramEntries=(EngramEntry_CarnoSaddle__Legendary_C,EngramHidden=true)</v>
      </c>
      <c r="K259" s="1"/>
    </row>
    <row r="260">
      <c r="A260" s="6"/>
      <c r="B260" s="6"/>
      <c r="C260" s="97">
        <v>18.0</v>
      </c>
      <c r="D260" s="81" t="str">
        <f t="shared" si="84"/>
        <v>PrimalItemArmor</v>
      </c>
      <c r="E260" s="87" t="s">
        <v>2373</v>
      </c>
      <c r="F260" s="87" t="s">
        <v>2374</v>
      </c>
      <c r="G260" s="81" t="str">
        <f t="shared" si="76"/>
        <v>cheat gfi PrimalItemArmor_CarnoSaddle_Toxic_C 1 0 0</v>
      </c>
      <c r="H260" s="87" t="s">
        <v>2375</v>
      </c>
      <c r="I260" s="71" t="str">
        <f t="shared" si="77"/>
        <v>EngramEntry_CarnoSaddle_Toxic_C</v>
      </c>
      <c r="J260" s="98" t="str">
        <f t="shared" si="78"/>
        <v>OverrideNamedEngramEntries=(EngramEntry_CarnoSaddle_Toxic_C,EngramHidden=true)</v>
      </c>
      <c r="K260" s="1"/>
    </row>
    <row r="261">
      <c r="A261" s="6"/>
      <c r="B261" s="6"/>
      <c r="C261" s="97"/>
      <c r="D261" s="81"/>
      <c r="E261" s="83" t="s">
        <v>2376</v>
      </c>
      <c r="F261" s="43" t="s">
        <v>2377</v>
      </c>
      <c r="G261" s="85" t="str">
        <f t="shared" si="76"/>
        <v>cheat gfi PrimalItemArmor_CarnoSaddle_Origin_C 1 0 0</v>
      </c>
      <c r="H261" s="83" t="s">
        <v>2378</v>
      </c>
      <c r="I261" s="70" t="str">
        <f t="shared" si="77"/>
        <v>EngramEntry_CarnoSaddle_Origin_C</v>
      </c>
      <c r="J261" s="99" t="str">
        <f t="shared" si="78"/>
        <v>OverrideNamedEngramEntries=(EngramEntry_CarnoSaddle_Origin_C,EngramHidden=true)</v>
      </c>
      <c r="K261" s="1"/>
    </row>
    <row r="262">
      <c r="A262" s="6"/>
      <c r="B262" s="6"/>
      <c r="C262" s="97">
        <v>18.0</v>
      </c>
      <c r="D262" s="81" t="str">
        <f t="shared" ref="D262:D263" si="85">Left(F262,find("Saddle",F262)+5)</f>
        <v>PrimalItemArmor_ChalicoSaddle</v>
      </c>
      <c r="E262" s="87" t="s">
        <v>2379</v>
      </c>
      <c r="F262" s="87" t="s">
        <v>2380</v>
      </c>
      <c r="G262" s="81" t="str">
        <f t="shared" si="76"/>
        <v>cheat gfi PrimalItemArmor_ChalicoSaddle_Alpha_C 1 0 0</v>
      </c>
      <c r="H262" s="87" t="s">
        <v>2381</v>
      </c>
      <c r="I262" s="71" t="str">
        <f t="shared" si="77"/>
        <v>EngramEntry_ChalicoSaddle_Alpha_C</v>
      </c>
      <c r="J262" s="98" t="str">
        <f t="shared" si="78"/>
        <v>OverrideNamedEngramEntries=(EngramEntry_ChalicoSaddle_Alpha_C,EngramHidden=true)</v>
      </c>
      <c r="K262" s="1"/>
    </row>
    <row r="263">
      <c r="A263" s="6"/>
      <c r="B263" s="6"/>
      <c r="C263" s="97">
        <v>18.0</v>
      </c>
      <c r="D263" s="81" t="str">
        <f t="shared" si="85"/>
        <v>PrimalItemArmor_ChalicoSaddle</v>
      </c>
      <c r="E263" s="83" t="s">
        <v>2382</v>
      </c>
      <c r="F263" s="83" t="s">
        <v>2383</v>
      </c>
      <c r="G263" s="85" t="str">
        <f t="shared" si="76"/>
        <v>cheat gfi PrimalItemArmor_ChalicoSaddle_Toxic_C 1 0 0</v>
      </c>
      <c r="H263" s="83" t="s">
        <v>2384</v>
      </c>
      <c r="I263" s="70" t="str">
        <f t="shared" si="77"/>
        <v>EngramEntry_ChalicoSaddle_Toxic_C</v>
      </c>
      <c r="J263" s="99" t="str">
        <f t="shared" si="78"/>
        <v>OverrideNamedEngramEntries=(EngramEntry_ChalicoSaddle_Toxic_C,EngramHidden=true)</v>
      </c>
      <c r="K263" s="1"/>
    </row>
    <row r="264">
      <c r="A264" s="6"/>
      <c r="B264" s="6"/>
      <c r="C264" s="97">
        <v>18.0</v>
      </c>
      <c r="D264" s="81" t="str">
        <f t="shared" ref="D264:D265" si="86">Left(F264,find("Armor",F264)+4)</f>
        <v>#VALUE!</v>
      </c>
      <c r="E264" s="87" t="s">
        <v>2385</v>
      </c>
      <c r="F264" s="87" t="s">
        <v>2386</v>
      </c>
      <c r="G264" s="81" t="str">
        <f t="shared" si="76"/>
        <v>cheat gfi PrimalItemSaddle_Compy_Alpha_C 1 0 0</v>
      </c>
      <c r="H264" s="87" t="s">
        <v>2387</v>
      </c>
      <c r="I264" s="71" t="str">
        <f t="shared" si="77"/>
        <v>EngramEntry_Compy_Alpha_C</v>
      </c>
      <c r="J264" s="98" t="str">
        <f t="shared" si="78"/>
        <v>OverrideNamedEngramEntries=(EngramEntry_Compy_Alpha_C,EngramHidden=true)</v>
      </c>
      <c r="K264" s="1"/>
    </row>
    <row r="265">
      <c r="A265" s="6"/>
      <c r="B265" s="6"/>
      <c r="C265" s="97">
        <v>18.0</v>
      </c>
      <c r="D265" s="81" t="str">
        <f t="shared" si="86"/>
        <v>#VALUE!</v>
      </c>
      <c r="E265" s="83" t="s">
        <v>2388</v>
      </c>
      <c r="F265" s="83" t="s">
        <v>2389</v>
      </c>
      <c r="G265" s="85" t="str">
        <f t="shared" si="76"/>
        <v>cheat gfi PrimalItemSaddle_Compy_Toxic_C 1 0 0</v>
      </c>
      <c r="H265" s="83" t="s">
        <v>2390</v>
      </c>
      <c r="I265" s="70" t="str">
        <f t="shared" si="77"/>
        <v>EngramEntry_Compy_Toxic_C</v>
      </c>
      <c r="J265" s="99" t="str">
        <f t="shared" si="78"/>
        <v>OverrideNamedEngramEntries=(EngramEntry_Compy_Toxic_C,EngramHidden=true)</v>
      </c>
      <c r="K265" s="1"/>
    </row>
    <row r="266">
      <c r="A266" s="6"/>
      <c r="B266" s="6"/>
      <c r="C266" s="97">
        <v>18.0</v>
      </c>
      <c r="D266" s="81" t="str">
        <f t="shared" ref="D266:D269" si="87">Left(F266,find("Saddle",F266)+5)</f>
        <v>PrimalItemArmor_DaeodonSaddle</v>
      </c>
      <c r="E266" s="87" t="s">
        <v>2391</v>
      </c>
      <c r="F266" s="87" t="s">
        <v>2392</v>
      </c>
      <c r="G266" s="81" t="str">
        <f t="shared" si="76"/>
        <v>cheat gfi PrimalItemArmor_DaeodonSaddle_Alpha_C 1 0 0</v>
      </c>
      <c r="H266" s="87" t="s">
        <v>2393</v>
      </c>
      <c r="I266" s="71" t="str">
        <f t="shared" si="77"/>
        <v>EngramEntry_DaeodonSaddle_Alpha_C</v>
      </c>
      <c r="J266" s="98" t="str">
        <f t="shared" si="78"/>
        <v>OverrideNamedEngramEntries=(EngramEntry_DaeodonSaddle_Alpha_C,EngramHidden=true)</v>
      </c>
      <c r="K266" s="1"/>
    </row>
    <row r="267">
      <c r="A267" s="6"/>
      <c r="B267" s="6"/>
      <c r="C267" s="97">
        <v>18.0</v>
      </c>
      <c r="D267" s="81" t="str">
        <f t="shared" si="87"/>
        <v>PrimalItemArmor_DaeodonSaddle</v>
      </c>
      <c r="E267" s="83" t="s">
        <v>2394</v>
      </c>
      <c r="F267" s="83" t="s">
        <v>2395</v>
      </c>
      <c r="G267" s="85" t="str">
        <f t="shared" si="76"/>
        <v>cheat gfi PrimalItemArmor_DaeodonSaddle_Toxic_C 1 0 0</v>
      </c>
      <c r="H267" s="83" t="s">
        <v>2396</v>
      </c>
      <c r="I267" s="70" t="str">
        <f t="shared" si="77"/>
        <v>EngramEntry_DaeodonSaddle_Toxic_C</v>
      </c>
      <c r="J267" s="99" t="str">
        <f t="shared" si="78"/>
        <v>OverrideNamedEngramEntries=(EngramEntry_DaeodonSaddle_Toxic_C,EngramHidden=true)</v>
      </c>
      <c r="K267" s="1"/>
    </row>
    <row r="268">
      <c r="A268" s="6"/>
      <c r="B268" s="6"/>
      <c r="C268" s="97">
        <v>18.0</v>
      </c>
      <c r="D268" s="81" t="str">
        <f t="shared" si="87"/>
        <v>PrimalItemSaddle</v>
      </c>
      <c r="E268" s="87" t="s">
        <v>1245</v>
      </c>
      <c r="F268" s="87" t="s">
        <v>2397</v>
      </c>
      <c r="G268" s="81" t="str">
        <f t="shared" si="76"/>
        <v>cheat gfi PrimalItemSaddle_DeathKnight_C 1 0 0</v>
      </c>
      <c r="H268" s="87" t="s">
        <v>2398</v>
      </c>
      <c r="I268" s="71" t="str">
        <f t="shared" si="77"/>
        <v>EngramEntry_DeathKnight_C</v>
      </c>
      <c r="J268" s="98" t="str">
        <f t="shared" si="78"/>
        <v>OverrideNamedEngramEntries=(EngramEntry_DeathKnight_C,EngramHidden=true)</v>
      </c>
      <c r="K268" s="1"/>
    </row>
    <row r="269">
      <c r="A269" s="6"/>
      <c r="B269" s="6"/>
      <c r="C269" s="97">
        <v>18.0</v>
      </c>
      <c r="D269" s="81" t="str">
        <f t="shared" si="87"/>
        <v>PrimalItemSaddle</v>
      </c>
      <c r="E269" s="83" t="s">
        <v>2399</v>
      </c>
      <c r="F269" s="83" t="s">
        <v>2400</v>
      </c>
      <c r="G269" s="85" t="str">
        <f t="shared" si="76"/>
        <v>cheat gfi PrimalItemSaddle_Deathworm_Volcanic_C 1 0 0</v>
      </c>
      <c r="H269" s="83" t="s">
        <v>2401</v>
      </c>
      <c r="I269" s="70" t="str">
        <f t="shared" si="77"/>
        <v>EngramEntry_Deathworm_Volcanic_C</v>
      </c>
      <c r="J269" s="99" t="str">
        <f t="shared" si="78"/>
        <v>OverrideNamedEngramEntries=(EngramEntry_Deathworm_Volcanic_C,EngramHidden=true)</v>
      </c>
      <c r="K269" s="1"/>
    </row>
    <row r="270">
      <c r="A270" s="6"/>
      <c r="B270" s="6"/>
      <c r="C270" s="97"/>
      <c r="D270" s="81"/>
      <c r="E270" s="87" t="s">
        <v>2402</v>
      </c>
      <c r="F270" s="42" t="s">
        <v>2403</v>
      </c>
      <c r="G270" s="81" t="str">
        <f t="shared" si="76"/>
        <v>cheat gfi PrimalItemSaddle_DemonKing_C 1 0 0</v>
      </c>
      <c r="H270" s="87" t="s">
        <v>2404</v>
      </c>
      <c r="I270" s="71" t="str">
        <f t="shared" si="77"/>
        <v>EngramEntry_DemonKing_C</v>
      </c>
      <c r="J270" s="98" t="str">
        <f t="shared" si="78"/>
        <v>OverrideNamedEngramEntries=(EngramEntry_DemonKing_C,EngramHidden=true)</v>
      </c>
      <c r="K270" s="1"/>
      <c r="M270" s="100"/>
    </row>
    <row r="271">
      <c r="A271" s="6"/>
      <c r="B271" s="6"/>
      <c r="C271" s="97">
        <v>18.0</v>
      </c>
      <c r="D271" s="81" t="str">
        <f t="shared" ref="D271:D276" si="88">Left(F271,find("Saddle",F271)+5)</f>
        <v>PrimalItemSaddle</v>
      </c>
      <c r="E271" s="83" t="s">
        <v>1132</v>
      </c>
      <c r="F271" s="83" t="s">
        <v>2405</v>
      </c>
      <c r="G271" s="85" t="str">
        <f t="shared" si="76"/>
        <v>cheat gfi PrimalItemSaddle_DemonicDilo_C 1 0 0</v>
      </c>
      <c r="H271" s="83" t="s">
        <v>2406</v>
      </c>
      <c r="I271" s="70" t="str">
        <f t="shared" si="77"/>
        <v>EngramEntry_DemonicDilo_C</v>
      </c>
      <c r="J271" s="99" t="str">
        <f t="shared" si="78"/>
        <v>OverrideNamedEngramEntries=(EngramEntry_DemonicDilo_C,EngramHidden=true)</v>
      </c>
      <c r="K271" s="1"/>
    </row>
    <row r="272">
      <c r="A272" s="6"/>
      <c r="B272" s="6"/>
      <c r="C272" s="97">
        <v>18.0</v>
      </c>
      <c r="D272" s="81" t="str">
        <f t="shared" si="88"/>
        <v>PrimalItemSaddle</v>
      </c>
      <c r="E272" s="87" t="s">
        <v>2407</v>
      </c>
      <c r="F272" s="87" t="s">
        <v>2408</v>
      </c>
      <c r="G272" s="81" t="str">
        <f t="shared" si="76"/>
        <v>cheat gfi PrimalItemSaddle_DemonicDilo_Quality_C 1 0 0</v>
      </c>
      <c r="H272" s="87" t="s">
        <v>2409</v>
      </c>
      <c r="I272" s="71" t="str">
        <f t="shared" si="77"/>
        <v>EngramEntry_DemonicDilo_Quality_C</v>
      </c>
      <c r="J272" s="98" t="str">
        <f t="shared" si="78"/>
        <v>OverrideNamedEngramEntries=(EngramEntry_DemonicDilo_Quality_C,EngramHidden=true)</v>
      </c>
      <c r="K272" s="1"/>
    </row>
    <row r="273">
      <c r="A273" s="6"/>
      <c r="B273" s="6"/>
      <c r="C273" s="97">
        <v>18.0</v>
      </c>
      <c r="D273" s="81" t="str">
        <f t="shared" si="88"/>
        <v>PrimalItemSaddle</v>
      </c>
      <c r="E273" s="83" t="s">
        <v>1141</v>
      </c>
      <c r="F273" s="83" t="s">
        <v>2410</v>
      </c>
      <c r="G273" s="85" t="str">
        <f t="shared" si="76"/>
        <v>cheat gfi PrimalItemSaddle_DemonicFerox_C 1 0 0</v>
      </c>
      <c r="H273" s="83" t="s">
        <v>2411</v>
      </c>
      <c r="I273" s="70" t="str">
        <f t="shared" si="77"/>
        <v>EngramEntry_DemonicFerox_C</v>
      </c>
      <c r="J273" s="99" t="str">
        <f t="shared" si="78"/>
        <v>OverrideNamedEngramEntries=(EngramEntry_DemonicFerox_C,EngramHidden=true)</v>
      </c>
      <c r="K273" s="1"/>
    </row>
    <row r="274">
      <c r="A274" s="6"/>
      <c r="B274" s="6"/>
      <c r="C274" s="97">
        <v>18.0</v>
      </c>
      <c r="D274" s="81" t="str">
        <f t="shared" si="88"/>
        <v>PrimalItemSaddle</v>
      </c>
      <c r="E274" s="87" t="s">
        <v>2412</v>
      </c>
      <c r="F274" s="87" t="s">
        <v>2413</v>
      </c>
      <c r="G274" s="81" t="str">
        <f t="shared" si="76"/>
        <v>cheat gfi PrimalItemSaddle_DemonicFerox_Quality_C 1 0 0</v>
      </c>
      <c r="H274" s="87" t="s">
        <v>2414</v>
      </c>
      <c r="I274" s="71" t="str">
        <f t="shared" si="77"/>
        <v>EngramEntry_DemonicFerox_Quality_C</v>
      </c>
      <c r="J274" s="98" t="str">
        <f t="shared" si="78"/>
        <v>OverrideNamedEngramEntries=(EngramEntry_DemonicFerox_Quality_C,EngramHidden=true)</v>
      </c>
      <c r="K274" s="1"/>
    </row>
    <row r="275">
      <c r="A275" s="6"/>
      <c r="B275" s="6"/>
      <c r="C275" s="97">
        <v>18.0</v>
      </c>
      <c r="D275" s="81" t="str">
        <f t="shared" si="88"/>
        <v>PrimalItemSaddle</v>
      </c>
      <c r="E275" s="83" t="s">
        <v>1147</v>
      </c>
      <c r="F275" s="83" t="s">
        <v>2415</v>
      </c>
      <c r="G275" s="85" t="str">
        <f t="shared" si="76"/>
        <v>cheat gfi PrimalItemSaddle_DemonicGorilla_C 1 0 0</v>
      </c>
      <c r="H275" s="83" t="s">
        <v>2416</v>
      </c>
      <c r="I275" s="70" t="str">
        <f t="shared" si="77"/>
        <v>EngramEntry_DemonicGorilla_C</v>
      </c>
      <c r="J275" s="99" t="str">
        <f t="shared" si="78"/>
        <v>OverrideNamedEngramEntries=(EngramEntry_DemonicGorilla_C,EngramHidden=true)</v>
      </c>
      <c r="K275" s="1"/>
    </row>
    <row r="276">
      <c r="A276" s="6"/>
      <c r="B276" s="6"/>
      <c r="C276" s="97">
        <v>18.0</v>
      </c>
      <c r="D276" s="81" t="str">
        <f t="shared" si="88"/>
        <v>PrimalItemSaddle</v>
      </c>
      <c r="E276" s="87" t="s">
        <v>2417</v>
      </c>
      <c r="F276" s="87" t="s">
        <v>2418</v>
      </c>
      <c r="G276" s="81" t="str">
        <f t="shared" si="76"/>
        <v>cheat gfi PrimalItemSaddle_DemonicGorilla_Quality_C 1 0 0</v>
      </c>
      <c r="H276" s="87" t="s">
        <v>2419</v>
      </c>
      <c r="I276" s="71" t="str">
        <f t="shared" si="77"/>
        <v>EngramEntry_DemonicGorilla_Quality_C</v>
      </c>
      <c r="J276" s="98" t="str">
        <f t="shared" si="78"/>
        <v>OverrideNamedEngramEntries=(EngramEntry_DemonicGorilla_Quality_C,EngramHidden=true)</v>
      </c>
      <c r="K276" s="1"/>
    </row>
    <row r="277">
      <c r="A277" s="6"/>
      <c r="B277" s="6"/>
      <c r="C277" s="97">
        <v>18.0</v>
      </c>
      <c r="D277" s="81" t="str">
        <f t="shared" ref="D277:D278" si="89">Left(F277,find("Armor",F277)+4)</f>
        <v>#VALUE!</v>
      </c>
      <c r="E277" s="83" t="s">
        <v>1168</v>
      </c>
      <c r="F277" s="83" t="s">
        <v>2420</v>
      </c>
      <c r="G277" s="85" t="str">
        <f t="shared" si="76"/>
        <v>cheat gfi PrimalItemSaddle_DemonicReaper_C 1 0 0</v>
      </c>
      <c r="H277" s="83" t="s">
        <v>2421</v>
      </c>
      <c r="I277" s="70" t="str">
        <f t="shared" si="77"/>
        <v>EngramEntry_DemonicReaper_C</v>
      </c>
      <c r="J277" s="99" t="str">
        <f t="shared" si="78"/>
        <v>OverrideNamedEngramEntries=(EngramEntry_DemonicReaper_C,EngramHidden=true)</v>
      </c>
      <c r="K277" s="1"/>
    </row>
    <row r="278">
      <c r="A278" s="6"/>
      <c r="B278" s="6"/>
      <c r="C278" s="97">
        <v>18.0</v>
      </c>
      <c r="D278" s="81" t="str">
        <f t="shared" si="89"/>
        <v>#VALUE!</v>
      </c>
      <c r="E278" s="87" t="s">
        <v>2422</v>
      </c>
      <c r="F278" s="87" t="s">
        <v>2423</v>
      </c>
      <c r="G278" s="81" t="str">
        <f t="shared" si="76"/>
        <v>cheat gfi PrimalItemSaddle_DemonicReaper_Quality_C 1 0 0</v>
      </c>
      <c r="H278" s="87" t="s">
        <v>2424</v>
      </c>
      <c r="I278" s="71" t="str">
        <f t="shared" si="77"/>
        <v>EngramEntry_DemonicReaper_Quality_C</v>
      </c>
      <c r="J278" s="98" t="str">
        <f t="shared" si="78"/>
        <v>OverrideNamedEngramEntries=(EngramEntry_DemonicReaper_Quality_C,EngramHidden=true)</v>
      </c>
      <c r="K278" s="1"/>
    </row>
    <row r="279">
      <c r="A279" s="6"/>
      <c r="B279" s="6"/>
      <c r="C279" s="97"/>
      <c r="D279" s="81"/>
      <c r="E279" s="83" t="s">
        <v>1171</v>
      </c>
      <c r="F279" s="83" t="s">
        <v>2425</v>
      </c>
      <c r="G279" s="85" t="str">
        <f t="shared" si="76"/>
        <v>cheat gfi PrimalItemSaddle_Shinehorn_Demonic_C 1 0 0</v>
      </c>
      <c r="H279" s="83" t="s">
        <v>2426</v>
      </c>
      <c r="I279" s="70" t="str">
        <f t="shared" si="77"/>
        <v>EngramEntry_Shinehorn_Demonic_C</v>
      </c>
      <c r="J279" s="99" t="str">
        <f t="shared" si="78"/>
        <v>OverrideNamedEngramEntries=(EngramEntry_Shinehorn_Demonic_C,EngramHidden=true)</v>
      </c>
      <c r="K279" s="1"/>
    </row>
    <row r="280">
      <c r="A280" s="6"/>
      <c r="B280" s="6"/>
      <c r="C280" s="97">
        <v>18.0</v>
      </c>
      <c r="D280" s="81" t="str">
        <f t="shared" ref="D280:D287" si="90">Left(F280,find("Saddle",F280)+5)</f>
        <v>PrimalItemArmor_DemonicSpineyLizardSaddle</v>
      </c>
      <c r="E280" s="87" t="s">
        <v>2427</v>
      </c>
      <c r="F280" s="87" t="s">
        <v>2428</v>
      </c>
      <c r="G280" s="81" t="str">
        <f t="shared" si="76"/>
        <v>cheat gfi PrimalItemArmor_DemonicSpineyLizardSaddle_C 1 0 0</v>
      </c>
      <c r="H280" s="87" t="s">
        <v>2429</v>
      </c>
      <c r="I280" s="71" t="str">
        <f t="shared" si="77"/>
        <v>EngramEntry_DemonicSpineyLizardSaddle_C</v>
      </c>
      <c r="J280" s="98" t="str">
        <f t="shared" si="78"/>
        <v>OverrideNamedEngramEntries=(EngramEntry_DemonicSpineyLizardSaddle_C,EngramHidden=true)</v>
      </c>
      <c r="K280" s="1"/>
    </row>
    <row r="281">
      <c r="A281" s="6"/>
      <c r="B281" s="6"/>
      <c r="C281" s="97">
        <v>18.0</v>
      </c>
      <c r="D281" s="81" t="str">
        <f t="shared" si="90"/>
        <v>PrimalItemArmor_DemonicSpineyLizardSaddle</v>
      </c>
      <c r="E281" s="83" t="s">
        <v>2430</v>
      </c>
      <c r="F281" s="83" t="s">
        <v>2431</v>
      </c>
      <c r="G281" s="85" t="str">
        <f t="shared" si="76"/>
        <v>cheat gfi PrimalItemArmor_DemonicSpineyLizardSaddle_Quality_C 1 0 0</v>
      </c>
      <c r="H281" s="83" t="s">
        <v>2432</v>
      </c>
      <c r="I281" s="70" t="str">
        <f t="shared" si="77"/>
        <v>EngramEntry_DemonicSpineyLizardSaddle_Quality_C</v>
      </c>
      <c r="J281" s="99" t="str">
        <f t="shared" si="78"/>
        <v>OverrideNamedEngramEntries=(EngramEntry_DemonicSpineyLizardSaddle_Quality_C,EngramHidden=true)</v>
      </c>
      <c r="K281" s="1"/>
    </row>
    <row r="282">
      <c r="A282" s="6"/>
      <c r="B282" s="6"/>
      <c r="C282" s="97">
        <v>18.0</v>
      </c>
      <c r="D282" s="81" t="str">
        <f t="shared" si="90"/>
        <v>PrimalItemSaddle</v>
      </c>
      <c r="E282" s="87" t="s">
        <v>2433</v>
      </c>
      <c r="F282" s="87" t="s">
        <v>2434</v>
      </c>
      <c r="G282" s="81" t="str">
        <f t="shared" si="76"/>
        <v>cheat gfi PrimalItemSaddle_Dilo_Alpha_C 1 0 0</v>
      </c>
      <c r="H282" s="87" t="s">
        <v>2435</v>
      </c>
      <c r="I282" s="71" t="str">
        <f t="shared" si="77"/>
        <v>EngramEntry_Dilo_Alpha_C</v>
      </c>
      <c r="J282" s="98" t="str">
        <f t="shared" si="78"/>
        <v>OverrideNamedEngramEntries=(EngramEntry_Dilo_Alpha_C,EngramHidden=true)</v>
      </c>
      <c r="K282" s="1"/>
    </row>
    <row r="283">
      <c r="A283" s="6"/>
      <c r="B283" s="6"/>
      <c r="C283" s="97">
        <v>18.0</v>
      </c>
      <c r="D283" s="81" t="str">
        <f t="shared" si="90"/>
        <v>PrimalItemSaddle</v>
      </c>
      <c r="E283" s="83" t="s">
        <v>2436</v>
      </c>
      <c r="F283" s="83" t="s">
        <v>2437</v>
      </c>
      <c r="G283" s="85" t="str">
        <f t="shared" si="76"/>
        <v>cheat gfi PrimalItemSaddle_Dilo_Legendary_C 1 0 0</v>
      </c>
      <c r="H283" s="83" t="s">
        <v>2438</v>
      </c>
      <c r="I283" s="70" t="str">
        <f t="shared" si="77"/>
        <v>EngramEntry_Dilo_Legendary_C</v>
      </c>
      <c r="J283" s="99" t="str">
        <f t="shared" si="78"/>
        <v>OverrideNamedEngramEntries=(EngramEntry_Dilo_Legendary_C,EngramHidden=true)</v>
      </c>
      <c r="K283" s="1"/>
    </row>
    <row r="284">
      <c r="A284" s="6"/>
      <c r="B284" s="6"/>
      <c r="C284" s="97">
        <v>18.0</v>
      </c>
      <c r="D284" s="81" t="str">
        <f t="shared" si="90"/>
        <v>PrimalItemSaddle</v>
      </c>
      <c r="E284" s="87" t="s">
        <v>2439</v>
      </c>
      <c r="F284" s="87" t="s">
        <v>2440</v>
      </c>
      <c r="G284" s="81" t="str">
        <f t="shared" si="76"/>
        <v>cheat gfi PrimalItemSaddle_Dilo_Toxic_C 1 0 0</v>
      </c>
      <c r="H284" s="87" t="s">
        <v>2441</v>
      </c>
      <c r="I284" s="71" t="str">
        <f t="shared" si="77"/>
        <v>EngramEntry_Dilo_Toxic_C</v>
      </c>
      <c r="J284" s="98" t="str">
        <f t="shared" si="78"/>
        <v>OverrideNamedEngramEntries=(EngramEntry_Dilo_Toxic_C,EngramHidden=true)</v>
      </c>
      <c r="K284" s="1"/>
    </row>
    <row r="285">
      <c r="A285" s="6"/>
      <c r="B285" s="6"/>
      <c r="C285" s="97">
        <v>18.0</v>
      </c>
      <c r="D285" s="81" t="str">
        <f t="shared" si="90"/>
        <v>PrimalItemSaddle</v>
      </c>
      <c r="E285" s="83" t="s">
        <v>2442</v>
      </c>
      <c r="F285" s="83" t="s">
        <v>2443</v>
      </c>
      <c r="G285" s="85" t="str">
        <f t="shared" si="76"/>
        <v>cheat gfi PrimalItemSaddle_Dimetrodon_Alpha_C 1 0 0</v>
      </c>
      <c r="H285" s="83" t="s">
        <v>2444</v>
      </c>
      <c r="I285" s="70" t="str">
        <f t="shared" si="77"/>
        <v>EngramEntry_Dimetrodon_Alpha_C</v>
      </c>
      <c r="J285" s="99" t="str">
        <f t="shared" si="78"/>
        <v>OverrideNamedEngramEntries=(EngramEntry_Dimetrodon_Alpha_C,EngramHidden=true)</v>
      </c>
      <c r="K285" s="1"/>
    </row>
    <row r="286">
      <c r="A286" s="6"/>
      <c r="B286" s="6"/>
      <c r="C286" s="97">
        <v>18.0</v>
      </c>
      <c r="D286" s="81" t="str">
        <f t="shared" si="90"/>
        <v>PrimalItemSaddle</v>
      </c>
      <c r="E286" s="87" t="s">
        <v>2445</v>
      </c>
      <c r="F286" s="87" t="s">
        <v>2446</v>
      </c>
      <c r="G286" s="81" t="str">
        <f t="shared" si="76"/>
        <v>cheat gfi PrimalItemSaddle_Dimetrodon_Toxic_C 1 0 0</v>
      </c>
      <c r="H286" s="87" t="s">
        <v>2447</v>
      </c>
      <c r="I286" s="71" t="str">
        <f t="shared" si="77"/>
        <v>EngramEntry_Dimetrodon_Toxic_C</v>
      </c>
      <c r="J286" s="98" t="str">
        <f t="shared" si="78"/>
        <v>OverrideNamedEngramEntries=(EngramEntry_Dimetrodon_Toxic_C,EngramHidden=true)</v>
      </c>
      <c r="K286" s="1"/>
    </row>
    <row r="287">
      <c r="A287" s="6"/>
      <c r="B287" s="6"/>
      <c r="C287" s="97">
        <v>18.0</v>
      </c>
      <c r="D287" s="81" t="str">
        <f t="shared" si="90"/>
        <v>PrimalItemSaddle</v>
      </c>
      <c r="E287" s="83" t="s">
        <v>2448</v>
      </c>
      <c r="F287" s="83" t="s">
        <v>2449</v>
      </c>
      <c r="G287" s="85" t="str">
        <f t="shared" si="76"/>
        <v>cheat gfi PrimalItemSaddle_Dimorphodon_Alpha_C 1 0 0</v>
      </c>
      <c r="H287" s="83" t="s">
        <v>2450</v>
      </c>
      <c r="I287" s="70" t="str">
        <f t="shared" si="77"/>
        <v>EngramEntry_Dimorphodon_Alpha_C</v>
      </c>
      <c r="J287" s="99" t="str">
        <f t="shared" si="78"/>
        <v>OverrideNamedEngramEntries=(EngramEntry_Dimorphodon_Alpha_C,EngramHidden=true)</v>
      </c>
      <c r="K287" s="1"/>
    </row>
    <row r="288">
      <c r="A288" s="6"/>
      <c r="B288" s="6"/>
      <c r="C288" s="97">
        <v>18.0</v>
      </c>
      <c r="D288" s="81" t="str">
        <f t="shared" ref="D288:D292" si="91">Left(F288,find("Armor",F288)+4)</f>
        <v>#VALUE!</v>
      </c>
      <c r="E288" s="87" t="s">
        <v>2451</v>
      </c>
      <c r="F288" s="87" t="s">
        <v>2452</v>
      </c>
      <c r="G288" s="81" t="str">
        <f t="shared" si="76"/>
        <v>cheat gfi PrimalItemSaddle_Dimorphodon_Toxic_C 1 0 0</v>
      </c>
      <c r="H288" s="87" t="s">
        <v>2453</v>
      </c>
      <c r="I288" s="71" t="str">
        <f t="shared" si="77"/>
        <v>EngramEntry_Dimorphodon_Toxic_C</v>
      </c>
      <c r="J288" s="98" t="str">
        <f t="shared" si="78"/>
        <v>OverrideNamedEngramEntries=(EngramEntry_Dimorphodon_Toxic_C,EngramHidden=true)</v>
      </c>
      <c r="K288" s="1"/>
    </row>
    <row r="289">
      <c r="A289" s="6"/>
      <c r="B289" s="6"/>
      <c r="C289" s="97">
        <v>18.0</v>
      </c>
      <c r="D289" s="81" t="str">
        <f t="shared" si="91"/>
        <v>#VALUE!</v>
      </c>
      <c r="E289" s="83" t="s">
        <v>2454</v>
      </c>
      <c r="F289" s="83" t="s">
        <v>2455</v>
      </c>
      <c r="G289" s="85" t="str">
        <f t="shared" si="76"/>
        <v>cheat gfi PrimalItemSaddle_Diplocaulus_Hydro_C 1 0 0</v>
      </c>
      <c r="H289" s="83" t="s">
        <v>2456</v>
      </c>
      <c r="I289" s="70" t="str">
        <f t="shared" si="77"/>
        <v>EngramEntry_Diplocaulus_Hydro_C</v>
      </c>
      <c r="J289" s="99" t="str">
        <f t="shared" si="78"/>
        <v>OverrideNamedEngramEntries=(EngramEntry_Diplocaulus_Hydro_C,EngramHidden=true)</v>
      </c>
      <c r="K289" s="1"/>
    </row>
    <row r="290">
      <c r="A290" s="6"/>
      <c r="B290" s="6"/>
      <c r="C290" s="97">
        <v>18.0</v>
      </c>
      <c r="D290" s="81" t="str">
        <f t="shared" si="91"/>
        <v>PrimalItemArmor</v>
      </c>
      <c r="E290" s="87" t="s">
        <v>2457</v>
      </c>
      <c r="F290" s="87" t="s">
        <v>2458</v>
      </c>
      <c r="G290" s="81" t="str">
        <f t="shared" si="76"/>
        <v>cheat gfi PrimalItemArmor_DiplodocusSaddle_Alpha_C 1 0 0</v>
      </c>
      <c r="H290" s="87" t="s">
        <v>2459</v>
      </c>
      <c r="I290" s="71" t="str">
        <f t="shared" si="77"/>
        <v>EngramEntry_DiplodocusSaddle_Alpha_C</v>
      </c>
      <c r="J290" s="98" t="str">
        <f t="shared" si="78"/>
        <v>OverrideNamedEngramEntries=(EngramEntry_DiplodocusSaddle_Alpha_C,EngramHidden=true)</v>
      </c>
      <c r="K290" s="1"/>
    </row>
    <row r="291">
      <c r="A291" s="6"/>
      <c r="B291" s="6"/>
      <c r="C291" s="97">
        <v>18.0</v>
      </c>
      <c r="D291" s="81" t="str">
        <f t="shared" si="91"/>
        <v>PrimalItemArmor</v>
      </c>
      <c r="E291" s="83" t="s">
        <v>2460</v>
      </c>
      <c r="F291" s="83" t="s">
        <v>2461</v>
      </c>
      <c r="G291" s="85" t="str">
        <f t="shared" si="76"/>
        <v>cheat gfi PrimalItemArmor_DiplodocusSaddle_Toxic_C 1 0 0</v>
      </c>
      <c r="H291" s="83" t="s">
        <v>2462</v>
      </c>
      <c r="I291" s="70" t="str">
        <f t="shared" si="77"/>
        <v>EngramEntry_DiplodocusSaddle_Toxic_C</v>
      </c>
      <c r="J291" s="99" t="str">
        <f t="shared" si="78"/>
        <v>OverrideNamedEngramEntries=(EngramEntry_DiplodocusSaddle_Toxic_C,EngramHidden=true)</v>
      </c>
      <c r="K291" s="1"/>
    </row>
    <row r="292">
      <c r="A292" s="6"/>
      <c r="B292" s="6"/>
      <c r="C292" s="97">
        <v>18.0</v>
      </c>
      <c r="D292" s="81" t="str">
        <f t="shared" si="91"/>
        <v>PrimalItemArmor</v>
      </c>
      <c r="E292" s="87" t="s">
        <v>2463</v>
      </c>
      <c r="F292" s="87" t="s">
        <v>2464</v>
      </c>
      <c r="G292" s="81" t="str">
        <f t="shared" si="76"/>
        <v>cheat gfi PrimalItemArmor_DireBearSaddle_Alpha_C 1 0 0</v>
      </c>
      <c r="H292" s="87" t="s">
        <v>2465</v>
      </c>
      <c r="I292" s="71" t="str">
        <f t="shared" si="77"/>
        <v>EngramEntry_DireBearSaddle_Alpha_C</v>
      </c>
      <c r="J292" s="98" t="str">
        <f t="shared" si="78"/>
        <v>OverrideNamedEngramEntries=(EngramEntry_DireBearSaddle_Alpha_C,EngramHidden=true)</v>
      </c>
      <c r="K292" s="1"/>
    </row>
    <row r="293">
      <c r="A293" s="6"/>
      <c r="B293" s="6"/>
      <c r="C293" s="97">
        <v>18.0</v>
      </c>
      <c r="D293" s="81" t="str">
        <f t="shared" ref="D293:D294" si="92">Left(F293,find("Saddle",F293)+5)</f>
        <v>PrimalItemArmor_DireBearSaddle</v>
      </c>
      <c r="E293" s="83" t="s">
        <v>2466</v>
      </c>
      <c r="F293" s="83" t="s">
        <v>2467</v>
      </c>
      <c r="G293" s="85" t="str">
        <f t="shared" si="76"/>
        <v>cheat gfi PrimalItemArmor_DireBearSaddle_Electric_C 1 0 0</v>
      </c>
      <c r="H293" s="83" t="s">
        <v>2468</v>
      </c>
      <c r="I293" s="70" t="str">
        <f t="shared" si="77"/>
        <v>EngramEntry_DireBearSaddle_Electric_C</v>
      </c>
      <c r="J293" s="99" t="str">
        <f t="shared" si="78"/>
        <v>OverrideNamedEngramEntries=(EngramEntry_DireBearSaddle_Electric_C,EngramHidden=true)</v>
      </c>
      <c r="K293" s="1"/>
    </row>
    <row r="294">
      <c r="A294" s="6"/>
      <c r="B294" s="6"/>
      <c r="C294" s="97">
        <v>18.0</v>
      </c>
      <c r="D294" s="81" t="str">
        <f t="shared" si="92"/>
        <v>PrimalItemArmor_DireBearSaddle</v>
      </c>
      <c r="E294" s="87" t="s">
        <v>2469</v>
      </c>
      <c r="F294" s="87" t="s">
        <v>2470</v>
      </c>
      <c r="G294" s="81" t="str">
        <f t="shared" si="76"/>
        <v>cheat gfi PrimalItemArmor_DireBearSaddle_Toxic_C 1 0 0</v>
      </c>
      <c r="H294" s="87" t="s">
        <v>2471</v>
      </c>
      <c r="I294" s="71" t="str">
        <f t="shared" si="77"/>
        <v>EngramEntry_DireBearSaddle_Toxic_C</v>
      </c>
      <c r="J294" s="98" t="str">
        <f t="shared" si="78"/>
        <v>OverrideNamedEngramEntries=(EngramEntry_DireBearSaddle_Toxic_C,EngramHidden=true)</v>
      </c>
      <c r="K294" s="1"/>
    </row>
    <row r="295">
      <c r="A295" s="6"/>
      <c r="B295" s="6"/>
      <c r="C295" s="97"/>
      <c r="D295" s="81"/>
      <c r="E295" s="83" t="s">
        <v>2472</v>
      </c>
      <c r="F295" s="43" t="s">
        <v>2473</v>
      </c>
      <c r="G295" s="85" t="str">
        <f t="shared" si="76"/>
        <v>cheat gfi PrimalItemArmor_DireBearSaddle_Origin_C 1 0 0</v>
      </c>
      <c r="H295" s="83" t="s">
        <v>2474</v>
      </c>
      <c r="I295" s="70" t="str">
        <f t="shared" si="77"/>
        <v>EngramEntry_DireBearSaddle_Origin_C</v>
      </c>
      <c r="J295" s="99" t="str">
        <f t="shared" si="78"/>
        <v>OverrideNamedEngramEntries=(EngramEntry_DireBearSaddle_Origin_C,EngramHidden=true)</v>
      </c>
      <c r="K295" s="1"/>
    </row>
    <row r="296">
      <c r="A296" s="6"/>
      <c r="B296" s="6"/>
      <c r="C296" s="97">
        <v>18.0</v>
      </c>
      <c r="D296" s="81" t="str">
        <f t="shared" ref="D296:D300" si="93">Left(F296,find("Saddle",F296)+5)</f>
        <v>PrimalItemSaddle</v>
      </c>
      <c r="E296" s="87" t="s">
        <v>2475</v>
      </c>
      <c r="F296" s="87" t="s">
        <v>2476</v>
      </c>
      <c r="G296" s="81" t="str">
        <f t="shared" si="76"/>
        <v>cheat gfi PrimalItemSaddle_Direwolf_Alpha_C 1 0 0</v>
      </c>
      <c r="H296" s="87" t="s">
        <v>2477</v>
      </c>
      <c r="I296" s="71" t="str">
        <f t="shared" si="77"/>
        <v>EngramEntry_Direwolf_Alpha_C</v>
      </c>
      <c r="J296" s="98" t="str">
        <f t="shared" si="78"/>
        <v>OverrideNamedEngramEntries=(EngramEntry_Direwolf_Alpha_C,EngramHidden=true)</v>
      </c>
      <c r="K296" s="1"/>
    </row>
    <row r="297">
      <c r="A297" s="6"/>
      <c r="B297" s="6"/>
      <c r="C297" s="97">
        <v>18.0</v>
      </c>
      <c r="D297" s="81" t="str">
        <f t="shared" si="93"/>
        <v>PrimalItemSaddle</v>
      </c>
      <c r="E297" s="83" t="s">
        <v>2478</v>
      </c>
      <c r="F297" s="83" t="s">
        <v>2479</v>
      </c>
      <c r="G297" s="85" t="str">
        <f t="shared" si="76"/>
        <v>cheat gfi PrimalItemSaddle_Direwolf_Angelic_C 1 0 0</v>
      </c>
      <c r="H297" s="83" t="s">
        <v>2480</v>
      </c>
      <c r="I297" s="70" t="str">
        <f t="shared" si="77"/>
        <v>EngramEntry_Direwolf_Angelic_C</v>
      </c>
      <c r="J297" s="99" t="str">
        <f t="shared" si="78"/>
        <v>OverrideNamedEngramEntries=(EngramEntry_Direwolf_Angelic_C,EngramHidden=true)</v>
      </c>
      <c r="K297" s="1"/>
    </row>
    <row r="298">
      <c r="A298" s="6"/>
      <c r="B298" s="6"/>
      <c r="C298" s="97">
        <v>18.0</v>
      </c>
      <c r="D298" s="81" t="str">
        <f t="shared" si="93"/>
        <v>PrimalItemSaddle</v>
      </c>
      <c r="E298" s="87" t="s">
        <v>2481</v>
      </c>
      <c r="F298" s="87" t="s">
        <v>2482</v>
      </c>
      <c r="G298" s="81" t="str">
        <f t="shared" si="76"/>
        <v>cheat gfi PrimalItemSaddle_Direwolf_Toxic_C 1 0 0</v>
      </c>
      <c r="H298" s="87" t="s">
        <v>2483</v>
      </c>
      <c r="I298" s="71" t="str">
        <f t="shared" si="77"/>
        <v>EngramEntry_Direwolf_Toxic_C</v>
      </c>
      <c r="J298" s="98" t="str">
        <f t="shared" si="78"/>
        <v>OverrideNamedEngramEntries=(EngramEntry_Direwolf_Toxic_C,EngramHidden=true)</v>
      </c>
      <c r="K298" s="1"/>
    </row>
    <row r="299" hidden="1">
      <c r="A299" s="6"/>
      <c r="B299" s="6"/>
      <c r="C299" s="97">
        <v>18.0</v>
      </c>
      <c r="D299" s="81" t="str">
        <f t="shared" si="93"/>
        <v>PrimalItemSaddle</v>
      </c>
      <c r="E299" s="83" t="s">
        <v>2484</v>
      </c>
      <c r="F299" s="83" t="s">
        <v>2485</v>
      </c>
      <c r="G299" s="85" t="str">
        <f t="shared" si="76"/>
        <v>cheat gfi PrimalItemSaddle_Dodo_Alpha_C 1 0 0</v>
      </c>
      <c r="H299" s="83" t="s">
        <v>2486</v>
      </c>
      <c r="I299" s="70" t="str">
        <f t="shared" si="77"/>
        <v>EngramEntry_Dodo_Alpha_C</v>
      </c>
      <c r="J299" s="99" t="str">
        <f t="shared" si="78"/>
        <v>OverrideNamedEngramEntries=(EngramEntry_Dodo_Alpha_C,EngramHidden=true)</v>
      </c>
      <c r="K299" s="1"/>
    </row>
    <row r="300">
      <c r="A300" s="6"/>
      <c r="B300" s="6"/>
      <c r="C300" s="97">
        <v>18.0</v>
      </c>
      <c r="D300" s="81" t="str">
        <f t="shared" si="93"/>
        <v>PrimalItemSaddle</v>
      </c>
      <c r="E300" s="87" t="s">
        <v>2487</v>
      </c>
      <c r="F300" s="87" t="s">
        <v>2488</v>
      </c>
      <c r="G300" s="81" t="str">
        <f t="shared" si="76"/>
        <v>cheat gfi PrimalItemSaddle_Dodo_Toxic_C 1 0 0</v>
      </c>
      <c r="H300" s="87" t="s">
        <v>2489</v>
      </c>
      <c r="I300" s="71" t="str">
        <f t="shared" si="77"/>
        <v>EngramEntry_Dodo_Toxic_C</v>
      </c>
      <c r="J300" s="98" t="str">
        <f t="shared" si="78"/>
        <v>OverrideNamedEngramEntries=(EngramEntry_Dodo_Toxic_C,EngramHidden=true)</v>
      </c>
      <c r="K300" s="1"/>
    </row>
    <row r="301">
      <c r="A301" s="6"/>
      <c r="B301" s="6"/>
      <c r="C301" s="97"/>
      <c r="D301" s="81"/>
      <c r="E301" s="83" t="s">
        <v>2490</v>
      </c>
      <c r="F301" s="43" t="s">
        <v>2491</v>
      </c>
      <c r="G301" s="85" t="str">
        <f t="shared" si="76"/>
        <v>cheat gfi PrimalItemSaddle_DodoReaper_Origin_C 1 0 0</v>
      </c>
      <c r="H301" s="83" t="s">
        <v>2492</v>
      </c>
      <c r="I301" s="70" t="str">
        <f t="shared" si="77"/>
        <v>EngramEntry_DodoReaper_Origin_C</v>
      </c>
      <c r="J301" s="99" t="str">
        <f t="shared" si="78"/>
        <v>OverrideNamedEngramEntries=(EngramEntry_DodoReaper_Origin_C,EngramHidden=true)</v>
      </c>
      <c r="K301" s="1"/>
    </row>
    <row r="302">
      <c r="A302" s="6"/>
      <c r="B302" s="6"/>
      <c r="C302" s="97">
        <v>18.0</v>
      </c>
      <c r="D302" s="81" t="str">
        <f t="shared" ref="D302:D305" si="94">Left(F302,find("Armor",F302)+4)</f>
        <v>#VALUE!</v>
      </c>
      <c r="E302" s="87" t="s">
        <v>2493</v>
      </c>
      <c r="F302" s="87" t="s">
        <v>2494</v>
      </c>
      <c r="G302" s="81" t="str">
        <f t="shared" si="76"/>
        <v>cheat gfi PrimalItemSaddle_Dodorex_Chaos_C 1 0 0</v>
      </c>
      <c r="H302" s="87" t="s">
        <v>2495</v>
      </c>
      <c r="I302" s="71" t="str">
        <f t="shared" si="77"/>
        <v>EngramEntry_Dodorex_Chaos_C</v>
      </c>
      <c r="J302" s="98" t="str">
        <f t="shared" si="78"/>
        <v>OverrideNamedEngramEntries=(EngramEntry_Dodorex_Chaos_C,EngramHidden=true)</v>
      </c>
      <c r="K302" s="1"/>
    </row>
    <row r="303">
      <c r="A303" s="6"/>
      <c r="B303" s="6"/>
      <c r="C303" s="97">
        <v>18.0</v>
      </c>
      <c r="D303" s="81" t="str">
        <f t="shared" si="94"/>
        <v>#VALUE!</v>
      </c>
      <c r="E303" s="101" t="s">
        <v>2496</v>
      </c>
      <c r="F303" s="101" t="s">
        <v>2497</v>
      </c>
      <c r="G303" s="85" t="str">
        <f t="shared" si="76"/>
        <v>cheat gfi PrimalItemSaddle_Dodorex_Electric_C 1 0 0</v>
      </c>
      <c r="H303" s="101" t="s">
        <v>2498</v>
      </c>
      <c r="I303" s="70" t="str">
        <f t="shared" si="77"/>
        <v>EngramEntry_Dodorex_Electric_C</v>
      </c>
      <c r="J303" s="99" t="str">
        <f t="shared" si="78"/>
        <v>OverrideNamedEngramEntries=(EngramEntry_Dodorex_Electric_C,EngramHidden=true)</v>
      </c>
      <c r="K303" s="1"/>
    </row>
    <row r="304">
      <c r="A304" s="6"/>
      <c r="B304" s="6"/>
      <c r="C304" s="97">
        <v>18.0</v>
      </c>
      <c r="D304" s="81" t="str">
        <f t="shared" si="94"/>
        <v>#VALUE!</v>
      </c>
      <c r="E304" s="102" t="s">
        <v>2499</v>
      </c>
      <c r="F304" s="102" t="s">
        <v>2500</v>
      </c>
      <c r="G304" s="98" t="str">
        <f t="shared" ref="G304:G321" si="95">"cheat gfi "&amp;F304&amp;" 1 100 0"</f>
        <v>cheat gfi PrimalItemSaddle_Dodorex_Hydro_C 1 100 0</v>
      </c>
      <c r="H304" s="102" t="s">
        <v>2501</v>
      </c>
      <c r="I304" s="71" t="str">
        <f t="shared" si="77"/>
        <v>EngramEntry_Dodorex_Hydro_C</v>
      </c>
      <c r="J304" s="98" t="str">
        <f t="shared" si="78"/>
        <v>OverrideNamedEngramEntries=(EngramEntry_Dodorex_Hydro_C,EngramHidden=true)</v>
      </c>
      <c r="K304" s="1"/>
    </row>
    <row r="305">
      <c r="A305" s="6"/>
      <c r="B305" s="6"/>
      <c r="C305" s="97">
        <v>18.0</v>
      </c>
      <c r="D305" s="81" t="str">
        <f t="shared" si="94"/>
        <v>#VALUE!</v>
      </c>
      <c r="E305" s="101" t="s">
        <v>2502</v>
      </c>
      <c r="F305" s="101" t="s">
        <v>2503</v>
      </c>
      <c r="G305" s="99" t="str">
        <f t="shared" si="95"/>
        <v>cheat gfi PrimalItemSaddle_Dodorex_Spirit_C 1 100 0</v>
      </c>
      <c r="H305" s="101" t="s">
        <v>2504</v>
      </c>
      <c r="I305" s="70" t="str">
        <f t="shared" si="77"/>
        <v>EngramEntry_Dodorex_Spirit_C</v>
      </c>
      <c r="J305" s="99" t="str">
        <f t="shared" si="78"/>
        <v>OverrideNamedEngramEntries=(EngramEntry_Dodorex_Spirit_C,EngramHidden=true)</v>
      </c>
      <c r="K305" s="1"/>
    </row>
    <row r="306">
      <c r="A306" s="6"/>
      <c r="B306" s="6"/>
      <c r="C306" s="97"/>
      <c r="D306" s="81"/>
      <c r="E306" s="102" t="s">
        <v>2505</v>
      </c>
      <c r="F306" s="102" t="s">
        <v>2506</v>
      </c>
      <c r="G306" s="98" t="str">
        <f t="shared" si="95"/>
        <v>cheat gfi PrimalItemSaddle_Dodorexy_Volcanic_C 1 100 0</v>
      </c>
      <c r="H306" s="102" t="s">
        <v>2507</v>
      </c>
      <c r="I306" s="71" t="str">
        <f t="shared" si="77"/>
        <v>EngramEntry_Dodorexy_Volcanic_C</v>
      </c>
      <c r="J306" s="98" t="str">
        <f t="shared" si="78"/>
        <v>OverrideNamedEngramEntries=(EngramEntry_Dodorexy_Volcanic_C,EngramHidden=true)</v>
      </c>
      <c r="K306" s="1"/>
    </row>
    <row r="307">
      <c r="A307" s="6"/>
      <c r="B307" s="6"/>
      <c r="C307" s="97">
        <v>18.0</v>
      </c>
      <c r="D307" s="81" t="str">
        <f t="shared" ref="D307:D311" si="96">Left(F307,find("Saddle",F307)+5)</f>
        <v>PrimalItemArmor_DoedSaddle</v>
      </c>
      <c r="E307" s="101" t="s">
        <v>2508</v>
      </c>
      <c r="F307" s="101" t="s">
        <v>2509</v>
      </c>
      <c r="G307" s="99" t="str">
        <f t="shared" si="95"/>
        <v>cheat gfi PrimalItemArmor_DoedSaddle_Alpha_C 1 100 0</v>
      </c>
      <c r="H307" s="101" t="s">
        <v>2510</v>
      </c>
      <c r="I307" s="70" t="str">
        <f t="shared" si="77"/>
        <v>EngramEntry_DoedSaddle_Alpha_C</v>
      </c>
      <c r="J307" s="99" t="str">
        <f t="shared" si="78"/>
        <v>OverrideNamedEngramEntries=(EngramEntry_DoedSaddle_Alpha_C,EngramHidden=true)</v>
      </c>
      <c r="K307" s="1"/>
    </row>
    <row r="308">
      <c r="A308" s="6"/>
      <c r="B308" s="6"/>
      <c r="C308" s="97">
        <v>18.0</v>
      </c>
      <c r="D308" s="81" t="str">
        <f t="shared" si="96"/>
        <v>PrimalItemArmor_DoedSaddle</v>
      </c>
      <c r="E308" s="102" t="s">
        <v>2511</v>
      </c>
      <c r="F308" s="102" t="s">
        <v>2512</v>
      </c>
      <c r="G308" s="98" t="str">
        <f t="shared" si="95"/>
        <v>cheat gfi PrimalItemArmor_DoedSaddle_Fairy_C 1 100 0</v>
      </c>
      <c r="H308" s="102" t="s">
        <v>2513</v>
      </c>
      <c r="I308" s="71" t="str">
        <f t="shared" si="77"/>
        <v>EngramEntry_DoedSaddle_Fairy_C</v>
      </c>
      <c r="J308" s="98" t="str">
        <f t="shared" si="78"/>
        <v>OverrideNamedEngramEntries=(EngramEntry_DoedSaddle_Fairy_C,EngramHidden=true)</v>
      </c>
      <c r="K308" s="1"/>
    </row>
    <row r="309">
      <c r="A309" s="6"/>
      <c r="B309" s="6"/>
      <c r="C309" s="97">
        <v>18.0</v>
      </c>
      <c r="D309" s="81" t="str">
        <f t="shared" si="96"/>
        <v>PrimalItemArmor_DoedSaddle</v>
      </c>
      <c r="E309" s="101" t="s">
        <v>2514</v>
      </c>
      <c r="F309" s="101" t="s">
        <v>2515</v>
      </c>
      <c r="G309" s="99" t="str">
        <f t="shared" si="95"/>
        <v>cheat gfi PrimalItemArmor_DoedSaddle_Mythic_C 1 100 0</v>
      </c>
      <c r="H309" s="101" t="s">
        <v>2516</v>
      </c>
      <c r="I309" s="70" t="str">
        <f t="shared" si="77"/>
        <v>EngramEntry_DoedSaddle_Mythic_C</v>
      </c>
      <c r="J309" s="99" t="str">
        <f t="shared" si="78"/>
        <v>OverrideNamedEngramEntries=(EngramEntry_DoedSaddle_Mythic_C,EngramHidden=true)</v>
      </c>
      <c r="K309" s="1"/>
    </row>
    <row r="310">
      <c r="A310" s="6"/>
      <c r="B310" s="6"/>
      <c r="C310" s="97">
        <v>18.0</v>
      </c>
      <c r="D310" s="81" t="str">
        <f t="shared" si="96"/>
        <v>PrimalItemArmor_DoedSaddle</v>
      </c>
      <c r="E310" s="102" t="s">
        <v>2517</v>
      </c>
      <c r="F310" s="102" t="s">
        <v>2518</v>
      </c>
      <c r="G310" s="98" t="str">
        <f t="shared" si="95"/>
        <v>cheat gfi PrimalItemArmor_DoedSaddle_Toxic_C 1 100 0</v>
      </c>
      <c r="H310" s="102" t="s">
        <v>2519</v>
      </c>
      <c r="I310" s="71" t="str">
        <f t="shared" si="77"/>
        <v>EngramEntry_DoedSaddle_Toxic_C</v>
      </c>
      <c r="J310" s="98" t="str">
        <f t="shared" si="78"/>
        <v>OverrideNamedEngramEntries=(EngramEntry_DoedSaddle_Toxic_C,EngramHidden=true)</v>
      </c>
      <c r="K310" s="1"/>
    </row>
    <row r="311">
      <c r="A311" s="6"/>
      <c r="B311" s="6"/>
      <c r="C311" s="97">
        <v>18.0</v>
      </c>
      <c r="D311" s="81" t="str">
        <f t="shared" si="96"/>
        <v>PrimalItemSaddle</v>
      </c>
      <c r="E311" s="101" t="s">
        <v>2520</v>
      </c>
      <c r="F311" s="101" t="s">
        <v>2521</v>
      </c>
      <c r="G311" s="99" t="str">
        <f t="shared" si="95"/>
        <v>cheat gfi PrimalItemSaddle_Dragon_Electric_C 1 100 0</v>
      </c>
      <c r="H311" s="101" t="s">
        <v>2522</v>
      </c>
      <c r="I311" s="70" t="str">
        <f t="shared" si="77"/>
        <v>EngramEntry_Dragon_Electric_C</v>
      </c>
      <c r="J311" s="99" t="str">
        <f t="shared" si="78"/>
        <v>OverrideNamedEngramEntries=(EngramEntry_Dragon_Electric_C,EngramHidden=true)</v>
      </c>
      <c r="K311" s="1"/>
    </row>
    <row r="312">
      <c r="A312" s="6"/>
      <c r="B312" s="6"/>
      <c r="C312" s="97">
        <v>18.0</v>
      </c>
      <c r="D312" s="81" t="str">
        <f t="shared" ref="D312:D318" si="97">Left(F312,find("Armor",F312)+4)</f>
        <v>#VALUE!</v>
      </c>
      <c r="E312" s="102" t="s">
        <v>2523</v>
      </c>
      <c r="F312" s="102" t="s">
        <v>2524</v>
      </c>
      <c r="G312" s="98" t="str">
        <f t="shared" si="95"/>
        <v>cheat gfi PrimalItemSaddle_Dragon_Volcanic_C 1 100 0</v>
      </c>
      <c r="H312" s="102" t="s">
        <v>2525</v>
      </c>
      <c r="I312" s="71" t="str">
        <f t="shared" si="77"/>
        <v>EngramEntry_Dragon_Volcanic_C</v>
      </c>
      <c r="J312" s="98" t="str">
        <f t="shared" si="78"/>
        <v>OverrideNamedEngramEntries=(EngramEntry_Dragon_Volcanic_C,EngramHidden=true)</v>
      </c>
      <c r="K312" s="1"/>
    </row>
    <row r="313">
      <c r="A313" s="6"/>
      <c r="B313" s="6"/>
      <c r="C313" s="97">
        <v>18.0</v>
      </c>
      <c r="D313" s="81" t="str">
        <f t="shared" si="97"/>
        <v>#VALUE!</v>
      </c>
      <c r="E313" s="101" t="s">
        <v>2526</v>
      </c>
      <c r="F313" s="101" t="s">
        <v>2527</v>
      </c>
      <c r="G313" s="99" t="str">
        <f t="shared" si="95"/>
        <v>cheat gfi PrimalItemSaddle_Dragonfly_Alpha_C 1 100 0</v>
      </c>
      <c r="H313" s="101" t="s">
        <v>2528</v>
      </c>
      <c r="I313" s="70" t="str">
        <f t="shared" si="77"/>
        <v>EngramEntry_Dragonfly_Alpha_C</v>
      </c>
      <c r="J313" s="99" t="str">
        <f t="shared" si="78"/>
        <v>OverrideNamedEngramEntries=(EngramEntry_Dragonfly_Alpha_C,EngramHidden=true)</v>
      </c>
      <c r="K313" s="1"/>
    </row>
    <row r="314">
      <c r="A314" s="6"/>
      <c r="B314" s="6"/>
      <c r="C314" s="97">
        <v>18.0</v>
      </c>
      <c r="D314" s="81" t="str">
        <f t="shared" si="97"/>
        <v>#VALUE!</v>
      </c>
      <c r="E314" s="87" t="s">
        <v>2529</v>
      </c>
      <c r="F314" s="87" t="s">
        <v>2530</v>
      </c>
      <c r="G314" s="98" t="str">
        <f t="shared" si="95"/>
        <v>cheat gfi PrimalItemSaddle_Dragonfly_Toxic_C 1 100 0</v>
      </c>
      <c r="H314" s="87" t="s">
        <v>2531</v>
      </c>
      <c r="I314" s="71" t="str">
        <f t="shared" si="77"/>
        <v>EngramEntry_Dragonfly_Toxic_C</v>
      </c>
      <c r="J314" s="98" t="str">
        <f t="shared" si="78"/>
        <v>OverrideNamedEngramEntries=(EngramEntry_Dragonfly_Toxic_C,EngramHidden=true)</v>
      </c>
      <c r="K314" s="1"/>
    </row>
    <row r="315">
      <c r="A315" s="6"/>
      <c r="B315" s="6"/>
      <c r="C315" s="97">
        <v>18.0</v>
      </c>
      <c r="D315" s="81" t="str">
        <f t="shared" si="97"/>
        <v>#VALUE!</v>
      </c>
      <c r="E315" s="83" t="s">
        <v>2532</v>
      </c>
      <c r="F315" s="83" t="s">
        <v>2533</v>
      </c>
      <c r="G315" s="99" t="str">
        <f t="shared" si="95"/>
        <v>cheat gfi PrimalItemSaddle_Dungbeetle_Alpha_C 1 100 0</v>
      </c>
      <c r="H315" s="83" t="s">
        <v>2534</v>
      </c>
      <c r="I315" s="70" t="str">
        <f t="shared" si="77"/>
        <v>EngramEntry_Dungbeetle_Alpha_C</v>
      </c>
      <c r="J315" s="99" t="str">
        <f t="shared" si="78"/>
        <v>OverrideNamedEngramEntries=(EngramEntry_Dungbeetle_Alpha_C,EngramHidden=true)</v>
      </c>
      <c r="K315" s="1"/>
    </row>
    <row r="316">
      <c r="A316" s="6"/>
      <c r="B316" s="6"/>
      <c r="C316" s="97">
        <v>18.0</v>
      </c>
      <c r="D316" s="81" t="str">
        <f t="shared" si="97"/>
        <v>#VALUE!</v>
      </c>
      <c r="E316" s="87" t="s">
        <v>2535</v>
      </c>
      <c r="F316" s="87" t="s">
        <v>2536</v>
      </c>
      <c r="G316" s="98" t="str">
        <f t="shared" si="95"/>
        <v>cheat gfi PrimalItemSaddle_Dungbeetle_Toxic_C 1 100 0</v>
      </c>
      <c r="H316" s="87" t="s">
        <v>2537</v>
      </c>
      <c r="I316" s="71" t="str">
        <f t="shared" si="77"/>
        <v>EngramEntry_Dungbeetle_Toxic_C</v>
      </c>
      <c r="J316" s="98" t="str">
        <f t="shared" si="78"/>
        <v>OverrideNamedEngramEntries=(EngramEntry_Dungbeetle_Toxic_C,EngramHidden=true)</v>
      </c>
      <c r="K316" s="1"/>
    </row>
    <row r="317">
      <c r="A317" s="6"/>
      <c r="B317" s="6"/>
      <c r="C317" s="97">
        <v>18.0</v>
      </c>
      <c r="D317" s="81" t="str">
        <f t="shared" si="97"/>
        <v>PrimalItemArmor</v>
      </c>
      <c r="E317" s="83" t="s">
        <v>2538</v>
      </c>
      <c r="F317" s="83" t="s">
        <v>2539</v>
      </c>
      <c r="G317" s="99" t="str">
        <f t="shared" si="95"/>
        <v>cheat gfi PrimalItemArmor_EquusSaddle_Alpha_C 1 100 0</v>
      </c>
      <c r="H317" s="83" t="s">
        <v>2540</v>
      </c>
      <c r="I317" s="70" t="str">
        <f t="shared" si="77"/>
        <v>EngramEntry_EquusSaddle_Alpha_C</v>
      </c>
      <c r="J317" s="99" t="str">
        <f t="shared" si="78"/>
        <v>OverrideNamedEngramEntries=(EngramEntry_EquusSaddle_Alpha_C,EngramHidden=true)</v>
      </c>
      <c r="K317" s="1"/>
    </row>
    <row r="318">
      <c r="A318" s="6"/>
      <c r="B318" s="6"/>
      <c r="C318" s="97">
        <v>18.0</v>
      </c>
      <c r="D318" s="81" t="str">
        <f t="shared" si="97"/>
        <v>PrimalItemArmor</v>
      </c>
      <c r="E318" s="87" t="s">
        <v>2541</v>
      </c>
      <c r="F318" s="87" t="s">
        <v>2542</v>
      </c>
      <c r="G318" s="98" t="str">
        <f t="shared" si="95"/>
        <v>cheat gfi PrimalItemArmor_EquusSaddle_Mythic_C 1 100 0</v>
      </c>
      <c r="H318" s="87" t="s">
        <v>2543</v>
      </c>
      <c r="I318" s="71" t="str">
        <f t="shared" si="77"/>
        <v>EngramEntry_EquusSaddle_Mythic_C</v>
      </c>
      <c r="J318" s="98" t="str">
        <f t="shared" si="78"/>
        <v>OverrideNamedEngramEntries=(EngramEntry_EquusSaddle_Mythic_C,EngramHidden=true)</v>
      </c>
      <c r="K318" s="1"/>
    </row>
    <row r="319">
      <c r="A319" s="6"/>
      <c r="B319" s="6"/>
      <c r="C319" s="97">
        <v>18.0</v>
      </c>
      <c r="D319" s="81" t="str">
        <f t="shared" ref="D319:D327" si="98">Left(F319,find("Saddle",F319)+5)</f>
        <v>PrimalItemArmor_EquusSaddle</v>
      </c>
      <c r="E319" s="83" t="s">
        <v>2544</v>
      </c>
      <c r="F319" s="83" t="s">
        <v>2545</v>
      </c>
      <c r="G319" s="99" t="str">
        <f t="shared" si="95"/>
        <v>cheat gfi PrimalItemArmor_EquusSaddle_Toxic_C 1 100 0</v>
      </c>
      <c r="H319" s="83" t="s">
        <v>2546</v>
      </c>
      <c r="I319" s="70" t="str">
        <f t="shared" si="77"/>
        <v>EngramEntry_EquusSaddle_Toxic_C</v>
      </c>
      <c r="J319" s="99" t="str">
        <f t="shared" si="78"/>
        <v>OverrideNamedEngramEntries=(EngramEntry_EquusSaddle_Toxic_C,EngramHidden=true)</v>
      </c>
      <c r="K319" s="1"/>
    </row>
    <row r="320">
      <c r="A320" s="6"/>
      <c r="B320" s="6"/>
      <c r="C320" s="97">
        <v>18.0</v>
      </c>
      <c r="D320" s="81" t="str">
        <f t="shared" si="98"/>
        <v>#VALUE!</v>
      </c>
      <c r="E320" s="87" t="s">
        <v>2547</v>
      </c>
      <c r="F320" s="87" t="s">
        <v>2548</v>
      </c>
      <c r="G320" s="98" t="str">
        <f t="shared" si="95"/>
        <v>cheat gfi PrimalItemArmor_Gallimimus_Alpha_C 1 100 0</v>
      </c>
      <c r="H320" s="87" t="s">
        <v>2549</v>
      </c>
      <c r="I320" s="71" t="str">
        <f t="shared" si="77"/>
        <v>EngramEntry_Gallimimus_Alpha_C</v>
      </c>
      <c r="J320" s="98" t="str">
        <f t="shared" si="78"/>
        <v>OverrideNamedEngramEntries=(EngramEntry_Gallimimus_Alpha_C,EngramHidden=true)</v>
      </c>
      <c r="K320" s="1"/>
    </row>
    <row r="321">
      <c r="A321" s="6"/>
      <c r="B321" s="6"/>
      <c r="C321" s="97">
        <v>18.0</v>
      </c>
      <c r="D321" s="81" t="str">
        <f t="shared" si="98"/>
        <v>#VALUE!</v>
      </c>
      <c r="E321" s="83" t="s">
        <v>2550</v>
      </c>
      <c r="F321" s="83" t="s">
        <v>2551</v>
      </c>
      <c r="G321" s="99" t="str">
        <f t="shared" si="95"/>
        <v>cheat gfi PrimalItemArmor_Gallimimus_Toxic_C 1 100 0</v>
      </c>
      <c r="H321" s="83" t="s">
        <v>2552</v>
      </c>
      <c r="I321" s="70" t="str">
        <f t="shared" si="77"/>
        <v>EngramEntry_Gallimimus_Toxic_C</v>
      </c>
      <c r="J321" s="99" t="str">
        <f t="shared" si="78"/>
        <v>OverrideNamedEngramEntries=(EngramEntry_Gallimimus_Toxic_C,EngramHidden=true)</v>
      </c>
      <c r="K321" s="1"/>
    </row>
    <row r="322">
      <c r="A322" s="6"/>
      <c r="B322" s="6"/>
      <c r="C322" s="97">
        <v>18.0</v>
      </c>
      <c r="D322" s="81" t="str">
        <f t="shared" si="98"/>
        <v>PrimalItemArmor_GigantSaddle</v>
      </c>
      <c r="E322" s="87" t="s">
        <v>2553</v>
      </c>
      <c r="F322" s="87" t="s">
        <v>2554</v>
      </c>
      <c r="G322" s="81" t="str">
        <f t="shared" ref="G322:G379" si="99">CONCATENATE("cheat gfi ",F322," 1 0 0")</f>
        <v>cheat gfi PrimalItemArmor_GigantSaddle_C 1 0 0</v>
      </c>
      <c r="H322" s="87" t="s">
        <v>2555</v>
      </c>
      <c r="I322" s="71" t="str">
        <f t="shared" si="77"/>
        <v>EngramEntry_GigantSaddle_C</v>
      </c>
      <c r="J322" s="98" t="str">
        <f t="shared" si="78"/>
        <v>OverrideNamedEngramEntries=(EngramEntry_GigantSaddle_C,EngramHidden=true)</v>
      </c>
      <c r="K322" s="1"/>
    </row>
    <row r="323">
      <c r="A323" s="6"/>
      <c r="B323" s="6"/>
      <c r="C323" s="97">
        <v>18.0</v>
      </c>
      <c r="D323" s="81" t="str">
        <f t="shared" si="98"/>
        <v>PrimalItemArmor_GigantSaddle</v>
      </c>
      <c r="E323" s="83" t="s">
        <v>2556</v>
      </c>
      <c r="F323" s="83" t="s">
        <v>2557</v>
      </c>
      <c r="G323" s="85" t="str">
        <f t="shared" si="99"/>
        <v>cheat gfi PrimalItemArmor_GigantSaddle_Alpha_C 1 0 0</v>
      </c>
      <c r="H323" s="83" t="s">
        <v>2558</v>
      </c>
      <c r="I323" s="70" t="str">
        <f t="shared" si="77"/>
        <v>EngramEntry_GigantSaddle_Alpha_C</v>
      </c>
      <c r="J323" s="99" t="str">
        <f t="shared" si="78"/>
        <v>OverrideNamedEngramEntries=(EngramEntry_GigantSaddle_Alpha_C,EngramHidden=true)</v>
      </c>
      <c r="K323" s="1"/>
    </row>
    <row r="324">
      <c r="A324" s="6"/>
      <c r="B324" s="6"/>
      <c r="C324" s="97">
        <v>18.0</v>
      </c>
      <c r="D324" s="81" t="str">
        <f t="shared" si="98"/>
        <v>PrimalItemArmor_GigantSaddle</v>
      </c>
      <c r="E324" s="87" t="s">
        <v>2559</v>
      </c>
      <c r="F324" s="87" t="s">
        <v>2560</v>
      </c>
      <c r="G324" s="81" t="str">
        <f t="shared" si="99"/>
        <v>cheat gfi PrimalItemArmor_GigantSaddle_Toxic_C 1 0 0</v>
      </c>
      <c r="H324" s="87" t="s">
        <v>2561</v>
      </c>
      <c r="I324" s="71" t="str">
        <f t="shared" si="77"/>
        <v>EngramEntry_GigantSaddle_Toxic_C</v>
      </c>
      <c r="J324" s="98" t="str">
        <f t="shared" si="78"/>
        <v>OverrideNamedEngramEntries=(EngramEntry_GigantSaddle_Toxic_C,EngramHidden=true)</v>
      </c>
      <c r="K324" s="1"/>
    </row>
    <row r="325">
      <c r="A325" s="6"/>
      <c r="B325" s="6"/>
      <c r="C325" s="97">
        <v>18.0</v>
      </c>
      <c r="D325" s="81" t="str">
        <f t="shared" si="98"/>
        <v>PrimalItemSaddle</v>
      </c>
      <c r="E325" s="83" t="s">
        <v>2562</v>
      </c>
      <c r="F325" s="83" t="s">
        <v>2563</v>
      </c>
      <c r="G325" s="85" t="str">
        <f t="shared" si="99"/>
        <v>cheat gfi PrimalItemSaddle_Gorilla_Shadow_C 1 0 0</v>
      </c>
      <c r="H325" s="83" t="s">
        <v>2564</v>
      </c>
      <c r="I325" s="70" t="str">
        <f t="shared" si="77"/>
        <v>EngramEntry_Gorilla_Shadow_C</v>
      </c>
      <c r="J325" s="99" t="str">
        <f t="shared" si="78"/>
        <v>OverrideNamedEngramEntries=(EngramEntry_Gorilla_Shadow_C,EngramHidden=true)</v>
      </c>
      <c r="K325" s="1"/>
    </row>
    <row r="326">
      <c r="A326" s="6"/>
      <c r="B326" s="6"/>
      <c r="C326" s="97">
        <v>18.0</v>
      </c>
      <c r="D326" s="81" t="str">
        <f t="shared" si="98"/>
        <v>PrimalItemSaddle</v>
      </c>
      <c r="E326" s="87" t="s">
        <v>2565</v>
      </c>
      <c r="F326" s="87" t="s">
        <v>2566</v>
      </c>
      <c r="G326" s="81" t="str">
        <f t="shared" si="99"/>
        <v>cheat gfi PrimalItemSaddle_Griffin_Chaos_C 1 0 0</v>
      </c>
      <c r="H326" s="87" t="s">
        <v>2567</v>
      </c>
      <c r="I326" s="71" t="str">
        <f t="shared" si="77"/>
        <v>EngramEntry_Griffin_Chaos_C</v>
      </c>
      <c r="J326" s="98" t="str">
        <f t="shared" si="78"/>
        <v>OverrideNamedEngramEntries=(EngramEntry_Griffin_Chaos_C,EngramHidden=true)</v>
      </c>
      <c r="K326" s="1"/>
    </row>
    <row r="327">
      <c r="A327" s="6"/>
      <c r="B327" s="6"/>
      <c r="C327" s="97">
        <v>18.0</v>
      </c>
      <c r="D327" s="81" t="str">
        <f t="shared" si="98"/>
        <v>PrimalItemSaddle</v>
      </c>
      <c r="E327" s="83" t="s">
        <v>2568</v>
      </c>
      <c r="F327" s="83" t="s">
        <v>2569</v>
      </c>
      <c r="G327" s="85" t="str">
        <f t="shared" si="99"/>
        <v>cheat gfi PrimalItemSaddle_Griffin_Electric_C 1 0 0</v>
      </c>
      <c r="H327" s="83" t="s">
        <v>2570</v>
      </c>
      <c r="I327" s="70" t="str">
        <f t="shared" si="77"/>
        <v>EngramEntry_Griffin_Electric_C</v>
      </c>
      <c r="J327" s="99" t="str">
        <f t="shared" si="78"/>
        <v>OverrideNamedEngramEntries=(EngramEntry_Griffin_Electric_C,EngramHidden=true)</v>
      </c>
      <c r="K327" s="1"/>
    </row>
    <row r="328">
      <c r="A328" s="6"/>
      <c r="B328" s="6"/>
      <c r="C328" s="97">
        <v>18.0</v>
      </c>
      <c r="D328" s="81" t="str">
        <f t="shared" ref="D328:D331" si="100">Left(F328,find("Armor",F328)+4)</f>
        <v>#VALUE!</v>
      </c>
      <c r="E328" s="87" t="s">
        <v>2571</v>
      </c>
      <c r="F328" s="87" t="s">
        <v>2572</v>
      </c>
      <c r="G328" s="81" t="str">
        <f t="shared" si="99"/>
        <v>cheat gfi PrimalItemSaddle_Guardian_Electric_C 1 0 0</v>
      </c>
      <c r="H328" s="87" t="s">
        <v>2573</v>
      </c>
      <c r="I328" s="71" t="str">
        <f t="shared" si="77"/>
        <v>EngramEntry_Guardian_Electric_C</v>
      </c>
      <c r="J328" s="98" t="str">
        <f t="shared" si="78"/>
        <v>OverrideNamedEngramEntries=(EngramEntry_Guardian_Electric_C,EngramHidden=true)</v>
      </c>
      <c r="K328" s="1"/>
    </row>
    <row r="329">
      <c r="A329" s="6"/>
      <c r="B329" s="6"/>
      <c r="C329" s="97">
        <v>18.0</v>
      </c>
      <c r="D329" s="81" t="str">
        <f t="shared" si="100"/>
        <v>#VALUE!</v>
      </c>
      <c r="E329" s="83" t="s">
        <v>2574</v>
      </c>
      <c r="F329" s="83" t="s">
        <v>2575</v>
      </c>
      <c r="G329" s="85" t="str">
        <f t="shared" si="99"/>
        <v>cheat gfi PrimalItemSaddle_Guardian_Hydro_C 1 0 0</v>
      </c>
      <c r="H329" s="83" t="s">
        <v>2576</v>
      </c>
      <c r="I329" s="70" t="str">
        <f t="shared" si="77"/>
        <v>EngramEntry_Guardian_Hydro_C</v>
      </c>
      <c r="J329" s="99" t="str">
        <f t="shared" si="78"/>
        <v>OverrideNamedEngramEntries=(EngramEntry_Guardian_Hydro_C,EngramHidden=true)</v>
      </c>
      <c r="K329" s="1"/>
    </row>
    <row r="330">
      <c r="A330" s="6"/>
      <c r="B330" s="6"/>
      <c r="C330" s="97">
        <v>18.0</v>
      </c>
      <c r="D330" s="81" t="str">
        <f t="shared" si="100"/>
        <v>#VALUE!</v>
      </c>
      <c r="E330" s="87" t="s">
        <v>2577</v>
      </c>
      <c r="F330" s="87" t="s">
        <v>2578</v>
      </c>
      <c r="G330" s="81" t="str">
        <f t="shared" si="99"/>
        <v>cheat gfi PrimalItemSaddle_Guardian_Volcanic_C 1 0 0</v>
      </c>
      <c r="H330" s="87" t="s">
        <v>2579</v>
      </c>
      <c r="I330" s="71" t="str">
        <f t="shared" si="77"/>
        <v>EngramEntry_Guardian_Volcanic_C</v>
      </c>
      <c r="J330" s="98" t="str">
        <f t="shared" si="78"/>
        <v>OverrideNamedEngramEntries=(EngramEntry_Guardian_Volcanic_C,EngramHidden=true)</v>
      </c>
      <c r="K330" s="1"/>
    </row>
    <row r="331">
      <c r="A331" s="6"/>
      <c r="B331" s="6"/>
      <c r="C331" s="97">
        <v>18.0</v>
      </c>
      <c r="D331" s="81" t="str">
        <f t="shared" si="100"/>
        <v>#VALUE!</v>
      </c>
      <c r="E331" s="83" t="s">
        <v>2580</v>
      </c>
      <c r="F331" s="83" t="s">
        <v>2581</v>
      </c>
      <c r="G331" s="85" t="str">
        <f t="shared" si="99"/>
        <v>cheat gfi PrimalItemSaddle_Hesperornis_Alpha_C 1 0 0</v>
      </c>
      <c r="H331" s="83" t="s">
        <v>2582</v>
      </c>
      <c r="I331" s="70" t="str">
        <f t="shared" si="77"/>
        <v>EngramEntry_Hesperornis_Alpha_C</v>
      </c>
      <c r="J331" s="99" t="str">
        <f t="shared" si="78"/>
        <v>OverrideNamedEngramEntries=(EngramEntry_Hesperornis_Alpha_C,EngramHidden=true)</v>
      </c>
      <c r="K331" s="1"/>
    </row>
    <row r="332">
      <c r="A332" s="6"/>
      <c r="B332" s="6"/>
      <c r="C332" s="97">
        <v>18.0</v>
      </c>
      <c r="D332" s="81" t="str">
        <f t="shared" ref="D332:D337" si="101">Left(F332,find("Saddle",F332)+5)</f>
        <v>PrimalItemSaddle</v>
      </c>
      <c r="E332" s="87" t="s">
        <v>2583</v>
      </c>
      <c r="F332" s="87" t="s">
        <v>2584</v>
      </c>
      <c r="G332" s="81" t="str">
        <f t="shared" si="99"/>
        <v>cheat gfi PrimalItemSaddle_Hesperornis_Toxic_C 1 0 0</v>
      </c>
      <c r="H332" s="87" t="s">
        <v>2585</v>
      </c>
      <c r="I332" s="71" t="str">
        <f t="shared" si="77"/>
        <v>EngramEntry_Hesperornis_Toxic_C</v>
      </c>
      <c r="J332" s="98" t="str">
        <f t="shared" si="78"/>
        <v>OverrideNamedEngramEntries=(EngramEntry_Hesperornis_Toxic_C,EngramHidden=true)</v>
      </c>
      <c r="K332" s="1"/>
    </row>
    <row r="333">
      <c r="A333" s="6"/>
      <c r="B333" s="6"/>
      <c r="C333" s="97">
        <v>18.0</v>
      </c>
      <c r="D333" s="81" t="str">
        <f t="shared" si="101"/>
        <v>PrimalItemSaddle</v>
      </c>
      <c r="E333" s="83" t="s">
        <v>2586</v>
      </c>
      <c r="F333" s="83" t="s">
        <v>2587</v>
      </c>
      <c r="G333" s="85" t="str">
        <f t="shared" si="99"/>
        <v>cheat gfi PrimalItemSaddle_Hyerna_Alpha_C 1 0 0</v>
      </c>
      <c r="H333" s="83" t="s">
        <v>2588</v>
      </c>
      <c r="I333" s="70" t="str">
        <f t="shared" si="77"/>
        <v>EngramEntry_Hyerna_Alpha_C</v>
      </c>
      <c r="J333" s="99" t="str">
        <f t="shared" si="78"/>
        <v>OverrideNamedEngramEntries=(EngramEntry_Hyerna_Alpha_C,EngramHidden=true)</v>
      </c>
      <c r="K333" s="1"/>
    </row>
    <row r="334">
      <c r="A334" s="6"/>
      <c r="B334" s="6"/>
      <c r="C334" s="97">
        <v>18.0</v>
      </c>
      <c r="D334" s="81" t="str">
        <f t="shared" si="101"/>
        <v>PrimalItemSaddle</v>
      </c>
      <c r="E334" s="87" t="s">
        <v>2589</v>
      </c>
      <c r="F334" s="87" t="s">
        <v>2590</v>
      </c>
      <c r="G334" s="81" t="str">
        <f t="shared" si="99"/>
        <v>cheat gfi PrimalItemSaddle_Hyerna_Toxic_C 1 0 0</v>
      </c>
      <c r="H334" s="87" t="s">
        <v>2591</v>
      </c>
      <c r="I334" s="71" t="str">
        <f t="shared" si="77"/>
        <v>EngramEntry_Hyerna_Toxic_C</v>
      </c>
      <c r="J334" s="98" t="str">
        <f t="shared" si="78"/>
        <v>OverrideNamedEngramEntries=(EngramEntry_Hyerna_Toxic_C,EngramHidden=true)</v>
      </c>
      <c r="K334" s="1"/>
    </row>
    <row r="335">
      <c r="A335" s="6"/>
      <c r="B335" s="6"/>
      <c r="C335" s="97">
        <v>18.0</v>
      </c>
      <c r="D335" s="81" t="str">
        <f t="shared" si="101"/>
        <v>PrimalItemArmor_IguanodonSaddle</v>
      </c>
      <c r="E335" s="83" t="s">
        <v>2592</v>
      </c>
      <c r="F335" s="83" t="s">
        <v>2593</v>
      </c>
      <c r="G335" s="85" t="str">
        <f t="shared" si="99"/>
        <v>cheat gfi PrimalItemArmor_IguanodonSaddle_Alpha_C 1 0 0</v>
      </c>
      <c r="H335" s="83" t="s">
        <v>2594</v>
      </c>
      <c r="I335" s="70" t="str">
        <f t="shared" si="77"/>
        <v>EngramEntry_IguanodonSaddle_Alpha_C</v>
      </c>
      <c r="J335" s="99" t="str">
        <f t="shared" si="78"/>
        <v>OverrideNamedEngramEntries=(EngramEntry_IguanodonSaddle_Alpha_C,EngramHidden=true)</v>
      </c>
      <c r="K335" s="1"/>
    </row>
    <row r="336">
      <c r="A336" s="6"/>
      <c r="B336" s="6"/>
      <c r="C336" s="97">
        <v>18.0</v>
      </c>
      <c r="D336" s="81" t="str">
        <f t="shared" si="101"/>
        <v>PrimalItemArmor_IguanodonSaddle</v>
      </c>
      <c r="E336" s="87" t="s">
        <v>2595</v>
      </c>
      <c r="F336" s="87" t="s">
        <v>2596</v>
      </c>
      <c r="G336" s="81" t="str">
        <f t="shared" si="99"/>
        <v>cheat gfi PrimalItemArmor_IguanodonSaddle_Toxic_C 1 0 0</v>
      </c>
      <c r="H336" s="87" t="s">
        <v>2597</v>
      </c>
      <c r="I336" s="71" t="str">
        <f t="shared" si="77"/>
        <v>EngramEntry_IguanodonSaddle_Toxic_C</v>
      </c>
      <c r="J336" s="98" t="str">
        <f t="shared" si="78"/>
        <v>OverrideNamedEngramEntries=(EngramEntry_IguanodonSaddle_Toxic_C,EngramHidden=true)</v>
      </c>
      <c r="K336" s="1"/>
    </row>
    <row r="337">
      <c r="A337" s="6"/>
      <c r="B337" s="6"/>
      <c r="C337" s="97">
        <v>18.0</v>
      </c>
      <c r="D337" s="81" t="str">
        <f t="shared" si="101"/>
        <v>PrimalItemSaddle</v>
      </c>
      <c r="E337" s="83" t="s">
        <v>2598</v>
      </c>
      <c r="F337" s="83" t="s">
        <v>2599</v>
      </c>
      <c r="G337" s="85" t="str">
        <f t="shared" si="99"/>
        <v>cheat gfi PrimalItemSaddle_Indom_Chaos_C 1 0 0</v>
      </c>
      <c r="H337" s="83" t="s">
        <v>2600</v>
      </c>
      <c r="I337" s="70" t="str">
        <f t="shared" si="77"/>
        <v>EngramEntry_Indom_Chaos_C</v>
      </c>
      <c r="J337" s="99" t="str">
        <f t="shared" si="78"/>
        <v>OverrideNamedEngramEntries=(EngramEntry_Indom_Chaos_C,EngramHidden=true)</v>
      </c>
      <c r="K337" s="1"/>
    </row>
    <row r="338">
      <c r="A338" s="6"/>
      <c r="B338" s="6"/>
      <c r="C338" s="97">
        <v>18.0</v>
      </c>
      <c r="D338" s="81" t="str">
        <f t="shared" ref="D338:D341" si="102">Left(F338,find("Armor",F338)+4)</f>
        <v>PrimalItemArmor</v>
      </c>
      <c r="E338" s="87" t="s">
        <v>2601</v>
      </c>
      <c r="F338" s="87" t="s">
        <v>2602</v>
      </c>
      <c r="G338" s="81" t="str">
        <f t="shared" si="99"/>
        <v>cheat gfi PrimalItemArmor_IndomSaddle_C 1 0 0</v>
      </c>
      <c r="H338" s="87" t="s">
        <v>2603</v>
      </c>
      <c r="I338" s="71" t="str">
        <f t="shared" si="77"/>
        <v>EngramEntry_IndomSaddle_C</v>
      </c>
      <c r="J338" s="98" t="str">
        <f t="shared" si="78"/>
        <v>OverrideNamedEngramEntries=(EngramEntry_IndomSaddle_C,EngramHidden=true)</v>
      </c>
      <c r="K338" s="1"/>
    </row>
    <row r="339">
      <c r="A339" s="6"/>
      <c r="B339" s="6"/>
      <c r="C339" s="97">
        <v>18.0</v>
      </c>
      <c r="D339" s="81" t="str">
        <f t="shared" si="102"/>
        <v>PrimalItemArmor</v>
      </c>
      <c r="E339" s="83" t="s">
        <v>2604</v>
      </c>
      <c r="F339" s="83" t="s">
        <v>2605</v>
      </c>
      <c r="G339" s="85" t="str">
        <f t="shared" si="99"/>
        <v>cheat gfi PrimalItemArmor_IndomSaddle_Legendary_C 1 0 0</v>
      </c>
      <c r="H339" s="83" t="s">
        <v>2606</v>
      </c>
      <c r="I339" s="70" t="str">
        <f t="shared" si="77"/>
        <v>EngramEntry_IndomSaddle_Legendary_C</v>
      </c>
      <c r="J339" s="99" t="str">
        <f t="shared" si="78"/>
        <v>OverrideNamedEngramEntries=(EngramEntry_IndomSaddle_Legendary_C,EngramHidden=true)</v>
      </c>
      <c r="K339" s="1"/>
    </row>
    <row r="340">
      <c r="A340" s="6"/>
      <c r="B340" s="6"/>
      <c r="C340" s="97">
        <v>18.0</v>
      </c>
      <c r="D340" s="81" t="str">
        <f t="shared" si="102"/>
        <v>#VALUE!</v>
      </c>
      <c r="E340" s="87" t="s">
        <v>2607</v>
      </c>
      <c r="F340" s="87" t="s">
        <v>2608</v>
      </c>
      <c r="G340" s="81" t="str">
        <f t="shared" si="99"/>
        <v>cheat gfi PrimalItemSaddle_Indom_Spirit_C 1 0 0</v>
      </c>
      <c r="H340" s="87" t="s">
        <v>2609</v>
      </c>
      <c r="I340" s="71" t="str">
        <f t="shared" si="77"/>
        <v>EngramEntry_Indom_Spirit_C</v>
      </c>
      <c r="J340" s="98" t="str">
        <f t="shared" si="78"/>
        <v>OverrideNamedEngramEntries=(EngramEntry_Indom_Spirit_C,EngramHidden=true)</v>
      </c>
      <c r="K340" s="1"/>
    </row>
    <row r="341">
      <c r="A341" s="6"/>
      <c r="B341" s="6"/>
      <c r="C341" s="97">
        <v>18.0</v>
      </c>
      <c r="D341" s="81" t="str">
        <f t="shared" si="102"/>
        <v>#VALUE!</v>
      </c>
      <c r="E341" s="83" t="s">
        <v>2610</v>
      </c>
      <c r="F341" s="83" t="s">
        <v>2611</v>
      </c>
      <c r="G341" s="85" t="str">
        <f t="shared" si="99"/>
        <v>cheat gfi PrimalItemSaddle_Jerboa_Fairy_C 1 0 0</v>
      </c>
      <c r="H341" s="83" t="s">
        <v>2612</v>
      </c>
      <c r="I341" s="70" t="str">
        <f t="shared" si="77"/>
        <v>EngramEntry_Jerboa_Fairy_C</v>
      </c>
      <c r="J341" s="99" t="str">
        <f t="shared" si="78"/>
        <v>OverrideNamedEngramEntries=(EngramEntry_Jerboa_Fairy_C,EngramHidden=true)</v>
      </c>
      <c r="K341" s="1"/>
    </row>
    <row r="342">
      <c r="A342" s="6"/>
      <c r="B342" s="6"/>
      <c r="C342" s="97">
        <v>18.0</v>
      </c>
      <c r="D342" s="81" t="str">
        <f t="shared" ref="D342:D345" si="103">Left(F342,find("Saddle",F342)+5)</f>
        <v>PrimalItemSaddle</v>
      </c>
      <c r="E342" s="87" t="s">
        <v>2613</v>
      </c>
      <c r="F342" s="87" t="s">
        <v>2614</v>
      </c>
      <c r="G342" s="81" t="str">
        <f t="shared" si="99"/>
        <v>cheat gfi PrimalItemSaddle_Jerboa_Mythic_C 1 0 0</v>
      </c>
      <c r="H342" s="87" t="s">
        <v>2615</v>
      </c>
      <c r="I342" s="71" t="str">
        <f t="shared" si="77"/>
        <v>EngramEntry_Jerboa_Mythic_C</v>
      </c>
      <c r="J342" s="98" t="str">
        <f t="shared" si="78"/>
        <v>OverrideNamedEngramEntries=(EngramEntry_Jerboa_Mythic_C,EngramHidden=true)</v>
      </c>
      <c r="K342" s="1"/>
    </row>
    <row r="343">
      <c r="A343" s="6"/>
      <c r="B343" s="6"/>
      <c r="C343" s="97">
        <v>18.0</v>
      </c>
      <c r="D343" s="81" t="str">
        <f t="shared" si="103"/>
        <v>PrimalItemSaddle</v>
      </c>
      <c r="E343" s="83" t="s">
        <v>2616</v>
      </c>
      <c r="F343" s="83" t="s">
        <v>2617</v>
      </c>
      <c r="G343" s="85" t="str">
        <f t="shared" si="99"/>
        <v>cheat gfi PrimalItemSaddle_Jerboa_Spirit_C 1 0 0</v>
      </c>
      <c r="H343" s="83" t="s">
        <v>2618</v>
      </c>
      <c r="I343" s="70" t="str">
        <f t="shared" si="77"/>
        <v>EngramEntry_Jerboa_Spirit_C</v>
      </c>
      <c r="J343" s="99" t="str">
        <f t="shared" si="78"/>
        <v>OverrideNamedEngramEntries=(EngramEntry_Jerboa_Spirit_C,EngramHidden=true)</v>
      </c>
      <c r="K343" s="1"/>
    </row>
    <row r="344">
      <c r="A344" s="6"/>
      <c r="B344" s="6"/>
      <c r="C344" s="97">
        <v>18.0</v>
      </c>
      <c r="D344" s="81" t="str">
        <f t="shared" si="103"/>
        <v>PrimalItemSaddle</v>
      </c>
      <c r="E344" s="87" t="s">
        <v>2619</v>
      </c>
      <c r="F344" s="87" t="s">
        <v>2620</v>
      </c>
      <c r="G344" s="81" t="str">
        <f t="shared" si="99"/>
        <v>cheat gfi PrimalItemSaddle_Kairuku_Alpha_C 1 0 0</v>
      </c>
      <c r="H344" s="87" t="s">
        <v>2621</v>
      </c>
      <c r="I344" s="71" t="str">
        <f t="shared" si="77"/>
        <v>EngramEntry_Kairuku_Alpha_C</v>
      </c>
      <c r="J344" s="98" t="str">
        <f t="shared" si="78"/>
        <v>OverrideNamedEngramEntries=(EngramEntry_Kairuku_Alpha_C,EngramHidden=true)</v>
      </c>
      <c r="K344" s="1"/>
    </row>
    <row r="345">
      <c r="A345" s="6"/>
      <c r="B345" s="6"/>
      <c r="C345" s="97">
        <v>18.0</v>
      </c>
      <c r="D345" s="81" t="str">
        <f t="shared" si="103"/>
        <v>PrimalItemSaddle</v>
      </c>
      <c r="E345" s="83" t="s">
        <v>2622</v>
      </c>
      <c r="F345" s="83" t="s">
        <v>2623</v>
      </c>
      <c r="G345" s="85" t="str">
        <f t="shared" si="99"/>
        <v>cheat gfi PrimalItemSaddle_Kairuku_Hydro_C 1 0 0</v>
      </c>
      <c r="H345" s="83" t="s">
        <v>2624</v>
      </c>
      <c r="I345" s="70" t="str">
        <f t="shared" si="77"/>
        <v>EngramEntry_Kairuku_Hydro_C</v>
      </c>
      <c r="J345" s="99" t="str">
        <f t="shared" si="78"/>
        <v>OverrideNamedEngramEntries=(EngramEntry_Kairuku_Hydro_C,EngramHidden=true)</v>
      </c>
      <c r="K345" s="1"/>
    </row>
    <row r="346">
      <c r="A346" s="6"/>
      <c r="B346" s="6"/>
      <c r="C346" s="97">
        <v>18.0</v>
      </c>
      <c r="D346" s="81" t="str">
        <f t="shared" ref="D346:D347" si="104">Left(F346,find("Armor",F346)+4)</f>
        <v>#VALUE!</v>
      </c>
      <c r="E346" s="87" t="s">
        <v>2625</v>
      </c>
      <c r="F346" s="87" t="s">
        <v>2626</v>
      </c>
      <c r="G346" s="81" t="str">
        <f t="shared" si="99"/>
        <v>cheat gfi PrimalItemSaddle_Kairuku_Legendary_C 1 0 0</v>
      </c>
      <c r="H346" s="87" t="s">
        <v>2627</v>
      </c>
      <c r="I346" s="71" t="str">
        <f t="shared" si="77"/>
        <v>EngramEntry_Kairuku_Legendary_C</v>
      </c>
      <c r="J346" s="98" t="str">
        <f t="shared" si="78"/>
        <v>OverrideNamedEngramEntries=(EngramEntry_Kairuku_Legendary_C,EngramHidden=true)</v>
      </c>
      <c r="K346" s="1"/>
    </row>
    <row r="347">
      <c r="A347" s="6"/>
      <c r="B347" s="6"/>
      <c r="C347" s="97">
        <v>18.0</v>
      </c>
      <c r="D347" s="81" t="str">
        <f t="shared" si="104"/>
        <v>#VALUE!</v>
      </c>
      <c r="E347" s="83" t="s">
        <v>2628</v>
      </c>
      <c r="F347" s="83" t="s">
        <v>2629</v>
      </c>
      <c r="G347" s="85" t="str">
        <f t="shared" si="99"/>
        <v>cheat gfi PrimalItemSaddle_Kairuku_Toxic_C 1 0 0</v>
      </c>
      <c r="H347" s="83" t="s">
        <v>2630</v>
      </c>
      <c r="I347" s="70" t="str">
        <f t="shared" si="77"/>
        <v>EngramEntry_Kairuku_Toxic_C</v>
      </c>
      <c r="J347" s="99" t="str">
        <f t="shared" si="78"/>
        <v>OverrideNamedEngramEntries=(EngramEntry_Kairuku_Toxic_C,EngramHidden=true)</v>
      </c>
      <c r="K347" s="1"/>
    </row>
    <row r="348">
      <c r="A348" s="6"/>
      <c r="B348" s="6"/>
      <c r="C348" s="97"/>
      <c r="D348" s="81"/>
      <c r="E348" s="87" t="s">
        <v>2631</v>
      </c>
      <c r="F348" s="42" t="s">
        <v>2632</v>
      </c>
      <c r="G348" s="81" t="str">
        <f t="shared" si="99"/>
        <v>cheat gfi PrimalItemSaddle_Kairuku_Origin_C 1 0 0</v>
      </c>
      <c r="H348" s="87" t="s">
        <v>2633</v>
      </c>
      <c r="I348" s="71" t="str">
        <f t="shared" si="77"/>
        <v>EngramEntry_Kairuku_Origin_C</v>
      </c>
      <c r="J348" s="98" t="str">
        <f t="shared" si="78"/>
        <v>OverrideNamedEngramEntries=(EngramEntry_Kairuku_Origin_C,EngramHidden=true)</v>
      </c>
      <c r="K348" s="1"/>
    </row>
    <row r="349">
      <c r="A349" s="6"/>
      <c r="B349" s="6"/>
      <c r="C349" s="97">
        <v>18.0</v>
      </c>
      <c r="D349" s="81" t="str">
        <f t="shared" ref="D349:D355" si="105">Left(F349,find("Armor",F349)+4)</f>
        <v>PrimalItemArmor</v>
      </c>
      <c r="E349" s="83" t="s">
        <v>2634</v>
      </c>
      <c r="F349" s="83" t="s">
        <v>2635</v>
      </c>
      <c r="G349" s="85" t="str">
        <f t="shared" si="99"/>
        <v>cheat gfi PrimalItemArmor_KaprosuchusSaddle_Alpha_C 1 0 0</v>
      </c>
      <c r="H349" s="83" t="s">
        <v>2636</v>
      </c>
      <c r="I349" s="70" t="str">
        <f t="shared" si="77"/>
        <v>EngramEntry_KaprosuchusSaddle_Alpha_C</v>
      </c>
      <c r="J349" s="99" t="str">
        <f t="shared" si="78"/>
        <v>OverrideNamedEngramEntries=(EngramEntry_KaprosuchusSaddle_Alpha_C,EngramHidden=true)</v>
      </c>
      <c r="K349" s="1"/>
    </row>
    <row r="350">
      <c r="A350" s="6"/>
      <c r="B350" s="6"/>
      <c r="C350" s="97">
        <v>18.0</v>
      </c>
      <c r="D350" s="81" t="str">
        <f t="shared" si="105"/>
        <v>PrimalItemArmor</v>
      </c>
      <c r="E350" s="87" t="s">
        <v>2637</v>
      </c>
      <c r="F350" s="87" t="s">
        <v>2638</v>
      </c>
      <c r="G350" s="81" t="str">
        <f t="shared" si="99"/>
        <v>cheat gfi PrimalItemArmor_KaprosuchusSaddle_Hydro_C 1 0 0</v>
      </c>
      <c r="H350" s="87" t="s">
        <v>2639</v>
      </c>
      <c r="I350" s="71" t="str">
        <f t="shared" si="77"/>
        <v>EngramEntry_KaprosuchusSaddle_Hydro_C</v>
      </c>
      <c r="J350" s="98" t="str">
        <f t="shared" si="78"/>
        <v>OverrideNamedEngramEntries=(EngramEntry_KaprosuchusSaddle_Hydro_C,EngramHidden=true)</v>
      </c>
      <c r="K350" s="1"/>
    </row>
    <row r="351">
      <c r="A351" s="6"/>
      <c r="B351" s="6"/>
      <c r="C351" s="97">
        <v>18.0</v>
      </c>
      <c r="D351" s="81" t="str">
        <f t="shared" si="105"/>
        <v>PrimalItemArmor</v>
      </c>
      <c r="E351" s="83" t="s">
        <v>2640</v>
      </c>
      <c r="F351" s="83" t="s">
        <v>2641</v>
      </c>
      <c r="G351" s="85" t="str">
        <f t="shared" si="99"/>
        <v>cheat gfi PrimalItemArmor_KaprosuchusSaddle_Legendary_C 1 0 0</v>
      </c>
      <c r="H351" s="83" t="s">
        <v>2642</v>
      </c>
      <c r="I351" s="70" t="str">
        <f t="shared" si="77"/>
        <v>EngramEntry_KaprosuchusSaddle_Legendary_C</v>
      </c>
      <c r="J351" s="99" t="str">
        <f t="shared" si="78"/>
        <v>OverrideNamedEngramEntries=(EngramEntry_KaprosuchusSaddle_Legendary_C,EngramHidden=true)</v>
      </c>
      <c r="K351" s="1"/>
    </row>
    <row r="352">
      <c r="A352" s="6"/>
      <c r="B352" s="6"/>
      <c r="C352" s="97">
        <v>18.0</v>
      </c>
      <c r="D352" s="81" t="str">
        <f t="shared" si="105"/>
        <v>PrimalItemArmor</v>
      </c>
      <c r="E352" s="87" t="s">
        <v>2643</v>
      </c>
      <c r="F352" s="87" t="s">
        <v>2644</v>
      </c>
      <c r="G352" s="81" t="str">
        <f t="shared" si="99"/>
        <v>cheat gfi PrimalItemArmor_KaprosuchusSaddle_Toxic_C 1 0 0</v>
      </c>
      <c r="H352" s="87" t="s">
        <v>2645</v>
      </c>
      <c r="I352" s="71" t="str">
        <f t="shared" si="77"/>
        <v>EngramEntry_KaprosuchusSaddle_Toxic_C</v>
      </c>
      <c r="J352" s="98" t="str">
        <f t="shared" si="78"/>
        <v>OverrideNamedEngramEntries=(EngramEntry_KaprosuchusSaddle_Toxic_C,EngramHidden=true)</v>
      </c>
      <c r="K352" s="1"/>
    </row>
    <row r="353">
      <c r="A353" s="6"/>
      <c r="B353" s="6"/>
      <c r="C353" s="97">
        <v>18.0</v>
      </c>
      <c r="D353" s="81" t="str">
        <f t="shared" si="105"/>
        <v>#VALUE!</v>
      </c>
      <c r="E353" s="83" t="s">
        <v>2646</v>
      </c>
      <c r="F353" s="83" t="s">
        <v>2647</v>
      </c>
      <c r="G353" s="85" t="str">
        <f t="shared" si="99"/>
        <v>cheat gfi PrimalItemSaddle_Kentro_Alpha_C 1 0 0</v>
      </c>
      <c r="H353" s="83" t="s">
        <v>2648</v>
      </c>
      <c r="I353" s="70" t="str">
        <f t="shared" si="77"/>
        <v>EngramEntry_Kentro_Alpha_C</v>
      </c>
      <c r="J353" s="99" t="str">
        <f t="shared" si="78"/>
        <v>OverrideNamedEngramEntries=(EngramEntry_Kentro_Alpha_C,EngramHidden=true)</v>
      </c>
      <c r="K353" s="1"/>
    </row>
    <row r="354">
      <c r="A354" s="6"/>
      <c r="B354" s="6"/>
      <c r="C354" s="97">
        <v>18.0</v>
      </c>
      <c r="D354" s="81" t="str">
        <f t="shared" si="105"/>
        <v>#VALUE!</v>
      </c>
      <c r="E354" s="87" t="s">
        <v>2649</v>
      </c>
      <c r="F354" s="87" t="s">
        <v>2650</v>
      </c>
      <c r="G354" s="81" t="str">
        <f t="shared" si="99"/>
        <v>cheat gfi PrimalItemSaddle_Kentro_Toxic_C 1 0 0</v>
      </c>
      <c r="H354" s="87" t="s">
        <v>2651</v>
      </c>
      <c r="I354" s="71" t="str">
        <f t="shared" si="77"/>
        <v>EngramEntry_Kentro_Toxic_C</v>
      </c>
      <c r="J354" s="98" t="str">
        <f t="shared" si="78"/>
        <v>OverrideNamedEngramEntries=(EngramEntry_Kentro_Toxic_C,EngramHidden=true)</v>
      </c>
      <c r="K354" s="1"/>
    </row>
    <row r="355">
      <c r="A355" s="6"/>
      <c r="B355" s="6"/>
      <c r="C355" s="97">
        <v>18.0</v>
      </c>
      <c r="D355" s="81" t="str">
        <f t="shared" si="105"/>
        <v>#VALUE!</v>
      </c>
      <c r="E355" s="83" t="s">
        <v>2652</v>
      </c>
      <c r="F355" s="83" t="s">
        <v>2653</v>
      </c>
      <c r="G355" s="85" t="str">
        <f t="shared" si="99"/>
        <v>cheat gfi PrimalItemSaddle_Lystro_Alpha_C 1 0 0</v>
      </c>
      <c r="H355" s="83" t="s">
        <v>2654</v>
      </c>
      <c r="I355" s="70" t="str">
        <f t="shared" si="77"/>
        <v>EngramEntry_Lystro_Alpha_C</v>
      </c>
      <c r="J355" s="99" t="str">
        <f t="shared" si="78"/>
        <v>OverrideNamedEngramEntries=(EngramEntry_Lystro_Alpha_C,EngramHidden=true)</v>
      </c>
      <c r="K355" s="1"/>
    </row>
    <row r="356">
      <c r="A356" s="6"/>
      <c r="B356" s="6"/>
      <c r="C356" s="97">
        <v>18.0</v>
      </c>
      <c r="D356" s="81" t="str">
        <f t="shared" ref="D356:D366" si="106">Left(F356,find("Saddle",F356)+5)</f>
        <v>PrimalItemSaddle</v>
      </c>
      <c r="E356" s="87" t="s">
        <v>2655</v>
      </c>
      <c r="F356" s="87" t="s">
        <v>2656</v>
      </c>
      <c r="G356" s="81" t="str">
        <f t="shared" si="99"/>
        <v>cheat gfi PrimalItemSaddle_Lystro_Toxic_C 1 0 0</v>
      </c>
      <c r="H356" s="87" t="s">
        <v>2657</v>
      </c>
      <c r="I356" s="71" t="str">
        <f t="shared" si="77"/>
        <v>EngramEntry_Lystro_Toxic_C</v>
      </c>
      <c r="J356" s="98" t="str">
        <f t="shared" si="78"/>
        <v>OverrideNamedEngramEntries=(EngramEntry_Lystro_Toxic_C,EngramHidden=true)</v>
      </c>
      <c r="K356" s="1"/>
    </row>
    <row r="357">
      <c r="A357" s="6"/>
      <c r="B357" s="6"/>
      <c r="C357" s="97">
        <v>18.0</v>
      </c>
      <c r="D357" s="81" t="str">
        <f t="shared" si="106"/>
        <v>PrimalItemArmor_MammothSaddle</v>
      </c>
      <c r="E357" s="83" t="s">
        <v>2658</v>
      </c>
      <c r="F357" s="83" t="s">
        <v>2659</v>
      </c>
      <c r="G357" s="85" t="str">
        <f t="shared" si="99"/>
        <v>cheat gfi PrimalItemArmor_MammothSaddle_Alpha_C 1 0 0</v>
      </c>
      <c r="H357" s="83" t="s">
        <v>2660</v>
      </c>
      <c r="I357" s="70" t="str">
        <f t="shared" si="77"/>
        <v>EngramEntry_MammothSaddle_Alpha_C</v>
      </c>
      <c r="J357" s="99" t="str">
        <f t="shared" si="78"/>
        <v>OverrideNamedEngramEntries=(EngramEntry_MammothSaddle_Alpha_C,EngramHidden=true)</v>
      </c>
      <c r="K357" s="1"/>
    </row>
    <row r="358">
      <c r="A358" s="6"/>
      <c r="B358" s="6"/>
      <c r="C358" s="97">
        <v>18.0</v>
      </c>
      <c r="D358" s="81" t="str">
        <f t="shared" si="106"/>
        <v>PrimalItemArmor_MammothSaddle</v>
      </c>
      <c r="E358" s="87" t="s">
        <v>2661</v>
      </c>
      <c r="F358" s="87" t="s">
        <v>2662</v>
      </c>
      <c r="G358" s="81" t="str">
        <f t="shared" si="99"/>
        <v>cheat gfi PrimalItemArmor_MammothSaddle_Mythic_C 1 0 0</v>
      </c>
      <c r="H358" s="87" t="s">
        <v>2663</v>
      </c>
      <c r="I358" s="71" t="str">
        <f t="shared" si="77"/>
        <v>EngramEntry_MammothSaddle_Mythic_C</v>
      </c>
      <c r="J358" s="98" t="str">
        <f t="shared" si="78"/>
        <v>OverrideNamedEngramEntries=(EngramEntry_MammothSaddle_Mythic_C,EngramHidden=true)</v>
      </c>
      <c r="K358" s="1"/>
    </row>
    <row r="359">
      <c r="A359" s="6"/>
      <c r="B359" s="6"/>
      <c r="C359" s="97">
        <v>18.0</v>
      </c>
      <c r="D359" s="81" t="str">
        <f t="shared" si="106"/>
        <v>PrimalItemArmor_MammothSaddle</v>
      </c>
      <c r="E359" s="83" t="s">
        <v>2664</v>
      </c>
      <c r="F359" s="83" t="s">
        <v>2665</v>
      </c>
      <c r="G359" s="85" t="str">
        <f t="shared" si="99"/>
        <v>cheat gfi PrimalItemArmor_MammothSaddle_Toxic_C 1 0 0</v>
      </c>
      <c r="H359" s="83" t="s">
        <v>2666</v>
      </c>
      <c r="I359" s="70" t="str">
        <f t="shared" si="77"/>
        <v>EngramEntry_MammothSaddle_Toxic_C</v>
      </c>
      <c r="J359" s="99" t="str">
        <f t="shared" si="78"/>
        <v>OverrideNamedEngramEntries=(EngramEntry_MammothSaddle_Toxic_C,EngramHidden=true)</v>
      </c>
      <c r="K359" s="1"/>
    </row>
    <row r="360">
      <c r="A360" s="6"/>
      <c r="B360" s="6"/>
      <c r="C360" s="97">
        <v>18.0</v>
      </c>
      <c r="D360" s="81" t="str">
        <f t="shared" si="106"/>
        <v>PrimalItemArmor_MegalaniaSaddle</v>
      </c>
      <c r="E360" s="87" t="s">
        <v>2667</v>
      </c>
      <c r="F360" s="87" t="s">
        <v>2668</v>
      </c>
      <c r="G360" s="81" t="str">
        <f t="shared" si="99"/>
        <v>cheat gfi PrimalItemArmor_MegalaniaSaddle_Alpha_C 1 0 0</v>
      </c>
      <c r="H360" s="87" t="s">
        <v>2669</v>
      </c>
      <c r="I360" s="71" t="str">
        <f t="shared" si="77"/>
        <v>EngramEntry_MegalaniaSaddle_Alpha_C</v>
      </c>
      <c r="J360" s="98" t="str">
        <f t="shared" si="78"/>
        <v>OverrideNamedEngramEntries=(EngramEntry_MegalaniaSaddle_Alpha_C,EngramHidden=true)</v>
      </c>
      <c r="K360" s="1"/>
    </row>
    <row r="361">
      <c r="A361" s="6"/>
      <c r="B361" s="6"/>
      <c r="C361" s="97">
        <v>18.0</v>
      </c>
      <c r="D361" s="81" t="str">
        <f t="shared" si="106"/>
        <v>PrimalItemArmor_MegalaniaSaddle</v>
      </c>
      <c r="E361" s="83" t="s">
        <v>2670</v>
      </c>
      <c r="F361" s="83" t="s">
        <v>2671</v>
      </c>
      <c r="G361" s="85" t="str">
        <f t="shared" si="99"/>
        <v>cheat gfi PrimalItemArmor_MegalaniaSaddle_Toxic_C 1 0 0</v>
      </c>
      <c r="H361" s="83" t="s">
        <v>2672</v>
      </c>
      <c r="I361" s="70" t="str">
        <f t="shared" si="77"/>
        <v>EngramEntry_MegalaniaSaddle_Toxic_C</v>
      </c>
      <c r="J361" s="99" t="str">
        <f t="shared" si="78"/>
        <v>OverrideNamedEngramEntries=(EngramEntry_MegalaniaSaddle_Toxic_C,EngramHidden=true)</v>
      </c>
      <c r="K361" s="1"/>
    </row>
    <row r="362">
      <c r="A362" s="6"/>
      <c r="B362" s="6"/>
      <c r="C362" s="97">
        <v>18.0</v>
      </c>
      <c r="D362" s="81" t="str">
        <f t="shared" si="106"/>
        <v>PrimalItemArmor_MegalosaurusSaddle</v>
      </c>
      <c r="E362" s="87" t="s">
        <v>2673</v>
      </c>
      <c r="F362" s="87" t="s">
        <v>2674</v>
      </c>
      <c r="G362" s="81" t="str">
        <f t="shared" si="99"/>
        <v>cheat gfi PrimalItemArmor_MegalosaurusSaddle_Alpha_C 1 0 0</v>
      </c>
      <c r="H362" s="87" t="s">
        <v>2675</v>
      </c>
      <c r="I362" s="71" t="str">
        <f t="shared" si="77"/>
        <v>EngramEntry_MegalosaurusSaddle_Alpha_C</v>
      </c>
      <c r="J362" s="98" t="str">
        <f t="shared" si="78"/>
        <v>OverrideNamedEngramEntries=(EngramEntry_MegalosaurusSaddle_Alpha_C,EngramHidden=true)</v>
      </c>
      <c r="K362" s="1"/>
    </row>
    <row r="363">
      <c r="A363" s="6"/>
      <c r="B363" s="6"/>
      <c r="C363" s="97">
        <v>18.0</v>
      </c>
      <c r="D363" s="81" t="str">
        <f t="shared" si="106"/>
        <v>PrimalItemArmor_MegalosaurusSaddle</v>
      </c>
      <c r="E363" s="83" t="s">
        <v>2676</v>
      </c>
      <c r="F363" s="83" t="s">
        <v>2677</v>
      </c>
      <c r="G363" s="85" t="str">
        <f t="shared" si="99"/>
        <v>cheat gfi PrimalItemArmor_MegalosaurusSaddle_Toxic_C 1 0 0</v>
      </c>
      <c r="H363" s="83" t="s">
        <v>2678</v>
      </c>
      <c r="I363" s="70" t="str">
        <f t="shared" si="77"/>
        <v>EngramEntry_MegalosaurusSaddle_Toxic_C</v>
      </c>
      <c r="J363" s="99" t="str">
        <f t="shared" si="78"/>
        <v>OverrideNamedEngramEntries=(EngramEntry_MegalosaurusSaddle_Toxic_C,EngramHidden=true)</v>
      </c>
      <c r="K363" s="1"/>
    </row>
    <row r="364">
      <c r="A364" s="6"/>
      <c r="B364" s="6"/>
      <c r="C364" s="97">
        <v>18.0</v>
      </c>
      <c r="D364" s="81" t="str">
        <f t="shared" si="106"/>
        <v>PrimalItemArmor_MegatheriumSaddle</v>
      </c>
      <c r="E364" s="87" t="s">
        <v>2679</v>
      </c>
      <c r="F364" s="87" t="s">
        <v>2680</v>
      </c>
      <c r="G364" s="81" t="str">
        <f t="shared" si="99"/>
        <v>cheat gfi PrimalItemArmor_MegatheriumSaddle_Alpha_C 1 0 0</v>
      </c>
      <c r="H364" s="87" t="s">
        <v>2681</v>
      </c>
      <c r="I364" s="71" t="str">
        <f t="shared" si="77"/>
        <v>EngramEntry_MegatheriumSaddle_Alpha_C</v>
      </c>
      <c r="J364" s="98" t="str">
        <f t="shared" si="78"/>
        <v>OverrideNamedEngramEntries=(EngramEntry_MegatheriumSaddle_Alpha_C,EngramHidden=true)</v>
      </c>
      <c r="K364" s="1"/>
    </row>
    <row r="365">
      <c r="A365" s="6"/>
      <c r="B365" s="6"/>
      <c r="C365" s="97">
        <v>18.0</v>
      </c>
      <c r="D365" s="81" t="str">
        <f t="shared" si="106"/>
        <v>PrimalItemArmor_MegatheriumSaddle</v>
      </c>
      <c r="E365" s="83" t="s">
        <v>2682</v>
      </c>
      <c r="F365" s="83" t="s">
        <v>2683</v>
      </c>
      <c r="G365" s="85" t="str">
        <f t="shared" si="99"/>
        <v>cheat gfi PrimalItemArmor_MegatheriumSaddle_Toxic_C 1 0 0</v>
      </c>
      <c r="H365" s="83" t="s">
        <v>2684</v>
      </c>
      <c r="I365" s="70" t="str">
        <f t="shared" si="77"/>
        <v>EngramEntry_MegatheriumSaddle_Toxic_C</v>
      </c>
      <c r="J365" s="99" t="str">
        <f t="shared" si="78"/>
        <v>OverrideNamedEngramEntries=(EngramEntry_MegatheriumSaddle_Toxic_C,EngramHidden=true)</v>
      </c>
      <c r="K365" s="1"/>
    </row>
    <row r="366">
      <c r="A366" s="6"/>
      <c r="B366" s="6"/>
      <c r="C366" s="97">
        <v>18.0</v>
      </c>
      <c r="D366" s="81" t="str">
        <f t="shared" si="106"/>
        <v>PrimalItemSaddle</v>
      </c>
      <c r="E366" s="87" t="s">
        <v>2685</v>
      </c>
      <c r="F366" s="87" t="s">
        <v>2686</v>
      </c>
      <c r="G366" s="81" t="str">
        <f t="shared" si="99"/>
        <v>cheat gfi PrimalItemSaddle_Monkey_Alpha_C 1 0 0</v>
      </c>
      <c r="H366" s="87" t="s">
        <v>2687</v>
      </c>
      <c r="I366" s="71" t="str">
        <f t="shared" si="77"/>
        <v>EngramEntry_Monkey_Alpha_C</v>
      </c>
      <c r="J366" s="98" t="str">
        <f t="shared" si="78"/>
        <v>OverrideNamedEngramEntries=(EngramEntry_Monkey_Alpha_C,EngramHidden=true)</v>
      </c>
      <c r="K366" s="1"/>
    </row>
    <row r="367">
      <c r="A367" s="6"/>
      <c r="B367" s="6"/>
      <c r="C367" s="97"/>
      <c r="D367" s="81"/>
      <c r="E367" s="83" t="s">
        <v>2688</v>
      </c>
      <c r="F367" s="83" t="s">
        <v>2689</v>
      </c>
      <c r="G367" s="85" t="str">
        <f t="shared" si="99"/>
        <v>cheat gfi PrimalItemSaddle_Monkey_Demonic_C 1 0 0</v>
      </c>
      <c r="H367" s="83" t="s">
        <v>2690</v>
      </c>
      <c r="I367" s="70" t="str">
        <f t="shared" si="77"/>
        <v>EngramEntry_Monkey_Demonic_C</v>
      </c>
      <c r="J367" s="99" t="str">
        <f t="shared" si="78"/>
        <v>OverrideNamedEngramEntries=(EngramEntry_Monkey_Demonic_C,EngramHidden=true)</v>
      </c>
      <c r="K367" s="1"/>
    </row>
    <row r="368">
      <c r="A368" s="6"/>
      <c r="B368" s="6"/>
      <c r="C368" s="97">
        <v>18.0</v>
      </c>
      <c r="D368" s="81" t="str">
        <f t="shared" ref="D368:D369" si="107">Left(F368,find("Saddle",F368)+5)</f>
        <v>PrimalItemSaddle</v>
      </c>
      <c r="E368" s="87" t="s">
        <v>2691</v>
      </c>
      <c r="F368" s="87" t="s">
        <v>2692</v>
      </c>
      <c r="G368" s="81" t="str">
        <f t="shared" si="99"/>
        <v>cheat gfi PrimalItemSaddle_Monkey_Toxic_C 1 0 0</v>
      </c>
      <c r="H368" s="87" t="s">
        <v>2693</v>
      </c>
      <c r="I368" s="71" t="str">
        <f t="shared" si="77"/>
        <v>EngramEntry_Monkey_Toxic_C</v>
      </c>
      <c r="J368" s="98" t="str">
        <f t="shared" si="78"/>
        <v>OverrideNamedEngramEntries=(EngramEntry_Monkey_Toxic_C,EngramHidden=true)</v>
      </c>
      <c r="K368" s="1"/>
    </row>
    <row r="369">
      <c r="A369" s="6"/>
      <c r="B369" s="6"/>
      <c r="C369" s="97">
        <v>18.0</v>
      </c>
      <c r="D369" s="81" t="str">
        <f t="shared" si="107"/>
        <v>PrimalItemSaddle</v>
      </c>
      <c r="E369" s="83" t="s">
        <v>2694</v>
      </c>
      <c r="F369" s="83" t="s">
        <v>2695</v>
      </c>
      <c r="G369" s="85" t="str">
        <f t="shared" si="99"/>
        <v>cheat gfi PrimalItemSaddle_Moschops_Alpha_C 1 0 0</v>
      </c>
      <c r="H369" s="83" t="s">
        <v>2696</v>
      </c>
      <c r="I369" s="70" t="str">
        <f t="shared" si="77"/>
        <v>EngramEntry_Moschops_Alpha_C</v>
      </c>
      <c r="J369" s="99" t="str">
        <f t="shared" si="78"/>
        <v>OverrideNamedEngramEntries=(EngramEntry_Moschops_Alpha_C,EngramHidden=true)</v>
      </c>
      <c r="K369" s="1"/>
    </row>
    <row r="370">
      <c r="A370" s="6"/>
      <c r="B370" s="6"/>
      <c r="C370" s="97">
        <v>18.0</v>
      </c>
      <c r="D370" s="81" t="str">
        <f t="shared" ref="D370:D372" si="108">Left(F370,find("Armor",F370)+4)</f>
        <v>#VALUE!</v>
      </c>
      <c r="E370" s="87" t="s">
        <v>2697</v>
      </c>
      <c r="F370" s="87" t="s">
        <v>2698</v>
      </c>
      <c r="G370" s="81" t="str">
        <f t="shared" si="99"/>
        <v>cheat gfi PrimalItemSaddle_Moschops_Toxic_C 1 0 0</v>
      </c>
      <c r="H370" s="87" t="s">
        <v>2699</v>
      </c>
      <c r="I370" s="71" t="str">
        <f t="shared" si="77"/>
        <v>EngramEntry_Moschops_Toxic_C</v>
      </c>
      <c r="J370" s="98" t="str">
        <f t="shared" si="78"/>
        <v>OverrideNamedEngramEntries=(EngramEntry_Moschops_Toxic_C,EngramHidden=true)</v>
      </c>
      <c r="K370" s="1"/>
    </row>
    <row r="371">
      <c r="A371" s="6"/>
      <c r="B371" s="6"/>
      <c r="C371" s="97">
        <v>18.0</v>
      </c>
      <c r="D371" s="81" t="str">
        <f t="shared" si="108"/>
        <v>#VALUE!</v>
      </c>
      <c r="E371" s="83" t="s">
        <v>2700</v>
      </c>
      <c r="F371" s="83" t="s">
        <v>2701</v>
      </c>
      <c r="G371" s="85" t="str">
        <f t="shared" si="99"/>
        <v>cheat gfi PrimalItemSaddle_Onyc_Alpha_C 1 0 0</v>
      </c>
      <c r="H371" s="83" t="s">
        <v>2702</v>
      </c>
      <c r="I371" s="70" t="str">
        <f t="shared" si="77"/>
        <v>EngramEntry_Onyc_Alpha_C</v>
      </c>
      <c r="J371" s="99" t="str">
        <f t="shared" si="78"/>
        <v>OverrideNamedEngramEntries=(EngramEntry_Onyc_Alpha_C,EngramHidden=true)</v>
      </c>
      <c r="K371" s="1"/>
    </row>
    <row r="372">
      <c r="A372" s="6"/>
      <c r="B372" s="6"/>
      <c r="C372" s="97">
        <v>18.0</v>
      </c>
      <c r="D372" s="81" t="str">
        <f t="shared" si="108"/>
        <v>#VALUE!</v>
      </c>
      <c r="E372" s="87" t="s">
        <v>2703</v>
      </c>
      <c r="F372" s="87" t="s">
        <v>2704</v>
      </c>
      <c r="G372" s="81" t="str">
        <f t="shared" si="99"/>
        <v>cheat gfi PrimalItemSaddle_Onyc_Toxic_C 1 0 0</v>
      </c>
      <c r="H372" s="87" t="s">
        <v>2705</v>
      </c>
      <c r="I372" s="71" t="str">
        <f t="shared" si="77"/>
        <v>EngramEntry_Onyc_Toxic_C</v>
      </c>
      <c r="J372" s="98" t="str">
        <f t="shared" si="78"/>
        <v>OverrideNamedEngramEntries=(EngramEntry_Onyc_Toxic_C,EngramHidden=true)</v>
      </c>
      <c r="K372" s="1"/>
    </row>
    <row r="373">
      <c r="A373" s="6"/>
      <c r="B373" s="6"/>
      <c r="C373" s="97"/>
      <c r="D373" s="81"/>
      <c r="E373" s="83" t="s">
        <v>2706</v>
      </c>
      <c r="F373" s="83" t="s">
        <v>2707</v>
      </c>
      <c r="G373" s="85" t="str">
        <f t="shared" si="99"/>
        <v>cheat gfi PrimalItemSaddle_Draconis_C 1 0 0</v>
      </c>
      <c r="H373" s="83" t="s">
        <v>2708</v>
      </c>
      <c r="I373" s="70" t="str">
        <f t="shared" si="77"/>
        <v>EngramEntry_Draconis_C</v>
      </c>
      <c r="J373" s="99" t="str">
        <f t="shared" si="78"/>
        <v>OverrideNamedEngramEntries=(EngramEntry_Draconis_C,EngramHidden=true)</v>
      </c>
      <c r="K373" s="1"/>
    </row>
    <row r="374">
      <c r="A374" s="6"/>
      <c r="B374" s="6"/>
      <c r="C374" s="97">
        <v>18.0</v>
      </c>
      <c r="D374" s="81" t="str">
        <f t="shared" ref="D374:D381" si="109">Left(F374,find("Armor",F374)+4)</f>
        <v>#VALUE!</v>
      </c>
      <c r="E374" s="87" t="s">
        <v>2709</v>
      </c>
      <c r="F374" s="87" t="s">
        <v>2710</v>
      </c>
      <c r="G374" s="81" t="str">
        <f t="shared" si="99"/>
        <v>cheat gfi PrimalItemSaddle_Otter_Alpha_C 1 0 0</v>
      </c>
      <c r="H374" s="87" t="s">
        <v>2711</v>
      </c>
      <c r="I374" s="71" t="str">
        <f t="shared" si="77"/>
        <v>EngramEntry_Otter_Alpha_C</v>
      </c>
      <c r="J374" s="98" t="str">
        <f t="shared" si="78"/>
        <v>OverrideNamedEngramEntries=(EngramEntry_Otter_Alpha_C,EngramHidden=true)</v>
      </c>
      <c r="K374" s="1"/>
    </row>
    <row r="375">
      <c r="A375" s="6"/>
      <c r="B375" s="6"/>
      <c r="C375" s="97">
        <v>18.0</v>
      </c>
      <c r="D375" s="81" t="str">
        <f t="shared" si="109"/>
        <v>#VALUE!</v>
      </c>
      <c r="E375" s="83" t="s">
        <v>2712</v>
      </c>
      <c r="F375" s="83" t="s">
        <v>2713</v>
      </c>
      <c r="G375" s="85" t="str">
        <f t="shared" si="99"/>
        <v>cheat gfi PrimalItemSaddle_Otter_Hydro_C 1 0 0</v>
      </c>
      <c r="H375" s="83" t="s">
        <v>2714</v>
      </c>
      <c r="I375" s="70" t="str">
        <f t="shared" si="77"/>
        <v>EngramEntry_Otter_Hydro_C</v>
      </c>
      <c r="J375" s="99" t="str">
        <f t="shared" si="78"/>
        <v>OverrideNamedEngramEntries=(EngramEntry_Otter_Hydro_C,EngramHidden=true)</v>
      </c>
      <c r="K375" s="1"/>
    </row>
    <row r="376">
      <c r="A376" s="6"/>
      <c r="B376" s="6"/>
      <c r="C376" s="97">
        <v>18.0</v>
      </c>
      <c r="D376" s="81" t="str">
        <f t="shared" si="109"/>
        <v>#VALUE!</v>
      </c>
      <c r="E376" s="87" t="s">
        <v>2715</v>
      </c>
      <c r="F376" s="87" t="s">
        <v>2716</v>
      </c>
      <c r="G376" s="81" t="str">
        <f t="shared" si="99"/>
        <v>cheat gfi PrimalItemSaddle_Otter_Toxic_C 1 0 0</v>
      </c>
      <c r="H376" s="87" t="s">
        <v>2717</v>
      </c>
      <c r="I376" s="71" t="str">
        <f t="shared" si="77"/>
        <v>EngramEntry_Otter_Toxic_C</v>
      </c>
      <c r="J376" s="98" t="str">
        <f t="shared" si="78"/>
        <v>OverrideNamedEngramEntries=(EngramEntry_Otter_Toxic_C,EngramHidden=true)</v>
      </c>
      <c r="K376" s="1"/>
    </row>
    <row r="377">
      <c r="A377" s="6"/>
      <c r="B377" s="6"/>
      <c r="C377" s="97">
        <v>18.0</v>
      </c>
      <c r="D377" s="81" t="str">
        <f t="shared" si="109"/>
        <v>#VALUE!</v>
      </c>
      <c r="E377" s="83" t="s">
        <v>2718</v>
      </c>
      <c r="F377" s="83" t="s">
        <v>2719</v>
      </c>
      <c r="G377" s="85" t="str">
        <f t="shared" si="99"/>
        <v>cheat gfi PrimalItemSaddle_Oviraptor_Alpha_C 1 0 0</v>
      </c>
      <c r="H377" s="83" t="s">
        <v>2720</v>
      </c>
      <c r="I377" s="70" t="str">
        <f t="shared" si="77"/>
        <v>EngramEntry_Oviraptor_Alpha_C</v>
      </c>
      <c r="J377" s="99" t="str">
        <f t="shared" si="78"/>
        <v>OverrideNamedEngramEntries=(EngramEntry_Oviraptor_Alpha_C,EngramHidden=true)</v>
      </c>
      <c r="K377" s="1"/>
    </row>
    <row r="378">
      <c r="A378" s="6"/>
      <c r="B378" s="6"/>
      <c r="C378" s="97">
        <v>18.0</v>
      </c>
      <c r="D378" s="81" t="str">
        <f t="shared" si="109"/>
        <v>#VALUE!</v>
      </c>
      <c r="E378" s="87" t="s">
        <v>2721</v>
      </c>
      <c r="F378" s="87" t="s">
        <v>2722</v>
      </c>
      <c r="G378" s="81" t="str">
        <f t="shared" si="99"/>
        <v>cheat gfi PrimalItemSaddle_Oviraptor_Toxic_C 1 0 0</v>
      </c>
      <c r="H378" s="87" t="s">
        <v>2723</v>
      </c>
      <c r="I378" s="71" t="str">
        <f t="shared" si="77"/>
        <v>EngramEntry_Oviraptor_Toxic_C</v>
      </c>
      <c r="J378" s="98" t="str">
        <f t="shared" si="78"/>
        <v>OverrideNamedEngramEntries=(EngramEntry_Oviraptor_Toxic_C,EngramHidden=true)</v>
      </c>
      <c r="K378" s="1"/>
    </row>
    <row r="379">
      <c r="A379" s="6"/>
      <c r="B379" s="6"/>
      <c r="C379" s="97">
        <v>18.0</v>
      </c>
      <c r="D379" s="81" t="str">
        <f t="shared" si="109"/>
        <v>#VALUE!</v>
      </c>
      <c r="E379" s="83" t="s">
        <v>2724</v>
      </c>
      <c r="F379" s="83" t="s">
        <v>2725</v>
      </c>
      <c r="G379" s="85" t="str">
        <f t="shared" si="99"/>
        <v>cheat gfi PrimalItemSaddle_Ovis_Alpha_C 1 0 0</v>
      </c>
      <c r="H379" s="83" t="s">
        <v>2726</v>
      </c>
      <c r="I379" s="70" t="str">
        <f t="shared" si="77"/>
        <v>EngramEntry_Ovis_Alpha_C</v>
      </c>
      <c r="J379" s="99" t="str">
        <f t="shared" si="78"/>
        <v>OverrideNamedEngramEntries=(EngramEntry_Ovis_Alpha_C,EngramHidden=true)</v>
      </c>
      <c r="K379" s="1"/>
    </row>
    <row r="380">
      <c r="A380" s="6"/>
      <c r="B380" s="6"/>
      <c r="C380" s="97">
        <v>18.0</v>
      </c>
      <c r="D380" s="81" t="str">
        <f t="shared" si="109"/>
        <v>#VALUE!</v>
      </c>
      <c r="E380" s="102" t="s">
        <v>2727</v>
      </c>
      <c r="F380" s="102" t="s">
        <v>2728</v>
      </c>
      <c r="G380" s="98" t="str">
        <f t="shared" ref="G380:G381" si="110">"cheat gfi "&amp;F380&amp;" 1 100 0"</f>
        <v>cheat gfi PrimalItemSaddle_Ovis_Toxic_C 1 100 0</v>
      </c>
      <c r="H380" s="102" t="s">
        <v>2729</v>
      </c>
      <c r="I380" s="71" t="str">
        <f t="shared" si="77"/>
        <v>EngramEntry_Ovis_Toxic_C</v>
      </c>
      <c r="J380" s="98" t="str">
        <f t="shared" si="78"/>
        <v>OverrideNamedEngramEntries=(EngramEntry_Ovis_Toxic_C,EngramHidden=true)</v>
      </c>
      <c r="K380" s="1"/>
    </row>
    <row r="381">
      <c r="A381" s="6"/>
      <c r="B381" s="6"/>
      <c r="C381" s="97">
        <v>18.0</v>
      </c>
      <c r="D381" s="81" t="str">
        <f t="shared" si="109"/>
        <v>PrimalItemArmor</v>
      </c>
      <c r="E381" s="101" t="s">
        <v>2730</v>
      </c>
      <c r="F381" s="101" t="s">
        <v>2731</v>
      </c>
      <c r="G381" s="99" t="str">
        <f t="shared" si="110"/>
        <v>cheat gfi PrimalItemArmor_OwlSaddle_Mythic_C 1 100 0</v>
      </c>
      <c r="H381" s="101" t="s">
        <v>2732</v>
      </c>
      <c r="I381" s="70" t="str">
        <f t="shared" si="77"/>
        <v>EngramEntry_OwlSaddle_Mythic_C</v>
      </c>
      <c r="J381" s="99" t="str">
        <f t="shared" si="78"/>
        <v>OverrideNamedEngramEntries=(EngramEntry_OwlSaddle_Mythic_C,EngramHidden=true)</v>
      </c>
      <c r="K381" s="1"/>
    </row>
    <row r="382">
      <c r="A382" s="6"/>
      <c r="B382" s="6"/>
      <c r="C382" s="97">
        <v>18.0</v>
      </c>
      <c r="D382" s="81" t="str">
        <f t="shared" ref="D382:D384" si="111">Left(F382,find("Saddle",F382)+5)</f>
        <v>PrimalItemArmor_PachySaddle</v>
      </c>
      <c r="E382" s="87" t="s">
        <v>2733</v>
      </c>
      <c r="F382" s="87" t="s">
        <v>2734</v>
      </c>
      <c r="G382" s="81" t="s">
        <v>2735</v>
      </c>
      <c r="H382" s="87" t="s">
        <v>2736</v>
      </c>
      <c r="I382" s="71" t="str">
        <f t="shared" si="77"/>
        <v>EngramEntry_PachySaddle_Alpha_C</v>
      </c>
      <c r="J382" s="98" t="str">
        <f t="shared" si="78"/>
        <v>OverrideNamedEngramEntries=(EngramEntry_PachySaddle_Alpha_C,EngramHidden=true)</v>
      </c>
      <c r="K382" s="1"/>
    </row>
    <row r="383">
      <c r="A383" s="6"/>
      <c r="B383" s="6"/>
      <c r="C383" s="97">
        <v>18.0</v>
      </c>
      <c r="D383" s="81" t="str">
        <f t="shared" si="111"/>
        <v>PrimalItemArmor_PachySaddle</v>
      </c>
      <c r="E383" s="83" t="s">
        <v>2737</v>
      </c>
      <c r="F383" s="83" t="s">
        <v>2738</v>
      </c>
      <c r="G383" s="85" t="s">
        <v>2739</v>
      </c>
      <c r="H383" s="83" t="s">
        <v>2740</v>
      </c>
      <c r="I383" s="70" t="str">
        <f t="shared" si="77"/>
        <v>EngramEntry_PachySaddle_Legendary_C</v>
      </c>
      <c r="J383" s="99" t="str">
        <f t="shared" si="78"/>
        <v>OverrideNamedEngramEntries=(EngramEntry_PachySaddle_Legendary_C,EngramHidden=true)</v>
      </c>
      <c r="K383" s="1"/>
    </row>
    <row r="384">
      <c r="A384" s="6"/>
      <c r="B384" s="6"/>
      <c r="C384" s="97">
        <v>18.0</v>
      </c>
      <c r="D384" s="81" t="str">
        <f t="shared" si="111"/>
        <v>PrimalItemArmor_PachySaddle</v>
      </c>
      <c r="E384" s="87" t="s">
        <v>2741</v>
      </c>
      <c r="F384" s="87" t="s">
        <v>2742</v>
      </c>
      <c r="G384" s="81" t="s">
        <v>2743</v>
      </c>
      <c r="H384" s="87" t="s">
        <v>2744</v>
      </c>
      <c r="I384" s="71" t="str">
        <f t="shared" si="77"/>
        <v>EngramEntry_PachySaddle_Toxic_C</v>
      </c>
      <c r="J384" s="98" t="str">
        <f t="shared" si="78"/>
        <v>OverrideNamedEngramEntries=(EngramEntry_PachySaddle_Toxic_C,EngramHidden=true)</v>
      </c>
      <c r="K384" s="1"/>
    </row>
    <row r="385">
      <c r="A385" s="6"/>
      <c r="B385" s="6"/>
      <c r="C385" s="97">
        <v>18.0</v>
      </c>
      <c r="D385" s="81" t="str">
        <f t="shared" ref="D385:D387" si="112">Left(F385,find("Armor",F385)+4)</f>
        <v>PrimalItemArmor</v>
      </c>
      <c r="E385" s="83" t="s">
        <v>2745</v>
      </c>
      <c r="F385" s="83" t="s">
        <v>2746</v>
      </c>
      <c r="G385" s="85" t="s">
        <v>2747</v>
      </c>
      <c r="H385" s="83" t="s">
        <v>2748</v>
      </c>
      <c r="I385" s="70" t="str">
        <f t="shared" si="77"/>
        <v>EngramEntry_PachyrhinoSaddle_Alpha_C</v>
      </c>
      <c r="J385" s="99" t="str">
        <f t="shared" si="78"/>
        <v>OverrideNamedEngramEntries=(EngramEntry_PachyrhinoSaddle_Alpha_C,EngramHidden=true)</v>
      </c>
      <c r="K385" s="1"/>
    </row>
    <row r="386">
      <c r="A386" s="6"/>
      <c r="B386" s="6"/>
      <c r="C386" s="97">
        <v>18.0</v>
      </c>
      <c r="D386" s="81" t="str">
        <f t="shared" si="112"/>
        <v>PrimalItemArmor</v>
      </c>
      <c r="E386" s="87" t="s">
        <v>2749</v>
      </c>
      <c r="F386" s="87" t="s">
        <v>2750</v>
      </c>
      <c r="G386" s="81" t="s">
        <v>2751</v>
      </c>
      <c r="H386" s="87" t="s">
        <v>2752</v>
      </c>
      <c r="I386" s="71" t="str">
        <f t="shared" si="77"/>
        <v>EngramEntry_PachyrhinoSaddle_Toxic_C</v>
      </c>
      <c r="J386" s="98" t="str">
        <f t="shared" si="78"/>
        <v>OverrideNamedEngramEntries=(EngramEntry_PachyrhinoSaddle_Toxic_C,EngramHidden=true)</v>
      </c>
      <c r="K386" s="1"/>
    </row>
    <row r="387">
      <c r="A387" s="6"/>
      <c r="B387" s="6"/>
      <c r="C387" s="97">
        <v>18.0</v>
      </c>
      <c r="D387" s="81" t="str">
        <f t="shared" si="112"/>
        <v>PrimalItemArmor</v>
      </c>
      <c r="E387" s="83" t="s">
        <v>2753</v>
      </c>
      <c r="F387" s="83" t="s">
        <v>2754</v>
      </c>
      <c r="G387" s="85" t="str">
        <f t="shared" ref="G387:G504" si="113">CONCATENATE("cheat gfi ",F387," 1 0 0")</f>
        <v>cheat gfi PrimalItemArmor_ParaSaddle_Alpha_C 1 0 0</v>
      </c>
      <c r="H387" s="83" t="s">
        <v>2755</v>
      </c>
      <c r="I387" s="70" t="str">
        <f t="shared" si="77"/>
        <v>EngramEntry_ParaSaddle_Alpha_C</v>
      </c>
      <c r="J387" s="99" t="str">
        <f t="shared" si="78"/>
        <v>OverrideNamedEngramEntries=(EngramEntry_ParaSaddle_Alpha_C,EngramHidden=true)</v>
      </c>
      <c r="K387" s="1"/>
    </row>
    <row r="388">
      <c r="A388" s="6"/>
      <c r="B388" s="6"/>
      <c r="C388" s="97"/>
      <c r="D388" s="81"/>
      <c r="E388" s="87" t="s">
        <v>2756</v>
      </c>
      <c r="F388" s="87" t="s">
        <v>2757</v>
      </c>
      <c r="G388" s="81" t="str">
        <f t="shared" si="113"/>
        <v>cheat gfi PrimalItemArmor_ParaSaddle_Demonic_C 1 0 0</v>
      </c>
      <c r="H388" s="87" t="s">
        <v>2758</v>
      </c>
      <c r="I388" s="71" t="str">
        <f t="shared" si="77"/>
        <v>EngramEntry_ParaSaddle_Demonic_C</v>
      </c>
      <c r="J388" s="98" t="str">
        <f t="shared" si="78"/>
        <v>OverrideNamedEngramEntries=(EngramEntry_ParaSaddle_Demonic_C,EngramHidden=true)</v>
      </c>
      <c r="K388" s="1"/>
    </row>
    <row r="389">
      <c r="A389" s="6"/>
      <c r="B389" s="6"/>
      <c r="C389" s="97">
        <v>18.0</v>
      </c>
      <c r="D389" s="81" t="str">
        <f t="shared" ref="D389:D395" si="114">Left(F389,find("Armor",F389)+4)</f>
        <v>PrimalItemArmor</v>
      </c>
      <c r="E389" s="83" t="s">
        <v>2759</v>
      </c>
      <c r="F389" s="83" t="s">
        <v>2760</v>
      </c>
      <c r="G389" s="85" t="str">
        <f t="shared" si="113"/>
        <v>cheat gfi PrimalItemArmor_ParaSaddle_Toxic_C 1 0 0</v>
      </c>
      <c r="H389" s="83" t="s">
        <v>2761</v>
      </c>
      <c r="I389" s="70" t="str">
        <f t="shared" si="77"/>
        <v>EngramEntry_ParaSaddle_Toxic_C</v>
      </c>
      <c r="J389" s="99" t="str">
        <f t="shared" si="78"/>
        <v>OverrideNamedEngramEntries=(EngramEntry_ParaSaddle_Toxic_C,EngramHidden=true)</v>
      </c>
      <c r="K389" s="1"/>
    </row>
    <row r="390">
      <c r="A390" s="6"/>
      <c r="B390" s="6"/>
      <c r="C390" s="97">
        <v>18.0</v>
      </c>
      <c r="D390" s="81" t="str">
        <f t="shared" si="114"/>
        <v>PrimalItemArmor</v>
      </c>
      <c r="E390" s="87" t="s">
        <v>2762</v>
      </c>
      <c r="F390" s="87" t="s">
        <v>2763</v>
      </c>
      <c r="G390" s="81" t="str">
        <f t="shared" si="113"/>
        <v>cheat gfi PrimalItemArmor_Paracer_Saddle_Alpha_C 1 0 0</v>
      </c>
      <c r="H390" s="87" t="s">
        <v>2764</v>
      </c>
      <c r="I390" s="71" t="str">
        <f t="shared" si="77"/>
        <v>EngramEntry_Paracer_Saddle_Alpha_C</v>
      </c>
      <c r="J390" s="98" t="str">
        <f t="shared" si="78"/>
        <v>OverrideNamedEngramEntries=(EngramEntry_Paracer_Saddle_Alpha_C,EngramHidden=true)</v>
      </c>
      <c r="K390" s="1"/>
    </row>
    <row r="391">
      <c r="A391" s="6"/>
      <c r="B391" s="6"/>
      <c r="C391" s="97">
        <v>18.0</v>
      </c>
      <c r="D391" s="81" t="str">
        <f t="shared" si="114"/>
        <v>PrimalItemArmor</v>
      </c>
      <c r="E391" s="83" t="s">
        <v>2765</v>
      </c>
      <c r="F391" s="83" t="s">
        <v>2766</v>
      </c>
      <c r="G391" s="85" t="str">
        <f t="shared" si="113"/>
        <v>cheat gfi PrimalItemArmor_Paracer_Saddle_Mythic_C 1 0 0</v>
      </c>
      <c r="H391" s="83" t="s">
        <v>2767</v>
      </c>
      <c r="I391" s="70" t="str">
        <f t="shared" si="77"/>
        <v>EngramEntry_Paracer_Saddle_Mythic_C</v>
      </c>
      <c r="J391" s="99" t="str">
        <f t="shared" si="78"/>
        <v>OverrideNamedEngramEntries=(EngramEntry_Paracer_Saddle_Mythic_C,EngramHidden=true)</v>
      </c>
      <c r="K391" s="1"/>
    </row>
    <row r="392">
      <c r="A392" s="6"/>
      <c r="B392" s="6"/>
      <c r="C392" s="97">
        <v>18.0</v>
      </c>
      <c r="D392" s="81" t="str">
        <f t="shared" si="114"/>
        <v>PrimalItemArmor</v>
      </c>
      <c r="E392" s="87" t="s">
        <v>2768</v>
      </c>
      <c r="F392" s="87" t="s">
        <v>2769</v>
      </c>
      <c r="G392" s="81" t="str">
        <f t="shared" si="113"/>
        <v>cheat gfi PrimalItemArmor_Paracer_Saddle_Toxic_C 1 0 0</v>
      </c>
      <c r="H392" s="87" t="s">
        <v>2770</v>
      </c>
      <c r="I392" s="71" t="str">
        <f t="shared" si="77"/>
        <v>EngramEntry_Paracer_Saddle_Toxic_C</v>
      </c>
      <c r="J392" s="98" t="str">
        <f t="shared" si="78"/>
        <v>OverrideNamedEngramEntries=(EngramEntry_Paracer_Saddle_Toxic_C,EngramHidden=true)</v>
      </c>
      <c r="K392" s="1"/>
    </row>
    <row r="393">
      <c r="A393" s="6"/>
      <c r="B393" s="6"/>
      <c r="C393" s="97">
        <v>18.0</v>
      </c>
      <c r="D393" s="85" t="str">
        <f t="shared" si="114"/>
        <v>#VALUE!</v>
      </c>
      <c r="E393" s="83" t="s">
        <v>2771</v>
      </c>
      <c r="F393" s="83" t="s">
        <v>2772</v>
      </c>
      <c r="G393" s="85" t="str">
        <f t="shared" si="113"/>
        <v>cheat gfi PrimalItemSaddle_Pegasus_Fairy_C 1 0 0</v>
      </c>
      <c r="H393" s="83" t="s">
        <v>2773</v>
      </c>
      <c r="I393" s="70" t="str">
        <f t="shared" si="77"/>
        <v>EngramEntry_Pegasus_Fairy_C</v>
      </c>
      <c r="J393" s="99" t="str">
        <f t="shared" si="78"/>
        <v>OverrideNamedEngramEntries=(EngramEntry_Pegasus_Fairy_C,EngramHidden=true)</v>
      </c>
      <c r="K393" s="1"/>
    </row>
    <row r="394">
      <c r="A394" s="6"/>
      <c r="B394" s="6"/>
      <c r="C394" s="97">
        <v>18.0</v>
      </c>
      <c r="D394" s="81" t="str">
        <f t="shared" si="114"/>
        <v>#VALUE!</v>
      </c>
      <c r="E394" s="87" t="s">
        <v>2774</v>
      </c>
      <c r="F394" s="87" t="s">
        <v>2775</v>
      </c>
      <c r="G394" s="81" t="str">
        <f t="shared" si="113"/>
        <v>cheat gfi PrimalItemSaddle_Pegomastax_Alpha_C 1 0 0</v>
      </c>
      <c r="H394" s="87" t="s">
        <v>2776</v>
      </c>
      <c r="I394" s="71" t="str">
        <f t="shared" si="77"/>
        <v>EngramEntry_Pegomastax_Alpha_C</v>
      </c>
      <c r="J394" s="98" t="str">
        <f t="shared" si="78"/>
        <v>OverrideNamedEngramEntries=(EngramEntry_Pegomastax_Alpha_C,EngramHidden=true)</v>
      </c>
      <c r="K394" s="1"/>
    </row>
    <row r="395">
      <c r="A395" s="6"/>
      <c r="B395" s="6"/>
      <c r="C395" s="97">
        <v>18.0</v>
      </c>
      <c r="D395" s="81" t="str">
        <f t="shared" si="114"/>
        <v>#VALUE!</v>
      </c>
      <c r="E395" s="83" t="s">
        <v>2777</v>
      </c>
      <c r="F395" s="83" t="s">
        <v>2778</v>
      </c>
      <c r="G395" s="85" t="str">
        <f t="shared" si="113"/>
        <v>cheat gfi PrimalItemSaddle_Pegomastax_Toxic_C 1 0 0</v>
      </c>
      <c r="H395" s="83" t="s">
        <v>2779</v>
      </c>
      <c r="I395" s="70" t="str">
        <f t="shared" si="77"/>
        <v>EngramEntry_Pegomastax_Toxic_C</v>
      </c>
      <c r="J395" s="99" t="str">
        <f t="shared" si="78"/>
        <v>OverrideNamedEngramEntries=(EngramEntry_Pegomastax_Toxic_C,EngramHidden=true)</v>
      </c>
      <c r="K395" s="1"/>
    </row>
    <row r="396">
      <c r="A396" s="6"/>
      <c r="B396" s="6"/>
      <c r="C396" s="97">
        <v>18.0</v>
      </c>
      <c r="D396" s="81" t="str">
        <f t="shared" ref="D396:D397" si="115">Left(F396,find("Saddle",F396)+5)</f>
        <v>PrimalItemArmor_PelaSaddle</v>
      </c>
      <c r="E396" s="87" t="s">
        <v>2780</v>
      </c>
      <c r="F396" s="87" t="s">
        <v>2781</v>
      </c>
      <c r="G396" s="81" t="str">
        <f t="shared" si="113"/>
        <v>cheat gfi PrimalItemArmor_PelaSaddle_Alpha_C 1 0 0</v>
      </c>
      <c r="H396" s="87" t="s">
        <v>2782</v>
      </c>
      <c r="I396" s="71" t="str">
        <f t="shared" si="77"/>
        <v>EngramEntry_PelaSaddle_Alpha_C</v>
      </c>
      <c r="J396" s="98" t="str">
        <f t="shared" si="78"/>
        <v>OverrideNamedEngramEntries=(EngramEntry_PelaSaddle_Alpha_C,EngramHidden=true)</v>
      </c>
      <c r="K396" s="1"/>
    </row>
    <row r="397">
      <c r="A397" s="6"/>
      <c r="B397" s="6"/>
      <c r="C397" s="97">
        <v>18.0</v>
      </c>
      <c r="D397" s="81" t="str">
        <f t="shared" si="115"/>
        <v>PrimalItemArmor_PelaSaddle</v>
      </c>
      <c r="E397" s="83" t="s">
        <v>2783</v>
      </c>
      <c r="F397" s="83" t="s">
        <v>2784</v>
      </c>
      <c r="G397" s="85" t="str">
        <f t="shared" si="113"/>
        <v>cheat gfi PrimalItemArmor_PelaSaddle_Toxic_C 1 0 0</v>
      </c>
      <c r="H397" s="83" t="s">
        <v>2785</v>
      </c>
      <c r="I397" s="70" t="str">
        <f t="shared" si="77"/>
        <v>EngramEntry_PelaSaddle_Toxic_C</v>
      </c>
      <c r="J397" s="99" t="str">
        <f t="shared" si="78"/>
        <v>OverrideNamedEngramEntries=(EngramEntry_PelaSaddle_Toxic_C,EngramHidden=true)</v>
      </c>
      <c r="K397" s="1"/>
    </row>
    <row r="398">
      <c r="A398" s="6"/>
      <c r="B398" s="6"/>
      <c r="C398" s="97">
        <v>18.0</v>
      </c>
      <c r="D398" s="81" t="str">
        <f t="shared" ref="D398:D416" si="116">Left(F398,find("Armor",F398)+4)</f>
        <v>PrimalItemArmor</v>
      </c>
      <c r="E398" s="87" t="s">
        <v>2786</v>
      </c>
      <c r="F398" s="87" t="s">
        <v>2787</v>
      </c>
      <c r="G398" s="81" t="str">
        <f t="shared" si="113"/>
        <v>cheat gfi PrimalItemArmor_PhiomiaSaddle_Alpha_C 1 0 0</v>
      </c>
      <c r="H398" s="87" t="s">
        <v>2788</v>
      </c>
      <c r="I398" s="71" t="str">
        <f t="shared" si="77"/>
        <v>EngramEntry_PhiomiaSaddle_Alpha_C</v>
      </c>
      <c r="J398" s="98" t="str">
        <f t="shared" si="78"/>
        <v>OverrideNamedEngramEntries=(EngramEntry_PhiomiaSaddle_Alpha_C,EngramHidden=true)</v>
      </c>
      <c r="K398" s="1"/>
    </row>
    <row r="399">
      <c r="A399" s="6"/>
      <c r="B399" s="6"/>
      <c r="C399" s="97">
        <v>18.0</v>
      </c>
      <c r="D399" s="81" t="str">
        <f t="shared" si="116"/>
        <v>PrimalItemArmor</v>
      </c>
      <c r="E399" s="83" t="s">
        <v>2789</v>
      </c>
      <c r="F399" s="83" t="s">
        <v>2790</v>
      </c>
      <c r="G399" s="85" t="str">
        <f t="shared" si="113"/>
        <v>cheat gfi PrimalItemArmor_PhiomiaSaddle_Toxic_C 1 0 0</v>
      </c>
      <c r="H399" s="83" t="s">
        <v>2791</v>
      </c>
      <c r="I399" s="70" t="str">
        <f t="shared" si="77"/>
        <v>EngramEntry_PhiomiaSaddle_Toxic_C</v>
      </c>
      <c r="J399" s="99" t="str">
        <f t="shared" si="78"/>
        <v>OverrideNamedEngramEntries=(EngramEntry_PhiomiaSaddle_Toxic_C,EngramHidden=true)</v>
      </c>
      <c r="K399" s="1"/>
    </row>
    <row r="400">
      <c r="A400" s="6"/>
      <c r="B400" s="6"/>
      <c r="C400" s="97">
        <v>18.0</v>
      </c>
      <c r="D400" s="81" t="str">
        <f t="shared" si="116"/>
        <v>PrimalItemArmor</v>
      </c>
      <c r="E400" s="87" t="s">
        <v>2792</v>
      </c>
      <c r="F400" s="87" t="s">
        <v>2793</v>
      </c>
      <c r="G400" s="81" t="str">
        <f t="shared" si="113"/>
        <v>cheat gfi PrimalItemArmor_ProcoptodonSaddle_Alpha_C 1 0 0</v>
      </c>
      <c r="H400" s="87" t="s">
        <v>2794</v>
      </c>
      <c r="I400" s="71" t="str">
        <f t="shared" si="77"/>
        <v>EngramEntry_ProcoptodonSaddle_Alpha_C</v>
      </c>
      <c r="J400" s="98" t="str">
        <f t="shared" si="78"/>
        <v>OverrideNamedEngramEntries=(EngramEntry_ProcoptodonSaddle_Alpha_C,EngramHidden=true)</v>
      </c>
      <c r="K400" s="1"/>
    </row>
    <row r="401">
      <c r="A401" s="6"/>
      <c r="B401" s="6"/>
      <c r="C401" s="97">
        <v>18.0</v>
      </c>
      <c r="D401" s="81" t="str">
        <f t="shared" si="116"/>
        <v>PrimalItemArmor</v>
      </c>
      <c r="E401" s="83" t="s">
        <v>2795</v>
      </c>
      <c r="F401" s="83" t="s">
        <v>2796</v>
      </c>
      <c r="G401" s="85" t="str">
        <f t="shared" si="113"/>
        <v>cheat gfi PrimalItemArmor_ProcoptodonSaddle_Toxic_C 1 0 0</v>
      </c>
      <c r="H401" s="83" t="s">
        <v>2797</v>
      </c>
      <c r="I401" s="70" t="str">
        <f t="shared" si="77"/>
        <v>EngramEntry_ProcoptodonSaddle_Toxic_C</v>
      </c>
      <c r="J401" s="99" t="str">
        <f t="shared" si="78"/>
        <v>OverrideNamedEngramEntries=(EngramEntry_ProcoptodonSaddle_Toxic_C,EngramHidden=true)</v>
      </c>
      <c r="K401" s="1"/>
    </row>
    <row r="402">
      <c r="A402" s="6"/>
      <c r="B402" s="6"/>
      <c r="C402" s="97">
        <v>18.0</v>
      </c>
      <c r="D402" s="81" t="str">
        <f t="shared" si="116"/>
        <v>PrimalItemArmor</v>
      </c>
      <c r="E402" s="87" t="s">
        <v>2798</v>
      </c>
      <c r="F402" s="87" t="s">
        <v>2799</v>
      </c>
      <c r="G402" s="81" t="str">
        <f t="shared" si="113"/>
        <v>cheat gfi PrimalItemArmor_PteroSaddle_Alpha_C 1 0 0</v>
      </c>
      <c r="H402" s="87" t="s">
        <v>2800</v>
      </c>
      <c r="I402" s="71" t="str">
        <f t="shared" si="77"/>
        <v>EngramEntry_PteroSaddle_Alpha_C</v>
      </c>
      <c r="J402" s="98" t="str">
        <f t="shared" si="78"/>
        <v>OverrideNamedEngramEntries=(EngramEntry_PteroSaddle_Alpha_C,EngramHidden=true)</v>
      </c>
      <c r="K402" s="1"/>
    </row>
    <row r="403">
      <c r="A403" s="6"/>
      <c r="B403" s="6"/>
      <c r="C403" s="97">
        <v>18.0</v>
      </c>
      <c r="D403" s="81" t="str">
        <f t="shared" si="116"/>
        <v>PrimalItemArmor</v>
      </c>
      <c r="E403" s="83" t="s">
        <v>2801</v>
      </c>
      <c r="F403" s="83" t="s">
        <v>2802</v>
      </c>
      <c r="G403" s="85" t="str">
        <f t="shared" si="113"/>
        <v>cheat gfi PrimalItemArmor_PteroSaddle_Legendary_C 1 0 0</v>
      </c>
      <c r="H403" s="83" t="s">
        <v>2803</v>
      </c>
      <c r="I403" s="70" t="str">
        <f t="shared" si="77"/>
        <v>EngramEntry_PteroSaddle_Legendary_C</v>
      </c>
      <c r="J403" s="99" t="str">
        <f t="shared" si="78"/>
        <v>OverrideNamedEngramEntries=(EngramEntry_PteroSaddle_Legendary_C,EngramHidden=true)</v>
      </c>
      <c r="K403" s="1"/>
    </row>
    <row r="404">
      <c r="A404" s="6"/>
      <c r="B404" s="6"/>
      <c r="C404" s="97">
        <v>18.0</v>
      </c>
      <c r="D404" s="81" t="str">
        <f t="shared" si="116"/>
        <v>PrimalItemArmor</v>
      </c>
      <c r="E404" s="87" t="s">
        <v>2804</v>
      </c>
      <c r="F404" s="87" t="s">
        <v>2805</v>
      </c>
      <c r="G404" s="81" t="str">
        <f t="shared" si="113"/>
        <v>cheat gfi PrimalItemArmor_PteroSaddle_Mythic_C 1 0 0</v>
      </c>
      <c r="H404" s="87" t="s">
        <v>2806</v>
      </c>
      <c r="I404" s="71" t="str">
        <f t="shared" si="77"/>
        <v>EngramEntry_PteroSaddle_Mythic_C</v>
      </c>
      <c r="J404" s="98" t="str">
        <f t="shared" si="78"/>
        <v>OverrideNamedEngramEntries=(EngramEntry_PteroSaddle_Mythic_C,EngramHidden=true)</v>
      </c>
      <c r="K404" s="1"/>
    </row>
    <row r="405">
      <c r="A405" s="6"/>
      <c r="B405" s="6"/>
      <c r="C405" s="97">
        <v>18.0</v>
      </c>
      <c r="D405" s="81" t="str">
        <f t="shared" si="116"/>
        <v>PrimalItemArmor</v>
      </c>
      <c r="E405" s="83" t="s">
        <v>2807</v>
      </c>
      <c r="F405" s="83" t="s">
        <v>2808</v>
      </c>
      <c r="G405" s="85" t="str">
        <f t="shared" si="113"/>
        <v>cheat gfi PrimalItemArmor_PteroSaddle_Toxic_C 1 0 0</v>
      </c>
      <c r="H405" s="83" t="s">
        <v>2809</v>
      </c>
      <c r="I405" s="70" t="str">
        <f t="shared" si="77"/>
        <v>EngramEntry_PteroSaddle_Toxic_C</v>
      </c>
      <c r="J405" s="99" t="str">
        <f t="shared" si="78"/>
        <v>OverrideNamedEngramEntries=(EngramEntry_PteroSaddle_Toxic_C,EngramHidden=true)</v>
      </c>
      <c r="K405" s="1"/>
    </row>
    <row r="406">
      <c r="A406" s="6"/>
      <c r="B406" s="6"/>
      <c r="C406" s="97">
        <v>18.0</v>
      </c>
      <c r="D406" s="81" t="str">
        <f t="shared" si="116"/>
        <v>#VALUE!</v>
      </c>
      <c r="E406" s="87" t="s">
        <v>2810</v>
      </c>
      <c r="F406" s="87" t="s">
        <v>2811</v>
      </c>
      <c r="G406" s="81" t="str">
        <f t="shared" si="113"/>
        <v>cheat gfi PrimalItemSaddle_Purlovia_Alpha_C 1 0 0</v>
      </c>
      <c r="H406" s="87" t="s">
        <v>2812</v>
      </c>
      <c r="I406" s="71" t="str">
        <f t="shared" si="77"/>
        <v>EngramEntry_Purlovia_Alpha_C</v>
      </c>
      <c r="J406" s="98" t="str">
        <f t="shared" si="78"/>
        <v>OverrideNamedEngramEntries=(EngramEntry_Purlovia_Alpha_C,EngramHidden=true)</v>
      </c>
      <c r="K406" s="1"/>
    </row>
    <row r="407">
      <c r="A407" s="6"/>
      <c r="B407" s="6"/>
      <c r="C407" s="97">
        <v>18.0</v>
      </c>
      <c r="D407" s="81" t="str">
        <f t="shared" si="116"/>
        <v>#VALUE!</v>
      </c>
      <c r="E407" s="83" t="s">
        <v>2813</v>
      </c>
      <c r="F407" s="83" t="s">
        <v>2814</v>
      </c>
      <c r="G407" s="85" t="str">
        <f t="shared" si="113"/>
        <v>cheat gfi PrimalItemSaddle_Purlovia_Toxic_C 1 0 0</v>
      </c>
      <c r="H407" s="83" t="s">
        <v>2815</v>
      </c>
      <c r="I407" s="70" t="str">
        <f t="shared" si="77"/>
        <v>EngramEntry_Purlovia_Toxic_C</v>
      </c>
      <c r="J407" s="99" t="str">
        <f t="shared" si="78"/>
        <v>OverrideNamedEngramEntries=(EngramEntry_Purlovia_Toxic_C,EngramHidden=true)</v>
      </c>
      <c r="K407" s="1"/>
    </row>
    <row r="408">
      <c r="A408" s="6"/>
      <c r="B408" s="6"/>
      <c r="C408" s="97">
        <v>18.0</v>
      </c>
      <c r="D408" s="81" t="str">
        <f t="shared" si="116"/>
        <v>PrimalItemArmor</v>
      </c>
      <c r="E408" s="87" t="s">
        <v>2816</v>
      </c>
      <c r="F408" s="87" t="s">
        <v>2817</v>
      </c>
      <c r="G408" s="81" t="str">
        <f t="shared" si="113"/>
        <v>cheat gfi PrimalItemArmor_QuetzSaddle_C 1 0 0</v>
      </c>
      <c r="H408" s="87" t="s">
        <v>2818</v>
      </c>
      <c r="I408" s="71" t="str">
        <f t="shared" si="77"/>
        <v>EngramEntry_QuetzSaddle_C</v>
      </c>
      <c r="J408" s="98" t="str">
        <f t="shared" si="78"/>
        <v>OverrideNamedEngramEntries=(EngramEntry_QuetzSaddle_C,EngramHidden=true)</v>
      </c>
      <c r="K408" s="1"/>
    </row>
    <row r="409">
      <c r="A409" s="6"/>
      <c r="B409" s="6"/>
      <c r="C409" s="97">
        <v>18.0</v>
      </c>
      <c r="D409" s="81" t="str">
        <f t="shared" si="116"/>
        <v>PrimalItemArmor</v>
      </c>
      <c r="E409" s="83" t="s">
        <v>2819</v>
      </c>
      <c r="F409" s="83" t="s">
        <v>2820</v>
      </c>
      <c r="G409" s="85" t="str">
        <f t="shared" si="113"/>
        <v>cheat gfi PrimalItemArmor_QuetzSaddle_Alpha_C 1 0 0</v>
      </c>
      <c r="H409" s="83" t="s">
        <v>2821</v>
      </c>
      <c r="I409" s="70" t="str">
        <f t="shared" si="77"/>
        <v>EngramEntry_QuetzSaddle_Alpha_C</v>
      </c>
      <c r="J409" s="99" t="str">
        <f t="shared" si="78"/>
        <v>OverrideNamedEngramEntries=(EngramEntry_QuetzSaddle_Alpha_C,EngramHidden=true)</v>
      </c>
      <c r="K409" s="1"/>
    </row>
    <row r="410">
      <c r="A410" s="6"/>
      <c r="B410" s="6"/>
      <c r="C410" s="97">
        <v>18.0</v>
      </c>
      <c r="D410" s="81" t="str">
        <f t="shared" si="116"/>
        <v>PrimalItemArmor</v>
      </c>
      <c r="E410" s="87" t="s">
        <v>2822</v>
      </c>
      <c r="F410" s="87" t="s">
        <v>2823</v>
      </c>
      <c r="G410" s="81" t="str">
        <f t="shared" si="113"/>
        <v>cheat gfi PrimalItemArmor_QuetzSaddle_Mythic_C 1 0 0</v>
      </c>
      <c r="H410" s="87" t="s">
        <v>2824</v>
      </c>
      <c r="I410" s="71" t="str">
        <f t="shared" si="77"/>
        <v>EngramEntry_QuetzSaddle_Mythic_C</v>
      </c>
      <c r="J410" s="98" t="str">
        <f t="shared" si="78"/>
        <v>OverrideNamedEngramEntries=(EngramEntry_QuetzSaddle_Mythic_C,EngramHidden=true)</v>
      </c>
      <c r="K410" s="1"/>
    </row>
    <row r="411">
      <c r="A411" s="6"/>
      <c r="B411" s="6"/>
      <c r="C411" s="97">
        <v>18.0</v>
      </c>
      <c r="D411" s="81" t="str">
        <f t="shared" si="116"/>
        <v>PrimalItemArmor</v>
      </c>
      <c r="E411" s="83" t="s">
        <v>2825</v>
      </c>
      <c r="F411" s="83" t="s">
        <v>2826</v>
      </c>
      <c r="G411" s="85" t="str">
        <f t="shared" si="113"/>
        <v>cheat gfi PrimalItemArmor_QuetzSaddle_Toxic_C 1 0 0</v>
      </c>
      <c r="H411" s="83" t="s">
        <v>2827</v>
      </c>
      <c r="I411" s="70" t="str">
        <f t="shared" si="77"/>
        <v>EngramEntry_QuetzSaddle_Toxic_C</v>
      </c>
      <c r="J411" s="99" t="str">
        <f t="shared" si="78"/>
        <v>OverrideNamedEngramEntries=(EngramEntry_QuetzSaddle_Toxic_C,EngramHidden=true)</v>
      </c>
      <c r="K411" s="1"/>
    </row>
    <row r="412">
      <c r="A412" s="6"/>
      <c r="B412" s="6"/>
      <c r="C412" s="97">
        <v>18.0</v>
      </c>
      <c r="D412" s="81" t="str">
        <f t="shared" si="116"/>
        <v>PrimalItemArmor</v>
      </c>
      <c r="E412" s="87" t="s">
        <v>2828</v>
      </c>
      <c r="F412" s="87" t="s">
        <v>2829</v>
      </c>
      <c r="G412" s="81" t="str">
        <f t="shared" si="113"/>
        <v>cheat gfi PrimalItemArmor_RaptorSaddle_C 1 0 0</v>
      </c>
      <c r="H412" s="87" t="s">
        <v>2830</v>
      </c>
      <c r="I412" s="71" t="str">
        <f t="shared" si="77"/>
        <v>EngramEntry_RaptorSaddle_C</v>
      </c>
      <c r="J412" s="98" t="str">
        <f t="shared" si="78"/>
        <v>OverrideNamedEngramEntries=(EngramEntry_RaptorSaddle_C,EngramHidden=true)</v>
      </c>
      <c r="K412" s="1"/>
    </row>
    <row r="413">
      <c r="A413" s="6"/>
      <c r="B413" s="6"/>
      <c r="C413" s="97">
        <v>18.0</v>
      </c>
      <c r="D413" s="81" t="str">
        <f t="shared" si="116"/>
        <v>PrimalItemArmor</v>
      </c>
      <c r="E413" s="83" t="s">
        <v>2831</v>
      </c>
      <c r="F413" s="83" t="s">
        <v>2832</v>
      </c>
      <c r="G413" s="85" t="str">
        <f t="shared" si="113"/>
        <v>cheat gfi PrimalItemArmor_RaptorSaddle_Alpha_C 1 0 0</v>
      </c>
      <c r="H413" s="83" t="s">
        <v>2833</v>
      </c>
      <c r="I413" s="70" t="str">
        <f t="shared" si="77"/>
        <v>EngramEntry_RaptorSaddle_Alpha_C</v>
      </c>
      <c r="J413" s="99" t="str">
        <f t="shared" si="78"/>
        <v>OverrideNamedEngramEntries=(EngramEntry_RaptorSaddle_Alpha_C,EngramHidden=true)</v>
      </c>
      <c r="K413" s="1"/>
    </row>
    <row r="414">
      <c r="A414" s="6"/>
      <c r="B414" s="6"/>
      <c r="C414" s="97">
        <v>18.0</v>
      </c>
      <c r="D414" s="81" t="str">
        <f t="shared" si="116"/>
        <v>PrimalItemArmor</v>
      </c>
      <c r="E414" s="87" t="s">
        <v>2834</v>
      </c>
      <c r="F414" s="87" t="s">
        <v>2835</v>
      </c>
      <c r="G414" s="81" t="str">
        <f t="shared" si="113"/>
        <v>cheat gfi PrimalItemArmor_RaptorSaddle_Legendary_C 1 0 0</v>
      </c>
      <c r="H414" s="87" t="s">
        <v>2836</v>
      </c>
      <c r="I414" s="71" t="str">
        <f t="shared" si="77"/>
        <v>EngramEntry_RaptorSaddle_Legendary_C</v>
      </c>
      <c r="J414" s="98" t="str">
        <f t="shared" si="78"/>
        <v>OverrideNamedEngramEntries=(EngramEntry_RaptorSaddle_Legendary_C,EngramHidden=true)</v>
      </c>
      <c r="K414" s="1"/>
    </row>
    <row r="415">
      <c r="A415" s="6"/>
      <c r="B415" s="6"/>
      <c r="C415" s="97">
        <v>18.0</v>
      </c>
      <c r="D415" s="81" t="str">
        <f t="shared" si="116"/>
        <v>PrimalItemArmor</v>
      </c>
      <c r="E415" s="83" t="s">
        <v>2837</v>
      </c>
      <c r="F415" s="83" t="s">
        <v>2838</v>
      </c>
      <c r="G415" s="85" t="str">
        <f t="shared" si="113"/>
        <v>cheat gfi PrimalItemArmor_RaptorSaddle_Toxic_C 1 0 0</v>
      </c>
      <c r="H415" s="83" t="s">
        <v>2839</v>
      </c>
      <c r="I415" s="70" t="str">
        <f t="shared" si="77"/>
        <v>EngramEntry_RaptorSaddle_Toxic_C</v>
      </c>
      <c r="J415" s="99" t="str">
        <f t="shared" si="78"/>
        <v>OverrideNamedEngramEntries=(EngramEntry_RaptorSaddle_Toxic_C,EngramHidden=true)</v>
      </c>
      <c r="K415" s="1"/>
    </row>
    <row r="416">
      <c r="A416" s="6"/>
      <c r="B416" s="6"/>
      <c r="C416" s="97">
        <v>18.0</v>
      </c>
      <c r="D416" s="81" t="str">
        <f t="shared" si="116"/>
        <v>PrimalItemArmor</v>
      </c>
      <c r="E416" s="87" t="s">
        <v>2840</v>
      </c>
      <c r="F416" s="87" t="s">
        <v>2841</v>
      </c>
      <c r="G416" s="81" t="str">
        <f t="shared" si="113"/>
        <v>cheat gfi PrimalItemArmor_RaptorSaddle_Volcanic_C 1 0 0</v>
      </c>
      <c r="H416" s="87" t="s">
        <v>2842</v>
      </c>
      <c r="I416" s="71" t="str">
        <f t="shared" si="77"/>
        <v>EngramEntry_RaptorSaddle_Volcanic_C</v>
      </c>
      <c r="J416" s="98" t="str">
        <f t="shared" si="78"/>
        <v>OverrideNamedEngramEntries=(EngramEntry_RaptorSaddle_Volcanic_C,EngramHidden=true)</v>
      </c>
      <c r="K416" s="1"/>
    </row>
    <row r="417">
      <c r="A417" s="6"/>
      <c r="B417" s="6"/>
      <c r="C417" s="97"/>
      <c r="D417" s="81"/>
      <c r="E417" s="83" t="s">
        <v>2843</v>
      </c>
      <c r="F417" s="43" t="s">
        <v>2844</v>
      </c>
      <c r="G417" s="85" t="str">
        <f t="shared" si="113"/>
        <v>cheat gfi PrimalItemArmor_RaptorSaddle_Origin_C 1 0 0</v>
      </c>
      <c r="H417" s="83" t="s">
        <v>2845</v>
      </c>
      <c r="I417" s="70" t="str">
        <f t="shared" si="77"/>
        <v>EngramEntry_RaptorSaddle_Origin_C</v>
      </c>
      <c r="J417" s="99" t="str">
        <f t="shared" si="78"/>
        <v>OverrideNamedEngramEntries=(EngramEntry_RaptorSaddle_Origin_C,EngramHidden=true)</v>
      </c>
      <c r="K417" s="1"/>
    </row>
    <row r="418">
      <c r="A418" s="6"/>
      <c r="B418" s="6"/>
      <c r="C418" s="97">
        <v>18.0</v>
      </c>
      <c r="D418" s="81" t="str">
        <f t="shared" ref="D418:D424" si="117">Left(F418,find("Armor",F418)+4)</f>
        <v>PrimalItemArmor</v>
      </c>
      <c r="E418" s="87" t="s">
        <v>2846</v>
      </c>
      <c r="F418" s="87" t="s">
        <v>2847</v>
      </c>
      <c r="G418" s="81" t="str">
        <f t="shared" si="113"/>
        <v>cheat gfi PrimalItemArmor_RexSaddle_Alpha_C 1 0 0</v>
      </c>
      <c r="H418" s="87" t="s">
        <v>2848</v>
      </c>
      <c r="I418" s="71" t="str">
        <f t="shared" si="77"/>
        <v>EngramEntry_RexSaddle_Alpha_C</v>
      </c>
      <c r="J418" s="98" t="str">
        <f t="shared" si="78"/>
        <v>OverrideNamedEngramEntries=(EngramEntry_RexSaddle_Alpha_C,EngramHidden=true)</v>
      </c>
      <c r="K418" s="1"/>
    </row>
    <row r="419">
      <c r="A419" s="6"/>
      <c r="B419" s="6"/>
      <c r="C419" s="97">
        <v>18.0</v>
      </c>
      <c r="D419" s="81" t="str">
        <f t="shared" si="117"/>
        <v>PrimalItemArmor</v>
      </c>
      <c r="E419" s="83" t="s">
        <v>2849</v>
      </c>
      <c r="F419" s="83" t="s">
        <v>2850</v>
      </c>
      <c r="G419" s="85" t="str">
        <f t="shared" si="113"/>
        <v>cheat gfi PrimalItemArmor_RexSaddle_Chaos_C 1 0 0</v>
      </c>
      <c r="H419" s="83" t="s">
        <v>2851</v>
      </c>
      <c r="I419" s="70" t="str">
        <f t="shared" si="77"/>
        <v>EngramEntry_RexSaddle_Chaos_C</v>
      </c>
      <c r="J419" s="99" t="str">
        <f t="shared" si="78"/>
        <v>OverrideNamedEngramEntries=(EngramEntry_RexSaddle_Chaos_C,EngramHidden=true)</v>
      </c>
      <c r="K419" s="1"/>
    </row>
    <row r="420">
      <c r="A420" s="6"/>
      <c r="B420" s="6"/>
      <c r="C420" s="97">
        <v>18.0</v>
      </c>
      <c r="D420" s="81" t="str">
        <f t="shared" si="117"/>
        <v>PrimalItemArmor</v>
      </c>
      <c r="E420" s="87" t="s">
        <v>2852</v>
      </c>
      <c r="F420" s="87" t="s">
        <v>2853</v>
      </c>
      <c r="G420" s="81" t="str">
        <f t="shared" si="113"/>
        <v>cheat gfi PrimalItemArmor_RexSaddle_Electric_C 1 0 0</v>
      </c>
      <c r="H420" s="87" t="s">
        <v>2854</v>
      </c>
      <c r="I420" s="71" t="str">
        <f t="shared" si="77"/>
        <v>EngramEntry_RexSaddle_Electric_C</v>
      </c>
      <c r="J420" s="98" t="str">
        <f t="shared" si="78"/>
        <v>OverrideNamedEngramEntries=(EngramEntry_RexSaddle_Electric_C,EngramHidden=true)</v>
      </c>
      <c r="K420" s="1"/>
    </row>
    <row r="421">
      <c r="A421" s="6"/>
      <c r="B421" s="6"/>
      <c r="C421" s="97">
        <v>18.0</v>
      </c>
      <c r="D421" s="81" t="str">
        <f t="shared" si="117"/>
        <v>PrimalItemArmor</v>
      </c>
      <c r="E421" s="83" t="s">
        <v>2855</v>
      </c>
      <c r="F421" s="83" t="s">
        <v>2856</v>
      </c>
      <c r="G421" s="85" t="str">
        <f t="shared" si="113"/>
        <v>cheat gfi PrimalItemArmor_RexSaddle_Hydro_C 1 0 0</v>
      </c>
      <c r="H421" s="83" t="s">
        <v>2857</v>
      </c>
      <c r="I421" s="70" t="str">
        <f t="shared" si="77"/>
        <v>EngramEntry_RexSaddle_Hydro_C</v>
      </c>
      <c r="J421" s="99" t="str">
        <f t="shared" si="78"/>
        <v>OverrideNamedEngramEntries=(EngramEntry_RexSaddle_Hydro_C,EngramHidden=true)</v>
      </c>
      <c r="K421" s="1"/>
    </row>
    <row r="422">
      <c r="A422" s="6"/>
      <c r="B422" s="6"/>
      <c r="C422" s="97">
        <v>18.0</v>
      </c>
      <c r="D422" s="81" t="str">
        <f t="shared" si="117"/>
        <v>PrimalItemArmor</v>
      </c>
      <c r="E422" s="87" t="s">
        <v>2858</v>
      </c>
      <c r="F422" s="87" t="s">
        <v>2859</v>
      </c>
      <c r="G422" s="81" t="str">
        <f t="shared" si="113"/>
        <v>cheat gfi PrimalItemArmor_RexSaddle_Spirit_C 1 0 0</v>
      </c>
      <c r="H422" s="87" t="s">
        <v>2860</v>
      </c>
      <c r="I422" s="71" t="str">
        <f t="shared" si="77"/>
        <v>EngramEntry_RexSaddle_Spirit_C</v>
      </c>
      <c r="J422" s="98" t="str">
        <f t="shared" si="78"/>
        <v>OverrideNamedEngramEntries=(EngramEntry_RexSaddle_Spirit_C,EngramHidden=true)</v>
      </c>
      <c r="K422" s="1"/>
    </row>
    <row r="423">
      <c r="A423" s="6"/>
      <c r="B423" s="6"/>
      <c r="C423" s="97">
        <v>18.0</v>
      </c>
      <c r="D423" s="81" t="str">
        <f t="shared" si="117"/>
        <v>PrimalItemArmor</v>
      </c>
      <c r="E423" s="83" t="s">
        <v>2861</v>
      </c>
      <c r="F423" s="83" t="s">
        <v>2862</v>
      </c>
      <c r="G423" s="85" t="str">
        <f t="shared" si="113"/>
        <v>cheat gfi PrimalItemArmor_RexSaddle_Toxic_C 1 0 0</v>
      </c>
      <c r="H423" s="83" t="s">
        <v>2863</v>
      </c>
      <c r="I423" s="70" t="str">
        <f t="shared" si="77"/>
        <v>EngramEntry_RexSaddle_Toxic_C</v>
      </c>
      <c r="J423" s="99" t="str">
        <f t="shared" si="78"/>
        <v>OverrideNamedEngramEntries=(EngramEntry_RexSaddle_Toxic_C,EngramHidden=true)</v>
      </c>
      <c r="K423" s="1"/>
    </row>
    <row r="424">
      <c r="A424" s="6"/>
      <c r="B424" s="6"/>
      <c r="C424" s="97">
        <v>18.0</v>
      </c>
      <c r="D424" s="81" t="str">
        <f t="shared" si="117"/>
        <v>PrimalItemArmor</v>
      </c>
      <c r="E424" s="87" t="s">
        <v>2864</v>
      </c>
      <c r="F424" s="87" t="s">
        <v>2865</v>
      </c>
      <c r="G424" s="81" t="str">
        <f t="shared" si="113"/>
        <v>cheat gfi PrimalItemArmor_RexSaddle_Volcanic_C 1 0 0</v>
      </c>
      <c r="H424" s="87" t="s">
        <v>2866</v>
      </c>
      <c r="I424" s="71" t="str">
        <f t="shared" si="77"/>
        <v>EngramEntry_RexSaddle_Volcanic_C</v>
      </c>
      <c r="J424" s="98" t="str">
        <f t="shared" si="78"/>
        <v>OverrideNamedEngramEntries=(EngramEntry_RexSaddle_Volcanic_C,EngramHidden=true)</v>
      </c>
      <c r="K424" s="1"/>
    </row>
    <row r="425">
      <c r="A425" s="6"/>
      <c r="B425" s="6"/>
      <c r="C425" s="97"/>
      <c r="D425" s="81"/>
      <c r="E425" s="83" t="s">
        <v>2867</v>
      </c>
      <c r="F425" s="43" t="s">
        <v>2868</v>
      </c>
      <c r="G425" s="85" t="str">
        <f t="shared" si="113"/>
        <v>cheat gfi PrimalItemArmor_RexSaddle_Origin_C 1 0 0</v>
      </c>
      <c r="H425" s="83" t="s">
        <v>2869</v>
      </c>
      <c r="I425" s="70" t="str">
        <f t="shared" si="77"/>
        <v>EngramEntry_RexSaddle_Origin_C</v>
      </c>
      <c r="J425" s="99" t="str">
        <f t="shared" si="78"/>
        <v>OverrideNamedEngramEntries=(EngramEntry_RexSaddle_Origin_C,EngramHidden=true)</v>
      </c>
      <c r="K425" s="1"/>
    </row>
    <row r="426">
      <c r="A426" s="6"/>
      <c r="B426" s="6"/>
      <c r="C426" s="97">
        <v>18.0</v>
      </c>
      <c r="D426" s="81" t="str">
        <f t="shared" ref="D426:D430" si="118">Left(F426,find("Armor",F426)+4)</f>
        <v>PrimalItemArmor</v>
      </c>
      <c r="E426" s="87" t="s">
        <v>2870</v>
      </c>
      <c r="F426" s="87" t="s">
        <v>2871</v>
      </c>
      <c r="G426" s="81" t="str">
        <f t="shared" si="113"/>
        <v>cheat gfi PrimalItemArmor_RhinoSaddle_Alpha_C 1 0 0</v>
      </c>
      <c r="H426" s="87" t="s">
        <v>2872</v>
      </c>
      <c r="I426" s="71" t="str">
        <f t="shared" si="77"/>
        <v>EngramEntry_RhinoSaddle_Alpha_C</v>
      </c>
      <c r="J426" s="98" t="str">
        <f t="shared" si="78"/>
        <v>OverrideNamedEngramEntries=(EngramEntry_RhinoSaddle_Alpha_C,EngramHidden=true)</v>
      </c>
      <c r="K426" s="1"/>
    </row>
    <row r="427">
      <c r="A427" s="6"/>
      <c r="B427" s="6"/>
      <c r="C427" s="97">
        <v>18.0</v>
      </c>
      <c r="D427" s="81" t="str">
        <f t="shared" si="118"/>
        <v>PrimalItemArmor</v>
      </c>
      <c r="E427" s="83" t="s">
        <v>2873</v>
      </c>
      <c r="F427" s="83" t="s">
        <v>2874</v>
      </c>
      <c r="G427" s="85" t="str">
        <f t="shared" si="113"/>
        <v>cheat gfi PrimalItemArmor_RhinoSaddle_Toxic_C 1 0 0</v>
      </c>
      <c r="H427" s="83" t="s">
        <v>2875</v>
      </c>
      <c r="I427" s="70" t="str">
        <f t="shared" si="77"/>
        <v>EngramEntry_RhinoSaddle_Toxic_C</v>
      </c>
      <c r="J427" s="99" t="str">
        <f t="shared" si="78"/>
        <v>OverrideNamedEngramEntries=(EngramEntry_RhinoSaddle_Toxic_C,EngramHidden=true)</v>
      </c>
      <c r="K427" s="1"/>
    </row>
    <row r="428">
      <c r="A428" s="6"/>
      <c r="B428" s="6"/>
      <c r="C428" s="97">
        <v>18.0</v>
      </c>
      <c r="D428" s="81" t="str">
        <f t="shared" si="118"/>
        <v>PrimalItemArmor</v>
      </c>
      <c r="E428" s="87" t="s">
        <v>2876</v>
      </c>
      <c r="F428" s="87" t="s">
        <v>2877</v>
      </c>
      <c r="G428" s="81" t="str">
        <f t="shared" si="113"/>
        <v>cheat gfi PrimalItemArmor_RhynioSaddle_Alpha_C 1 0 0</v>
      </c>
      <c r="H428" s="87" t="s">
        <v>2878</v>
      </c>
      <c r="I428" s="71" t="str">
        <f t="shared" si="77"/>
        <v>EngramEntry_RhynioSaddle_Alpha_C</v>
      </c>
      <c r="J428" s="98" t="str">
        <f t="shared" si="78"/>
        <v>OverrideNamedEngramEntries=(EngramEntry_RhynioSaddle_Alpha_C,EngramHidden=true)</v>
      </c>
      <c r="K428" s="1"/>
    </row>
    <row r="429">
      <c r="A429" s="6"/>
      <c r="B429" s="6"/>
      <c r="C429" s="97">
        <v>18.0</v>
      </c>
      <c r="D429" s="81" t="str">
        <f t="shared" si="118"/>
        <v>PrimalItemArmor</v>
      </c>
      <c r="E429" s="83" t="s">
        <v>2879</v>
      </c>
      <c r="F429" s="83" t="s">
        <v>2880</v>
      </c>
      <c r="G429" s="85" t="str">
        <f t="shared" si="113"/>
        <v>cheat gfi PrimalItemArmor_RhynioSaddle_Toxic_C 1 0 0</v>
      </c>
      <c r="H429" s="83" t="s">
        <v>2881</v>
      </c>
      <c r="I429" s="70" t="str">
        <f t="shared" si="77"/>
        <v>EngramEntry_RhynioSaddle_Toxic_C</v>
      </c>
      <c r="J429" s="99" t="str">
        <f t="shared" si="78"/>
        <v>OverrideNamedEngramEntries=(EngramEntry_RhynioSaddle_Toxic_C,EngramHidden=true)</v>
      </c>
      <c r="K429" s="1"/>
    </row>
    <row r="430">
      <c r="A430" s="6"/>
      <c r="B430" s="6"/>
      <c r="C430" s="97">
        <v>18.0</v>
      </c>
      <c r="D430" s="81" t="str">
        <f t="shared" si="118"/>
        <v>PrimalItemArmor</v>
      </c>
      <c r="E430" s="87" t="s">
        <v>2882</v>
      </c>
      <c r="F430" s="87" t="s">
        <v>2883</v>
      </c>
      <c r="G430" s="81" t="str">
        <f t="shared" si="113"/>
        <v>cheat gfi PrimalItemArmor_RockDrakeSaddle_Chaos_C 1 0 0</v>
      </c>
      <c r="H430" s="87" t="s">
        <v>2884</v>
      </c>
      <c r="I430" s="71" t="str">
        <f t="shared" si="77"/>
        <v>EngramEntry_RockDrakeSaddle_Chaos_C</v>
      </c>
      <c r="J430" s="98" t="str">
        <f t="shared" si="78"/>
        <v>OverrideNamedEngramEntries=(EngramEntry_RockDrakeSaddle_Chaos_C,EngramHidden=true)</v>
      </c>
      <c r="K430" s="1"/>
    </row>
    <row r="431">
      <c r="A431" s="6"/>
      <c r="B431" s="6"/>
      <c r="C431" s="97">
        <v>18.0</v>
      </c>
      <c r="D431" s="81" t="str">
        <f>Left(#REF!,find("Saddle",#REF!)+5)</f>
        <v>#REF!</v>
      </c>
      <c r="E431" s="83" t="s">
        <v>2885</v>
      </c>
      <c r="F431" s="43" t="s">
        <v>2886</v>
      </c>
      <c r="G431" s="85" t="str">
        <f t="shared" si="113"/>
        <v>cheat gfi PrimalItemArmor_RockGolemSaddle_Shadow_C 1 0 0</v>
      </c>
      <c r="H431" s="83" t="s">
        <v>2887</v>
      </c>
      <c r="I431" s="70" t="str">
        <f t="shared" si="77"/>
        <v>EngramEntry_RockGolemSaddle_Shadow_C</v>
      </c>
      <c r="J431" s="99" t="str">
        <f t="shared" si="78"/>
        <v>OverrideNamedEngramEntries=(EngramEntry_RockGolemSaddle_Shadow_C,EngramHidden=true)</v>
      </c>
      <c r="K431" s="1"/>
    </row>
    <row r="432">
      <c r="A432" s="6"/>
      <c r="B432" s="6"/>
      <c r="C432" s="97">
        <v>18.0</v>
      </c>
      <c r="D432" s="81" t="str">
        <f>Left(F432,find("Saddle",F432)+5)</f>
        <v>PrimalItemArmor_SaberSaddle</v>
      </c>
      <c r="E432" s="87" t="s">
        <v>2888</v>
      </c>
      <c r="F432" s="87" t="s">
        <v>2889</v>
      </c>
      <c r="G432" s="81" t="str">
        <f t="shared" si="113"/>
        <v>cheat gfi PrimalItemArmor_SaberSaddle_Alpha_C 1 0 0</v>
      </c>
      <c r="H432" s="87" t="s">
        <v>2890</v>
      </c>
      <c r="I432" s="71" t="str">
        <f t="shared" si="77"/>
        <v>EngramEntry_SaberSaddle_Alpha_C</v>
      </c>
      <c r="J432" s="98" t="str">
        <f t="shared" si="78"/>
        <v>OverrideNamedEngramEntries=(EngramEntry_SaberSaddle_Alpha_C,EngramHidden=true)</v>
      </c>
      <c r="K432" s="1"/>
    </row>
    <row r="433">
      <c r="A433" s="6"/>
      <c r="B433" s="6"/>
      <c r="C433" s="97">
        <v>18.0</v>
      </c>
      <c r="D433" s="81" t="str">
        <f t="shared" ref="D433:D456" si="119">Left(F433,find("Armor",F433)+4)</f>
        <v>PrimalItemArmor</v>
      </c>
      <c r="E433" s="83" t="s">
        <v>2891</v>
      </c>
      <c r="F433" s="83" t="s">
        <v>2892</v>
      </c>
      <c r="G433" s="85" t="str">
        <f t="shared" si="113"/>
        <v>cheat gfi PrimalItemArmor_SaberSaddle_Electric_C 1 0 0</v>
      </c>
      <c r="H433" s="83" t="s">
        <v>2893</v>
      </c>
      <c r="I433" s="70" t="str">
        <f t="shared" si="77"/>
        <v>EngramEntry_SaberSaddle_Electric_C</v>
      </c>
      <c r="J433" s="99" t="str">
        <f t="shared" si="78"/>
        <v>OverrideNamedEngramEntries=(EngramEntry_SaberSaddle_Electric_C,EngramHidden=true)</v>
      </c>
      <c r="K433" s="1"/>
    </row>
    <row r="434">
      <c r="A434" s="6"/>
      <c r="B434" s="6"/>
      <c r="C434" s="97">
        <v>18.0</v>
      </c>
      <c r="D434" s="81" t="str">
        <f t="shared" si="119"/>
        <v>PrimalItemArmor</v>
      </c>
      <c r="E434" s="87" t="s">
        <v>2894</v>
      </c>
      <c r="F434" s="87" t="s">
        <v>2895</v>
      </c>
      <c r="G434" s="81" t="str">
        <f t="shared" si="113"/>
        <v>cheat gfi PrimalItemArmor_SaberSaddle_Toxic_C 1 0 0</v>
      </c>
      <c r="H434" s="87" t="s">
        <v>2896</v>
      </c>
      <c r="I434" s="71" t="str">
        <f t="shared" si="77"/>
        <v>EngramEntry_SaberSaddle_Toxic_C</v>
      </c>
      <c r="J434" s="98" t="str">
        <f t="shared" si="78"/>
        <v>OverrideNamedEngramEntries=(EngramEntry_SaberSaddle_Toxic_C,EngramHidden=true)</v>
      </c>
      <c r="K434" s="1"/>
    </row>
    <row r="435">
      <c r="A435" s="6"/>
      <c r="B435" s="6"/>
      <c r="C435" s="97">
        <v>18.0</v>
      </c>
      <c r="D435" s="81" t="str">
        <f t="shared" si="119"/>
        <v>PrimalItemArmor</v>
      </c>
      <c r="E435" s="83" t="s">
        <v>2897</v>
      </c>
      <c r="F435" s="83" t="s">
        <v>2898</v>
      </c>
      <c r="G435" s="85" t="str">
        <f t="shared" si="113"/>
        <v>cheat gfi PrimalItemArmor_SarcoSaddle_Alpha_C 1 0 0</v>
      </c>
      <c r="H435" s="83" t="s">
        <v>2899</v>
      </c>
      <c r="I435" s="70" t="str">
        <f t="shared" si="77"/>
        <v>EngramEntry_SarcoSaddle_Alpha_C</v>
      </c>
      <c r="J435" s="99" t="str">
        <f t="shared" si="78"/>
        <v>OverrideNamedEngramEntries=(EngramEntry_SarcoSaddle_Alpha_C,EngramHidden=true)</v>
      </c>
      <c r="K435" s="1"/>
    </row>
    <row r="436">
      <c r="A436" s="6"/>
      <c r="B436" s="6"/>
      <c r="C436" s="97">
        <v>18.0</v>
      </c>
      <c r="D436" s="81" t="str">
        <f t="shared" si="119"/>
        <v>PrimalItemArmor</v>
      </c>
      <c r="E436" s="87" t="s">
        <v>2900</v>
      </c>
      <c r="F436" s="87" t="s">
        <v>2901</v>
      </c>
      <c r="G436" s="81" t="str">
        <f t="shared" si="113"/>
        <v>cheat gfi PrimalItemArmor_SarcoSaddle_Hydro_C 1 0 0</v>
      </c>
      <c r="H436" s="87" t="s">
        <v>2902</v>
      </c>
      <c r="I436" s="71" t="str">
        <f t="shared" si="77"/>
        <v>EngramEntry_SarcoSaddle_Hydro_C</v>
      </c>
      <c r="J436" s="98" t="str">
        <f t="shared" si="78"/>
        <v>OverrideNamedEngramEntries=(EngramEntry_SarcoSaddle_Hydro_C,EngramHidden=true)</v>
      </c>
      <c r="K436" s="1"/>
    </row>
    <row r="437">
      <c r="A437" s="6"/>
      <c r="B437" s="6"/>
      <c r="C437" s="97">
        <v>18.0</v>
      </c>
      <c r="D437" s="81" t="str">
        <f t="shared" si="119"/>
        <v>PrimalItemArmor</v>
      </c>
      <c r="E437" s="83" t="s">
        <v>2903</v>
      </c>
      <c r="F437" s="83" t="s">
        <v>2904</v>
      </c>
      <c r="G437" s="85" t="str">
        <f t="shared" si="113"/>
        <v>cheat gfi PrimalItemArmor_SarcoSaddle_Legendary_C 1 0 0</v>
      </c>
      <c r="H437" s="83" t="s">
        <v>2905</v>
      </c>
      <c r="I437" s="70" t="str">
        <f t="shared" si="77"/>
        <v>EngramEntry_SarcoSaddle_Legendary_C</v>
      </c>
      <c r="J437" s="99" t="str">
        <f t="shared" si="78"/>
        <v>OverrideNamedEngramEntries=(EngramEntry_SarcoSaddle_Legendary_C,EngramHidden=true)</v>
      </c>
      <c r="K437" s="1"/>
    </row>
    <row r="438">
      <c r="A438" s="6"/>
      <c r="B438" s="6"/>
      <c r="C438" s="97">
        <v>18.0</v>
      </c>
      <c r="D438" s="81" t="str">
        <f t="shared" si="119"/>
        <v>PrimalItemArmor</v>
      </c>
      <c r="E438" s="87" t="s">
        <v>2906</v>
      </c>
      <c r="F438" s="87" t="s">
        <v>2907</v>
      </c>
      <c r="G438" s="81" t="str">
        <f t="shared" si="113"/>
        <v>cheat gfi PrimalItemArmor_SarcoSaddle_Toxic_C 1 0 0</v>
      </c>
      <c r="H438" s="87" t="s">
        <v>2908</v>
      </c>
      <c r="I438" s="71" t="str">
        <f t="shared" si="77"/>
        <v>EngramEntry_SarcoSaddle_Toxic_C</v>
      </c>
      <c r="J438" s="98" t="str">
        <f t="shared" si="78"/>
        <v>OverrideNamedEngramEntries=(EngramEntry_SarcoSaddle_Toxic_C,EngramHidden=true)</v>
      </c>
      <c r="K438" s="1"/>
    </row>
    <row r="439">
      <c r="A439" s="6"/>
      <c r="B439" s="6"/>
      <c r="C439" s="97">
        <v>18.0</v>
      </c>
      <c r="D439" s="81" t="str">
        <f t="shared" si="119"/>
        <v>PrimalItemArmor</v>
      </c>
      <c r="E439" s="83" t="s">
        <v>2909</v>
      </c>
      <c r="F439" s="83" t="s">
        <v>2910</v>
      </c>
      <c r="G439" s="85" t="str">
        <f t="shared" si="113"/>
        <v>cheat gfi PrimalItemArmor_SauroSaddle_C 1 0 0</v>
      </c>
      <c r="H439" s="83" t="s">
        <v>2911</v>
      </c>
      <c r="I439" s="70" t="str">
        <f t="shared" si="77"/>
        <v>EngramEntry_SauroSaddle_C</v>
      </c>
      <c r="J439" s="99" t="str">
        <f t="shared" si="78"/>
        <v>OverrideNamedEngramEntries=(EngramEntry_SauroSaddle_C,EngramHidden=true)</v>
      </c>
      <c r="K439" s="1"/>
    </row>
    <row r="440">
      <c r="A440" s="6"/>
      <c r="B440" s="6"/>
      <c r="C440" s="97">
        <v>18.0</v>
      </c>
      <c r="D440" s="81" t="str">
        <f t="shared" si="119"/>
        <v>PrimalItemArmor</v>
      </c>
      <c r="E440" s="87" t="s">
        <v>2912</v>
      </c>
      <c r="F440" s="87" t="s">
        <v>2913</v>
      </c>
      <c r="G440" s="81" t="str">
        <f t="shared" si="113"/>
        <v>cheat gfi PrimalItemArmor_SauroSaddle_Alpha_C 1 0 0</v>
      </c>
      <c r="H440" s="87" t="s">
        <v>2914</v>
      </c>
      <c r="I440" s="71" t="str">
        <f t="shared" si="77"/>
        <v>EngramEntry_SauroSaddle_Alpha_C</v>
      </c>
      <c r="J440" s="98" t="str">
        <f t="shared" si="78"/>
        <v>OverrideNamedEngramEntries=(EngramEntry_SauroSaddle_Alpha_C,EngramHidden=true)</v>
      </c>
      <c r="K440" s="1"/>
    </row>
    <row r="441">
      <c r="A441" s="6"/>
      <c r="B441" s="6"/>
      <c r="C441" s="97">
        <v>18.0</v>
      </c>
      <c r="D441" s="81" t="str">
        <f t="shared" si="119"/>
        <v>PrimalItemArmor</v>
      </c>
      <c r="E441" s="83" t="s">
        <v>2915</v>
      </c>
      <c r="F441" s="83" t="s">
        <v>2916</v>
      </c>
      <c r="G441" s="85" t="str">
        <f t="shared" si="113"/>
        <v>cheat gfi PrimalItemArmor_SauroSaddle_Mythic_C 1 0 0</v>
      </c>
      <c r="H441" s="83" t="s">
        <v>2917</v>
      </c>
      <c r="I441" s="70" t="str">
        <f t="shared" si="77"/>
        <v>EngramEntry_SauroSaddle_Mythic_C</v>
      </c>
      <c r="J441" s="99" t="str">
        <f t="shared" si="78"/>
        <v>OverrideNamedEngramEntries=(EngramEntry_SauroSaddle_Mythic_C,EngramHidden=true)</v>
      </c>
      <c r="K441" s="1"/>
    </row>
    <row r="442">
      <c r="A442" s="6"/>
      <c r="B442" s="6"/>
      <c r="C442" s="97">
        <v>18.0</v>
      </c>
      <c r="D442" s="81" t="str">
        <f t="shared" si="119"/>
        <v>PrimalItemArmor</v>
      </c>
      <c r="E442" s="87" t="s">
        <v>2918</v>
      </c>
      <c r="F442" s="87" t="s">
        <v>2919</v>
      </c>
      <c r="G442" s="81" t="str">
        <f t="shared" si="113"/>
        <v>cheat gfi PrimalItemArmor_SauroSaddle_Toxic_C 1 0 0</v>
      </c>
      <c r="H442" s="87" t="s">
        <v>2920</v>
      </c>
      <c r="I442" s="71" t="str">
        <f t="shared" si="77"/>
        <v>EngramEntry_SauroSaddle_Toxic_C</v>
      </c>
      <c r="J442" s="98" t="str">
        <f t="shared" si="78"/>
        <v>OverrideNamedEngramEntries=(EngramEntry_SauroSaddle_Toxic_C,EngramHidden=true)</v>
      </c>
      <c r="K442" s="1"/>
    </row>
    <row r="443">
      <c r="A443" s="6"/>
      <c r="B443" s="6"/>
      <c r="C443" s="97">
        <v>18.0</v>
      </c>
      <c r="D443" s="81" t="str">
        <f t="shared" si="119"/>
        <v>PrimalItemArmor</v>
      </c>
      <c r="E443" s="83" t="s">
        <v>2921</v>
      </c>
      <c r="F443" s="83" t="s">
        <v>2922</v>
      </c>
      <c r="G443" s="85" t="str">
        <f t="shared" si="113"/>
        <v>cheat gfi PrimalItemArmor_ScorpionSaddle_Alpha_C 1 0 0</v>
      </c>
      <c r="H443" s="83" t="s">
        <v>2923</v>
      </c>
      <c r="I443" s="70" t="str">
        <f t="shared" si="77"/>
        <v>EngramEntry_ScorpionSaddle_Alpha_C</v>
      </c>
      <c r="J443" s="99" t="str">
        <f t="shared" si="78"/>
        <v>OverrideNamedEngramEntries=(EngramEntry_ScorpionSaddle_Alpha_C,EngramHidden=true)</v>
      </c>
      <c r="K443" s="1"/>
    </row>
    <row r="444">
      <c r="A444" s="6"/>
      <c r="B444" s="6"/>
      <c r="C444" s="97">
        <v>18.0</v>
      </c>
      <c r="D444" s="81" t="str">
        <f t="shared" si="119"/>
        <v>PrimalItemArmor</v>
      </c>
      <c r="E444" s="87" t="s">
        <v>2924</v>
      </c>
      <c r="F444" s="87" t="s">
        <v>2925</v>
      </c>
      <c r="G444" s="81" t="str">
        <f t="shared" si="113"/>
        <v>cheat gfi PrimalItemArmor_ScorpionSaddle_Legendary_C 1 0 0</v>
      </c>
      <c r="H444" s="87" t="s">
        <v>2926</v>
      </c>
      <c r="I444" s="71" t="str">
        <f t="shared" si="77"/>
        <v>EngramEntry_ScorpionSaddle_Legendary_C</v>
      </c>
      <c r="J444" s="98" t="str">
        <f t="shared" si="78"/>
        <v>OverrideNamedEngramEntries=(EngramEntry_ScorpionSaddle_Legendary_C,EngramHidden=true)</v>
      </c>
      <c r="K444" s="1"/>
    </row>
    <row r="445">
      <c r="A445" s="6"/>
      <c r="B445" s="6"/>
      <c r="C445" s="97">
        <v>18.0</v>
      </c>
      <c r="D445" s="81" t="str">
        <f t="shared" si="119"/>
        <v>PrimalItemArmor</v>
      </c>
      <c r="E445" s="83" t="s">
        <v>2927</v>
      </c>
      <c r="F445" s="83" t="s">
        <v>2928</v>
      </c>
      <c r="G445" s="85" t="str">
        <f t="shared" si="113"/>
        <v>cheat gfi PrimalItemArmor_ScorpionSaddle_Toxic_C 1 0 0</v>
      </c>
      <c r="H445" s="83" t="s">
        <v>2929</v>
      </c>
      <c r="I445" s="70" t="str">
        <f t="shared" si="77"/>
        <v>EngramEntry_ScorpionSaddle_Toxic_C</v>
      </c>
      <c r="J445" s="99" t="str">
        <f t="shared" si="78"/>
        <v>OverrideNamedEngramEntries=(EngramEntry_ScorpionSaddle_Toxic_C,EngramHidden=true)</v>
      </c>
      <c r="K445" s="1"/>
    </row>
    <row r="446">
      <c r="A446" s="6"/>
      <c r="B446" s="6"/>
      <c r="C446" s="97">
        <v>18.0</v>
      </c>
      <c r="D446" s="81" t="str">
        <f t="shared" si="119"/>
        <v>#VALUE!</v>
      </c>
      <c r="E446" s="87" t="s">
        <v>2930</v>
      </c>
      <c r="F446" s="87" t="s">
        <v>2931</v>
      </c>
      <c r="G446" s="81" t="str">
        <f t="shared" si="113"/>
        <v>cheat gfi PrimalItemSaddle_Snake_Alpha_C 1 0 0</v>
      </c>
      <c r="H446" s="87" t="s">
        <v>2932</v>
      </c>
      <c r="I446" s="71" t="str">
        <f t="shared" si="77"/>
        <v>EngramEntry_Snake_Alpha_C</v>
      </c>
      <c r="J446" s="98" t="str">
        <f t="shared" si="78"/>
        <v>OverrideNamedEngramEntries=(EngramEntry_Snake_Alpha_C,EngramHidden=true)</v>
      </c>
      <c r="K446" s="1"/>
    </row>
    <row r="447">
      <c r="A447" s="6"/>
      <c r="B447" s="6"/>
      <c r="C447" s="97">
        <v>18.0</v>
      </c>
      <c r="D447" s="81" t="str">
        <f t="shared" si="119"/>
        <v>#VALUE!</v>
      </c>
      <c r="E447" s="83" t="s">
        <v>2933</v>
      </c>
      <c r="F447" s="83" t="s">
        <v>2934</v>
      </c>
      <c r="G447" s="85" t="str">
        <f t="shared" si="113"/>
        <v>cheat gfi PrimalItemSaddle_Snake_Toxic_C 1 0 0</v>
      </c>
      <c r="H447" s="83" t="s">
        <v>2935</v>
      </c>
      <c r="I447" s="70" t="str">
        <f t="shared" si="77"/>
        <v>EngramEntry_Snake_Toxic_C</v>
      </c>
      <c r="J447" s="99" t="str">
        <f t="shared" si="78"/>
        <v>OverrideNamedEngramEntries=(EngramEntry_Snake_Toxic_C,EngramHidden=true)</v>
      </c>
      <c r="K447" s="1"/>
    </row>
    <row r="448">
      <c r="A448" s="6"/>
      <c r="B448" s="6"/>
      <c r="C448" s="97">
        <v>18.0</v>
      </c>
      <c r="D448" s="81" t="str">
        <f t="shared" si="119"/>
        <v>PrimalItemArmor</v>
      </c>
      <c r="E448" s="87" t="s">
        <v>2936</v>
      </c>
      <c r="F448" s="87" t="s">
        <v>2937</v>
      </c>
      <c r="G448" s="81" t="str">
        <f t="shared" si="113"/>
        <v>cheat gfi PrimalItemArmor_SpiderSaddle_Alpha_C 1 0 0</v>
      </c>
      <c r="H448" s="87" t="s">
        <v>2938</v>
      </c>
      <c r="I448" s="71" t="str">
        <f t="shared" si="77"/>
        <v>EngramEntry_SpiderSaddle_Alpha_C</v>
      </c>
      <c r="J448" s="98" t="str">
        <f t="shared" si="78"/>
        <v>OverrideNamedEngramEntries=(EngramEntry_SpiderSaddle_Alpha_C,EngramHidden=true)</v>
      </c>
      <c r="K448" s="1"/>
    </row>
    <row r="449">
      <c r="A449" s="6"/>
      <c r="B449" s="6"/>
      <c r="C449" s="97">
        <v>18.0</v>
      </c>
      <c r="D449" s="81" t="str">
        <f t="shared" si="119"/>
        <v>PrimalItemArmor</v>
      </c>
      <c r="E449" s="83" t="s">
        <v>2939</v>
      </c>
      <c r="F449" s="83" t="s">
        <v>2940</v>
      </c>
      <c r="G449" s="85" t="str">
        <f t="shared" si="113"/>
        <v>cheat gfi PrimalItemArmor_SpiderSaddle_Legendary_C 1 0 0</v>
      </c>
      <c r="H449" s="83" t="s">
        <v>2941</v>
      </c>
      <c r="I449" s="70" t="str">
        <f t="shared" si="77"/>
        <v>EngramEntry_SpiderSaddle_Legendary_C</v>
      </c>
      <c r="J449" s="99" t="str">
        <f t="shared" si="78"/>
        <v>OverrideNamedEngramEntries=(EngramEntry_SpiderSaddle_Legendary_C,EngramHidden=true)</v>
      </c>
      <c r="K449" s="1"/>
    </row>
    <row r="450">
      <c r="A450" s="6"/>
      <c r="B450" s="6"/>
      <c r="C450" s="97">
        <v>18.0</v>
      </c>
      <c r="D450" s="81" t="str">
        <f t="shared" si="119"/>
        <v>PrimalItemArmor</v>
      </c>
      <c r="E450" s="87" t="s">
        <v>2942</v>
      </c>
      <c r="F450" s="87" t="s">
        <v>2943</v>
      </c>
      <c r="G450" s="81" t="str">
        <f t="shared" si="113"/>
        <v>cheat gfi PrimalItemArmor_SpiderSaddle_Toxic_C 1 0 0</v>
      </c>
      <c r="H450" s="87" t="s">
        <v>2944</v>
      </c>
      <c r="I450" s="71" t="str">
        <f t="shared" si="77"/>
        <v>EngramEntry_SpiderSaddle_Toxic_C</v>
      </c>
      <c r="J450" s="98" t="str">
        <f t="shared" si="78"/>
        <v>OverrideNamedEngramEntries=(EngramEntry_SpiderSaddle_Toxic_C,EngramHidden=true)</v>
      </c>
      <c r="K450" s="1"/>
    </row>
    <row r="451">
      <c r="A451" s="6"/>
      <c r="B451" s="6"/>
      <c r="C451" s="97">
        <v>18.0</v>
      </c>
      <c r="D451" s="81" t="str">
        <f t="shared" si="119"/>
        <v>PrimalItemArmor</v>
      </c>
      <c r="E451" s="83" t="s">
        <v>2945</v>
      </c>
      <c r="F451" s="83" t="s">
        <v>2946</v>
      </c>
      <c r="G451" s="85" t="str">
        <f t="shared" si="113"/>
        <v>cheat gfi PrimalItemArmor_SpineyLizardSaddle_Legendary_C 1 0 0</v>
      </c>
      <c r="H451" s="83" t="s">
        <v>2947</v>
      </c>
      <c r="I451" s="70" t="str">
        <f t="shared" si="77"/>
        <v>EngramEntry_SpineyLizardSaddle_Legendary_C</v>
      </c>
      <c r="J451" s="99" t="str">
        <f t="shared" si="78"/>
        <v>OverrideNamedEngramEntries=(EngramEntry_SpineyLizardSaddle_Legendary_C,EngramHidden=true)</v>
      </c>
      <c r="K451" s="1"/>
    </row>
    <row r="452">
      <c r="A452" s="6"/>
      <c r="B452" s="6"/>
      <c r="C452" s="97">
        <v>18.0</v>
      </c>
      <c r="D452" s="81" t="str">
        <f t="shared" si="119"/>
        <v>PrimalItemArmor</v>
      </c>
      <c r="E452" s="87" t="s">
        <v>2948</v>
      </c>
      <c r="F452" s="87" t="s">
        <v>2949</v>
      </c>
      <c r="G452" s="81" t="str">
        <f t="shared" si="113"/>
        <v>cheat gfi PrimalItemArmor_SpinoSaddle_Alpha_C 1 0 0</v>
      </c>
      <c r="H452" s="87" t="s">
        <v>2950</v>
      </c>
      <c r="I452" s="71" t="str">
        <f t="shared" si="77"/>
        <v>EngramEntry_SpinoSaddle_Alpha_C</v>
      </c>
      <c r="J452" s="98" t="str">
        <f t="shared" si="78"/>
        <v>OverrideNamedEngramEntries=(EngramEntry_SpinoSaddle_Alpha_C,EngramHidden=true)</v>
      </c>
      <c r="K452" s="1"/>
    </row>
    <row r="453">
      <c r="A453" s="6"/>
      <c r="B453" s="6"/>
      <c r="C453" s="97">
        <v>18.0</v>
      </c>
      <c r="D453" s="81" t="str">
        <f t="shared" si="119"/>
        <v>PrimalItemArmor</v>
      </c>
      <c r="E453" s="83" t="s">
        <v>2951</v>
      </c>
      <c r="F453" s="83" t="s">
        <v>2952</v>
      </c>
      <c r="G453" s="85" t="str">
        <f t="shared" si="113"/>
        <v>cheat gfi PrimalItemArmor_SpinoSaddle_Chaos_C 1 0 0</v>
      </c>
      <c r="H453" s="83" t="s">
        <v>2953</v>
      </c>
      <c r="I453" s="70" t="str">
        <f t="shared" si="77"/>
        <v>EngramEntry_SpinoSaddle_Chaos_C</v>
      </c>
      <c r="J453" s="99" t="str">
        <f t="shared" si="78"/>
        <v>OverrideNamedEngramEntries=(EngramEntry_SpinoSaddle_Chaos_C,EngramHidden=true)</v>
      </c>
      <c r="K453" s="1"/>
    </row>
    <row r="454">
      <c r="A454" s="6"/>
      <c r="B454" s="6"/>
      <c r="C454" s="97">
        <v>18.0</v>
      </c>
      <c r="D454" s="81" t="str">
        <f t="shared" si="119"/>
        <v>PrimalItemArmor</v>
      </c>
      <c r="E454" s="87" t="s">
        <v>2954</v>
      </c>
      <c r="F454" s="87" t="s">
        <v>2955</v>
      </c>
      <c r="G454" s="81" t="str">
        <f t="shared" si="113"/>
        <v>cheat gfi PrimalItemArmor_SpinoSaddle_Hydro_C 1 0 0</v>
      </c>
      <c r="H454" s="87" t="s">
        <v>2956</v>
      </c>
      <c r="I454" s="71" t="str">
        <f t="shared" si="77"/>
        <v>EngramEntry_SpinoSaddle_Hydro_C</v>
      </c>
      <c r="J454" s="98" t="str">
        <f t="shared" si="78"/>
        <v>OverrideNamedEngramEntries=(EngramEntry_SpinoSaddle_Hydro_C,EngramHidden=true)</v>
      </c>
      <c r="K454" s="1"/>
    </row>
    <row r="455">
      <c r="A455" s="6"/>
      <c r="B455" s="6"/>
      <c r="C455" s="97">
        <v>18.0</v>
      </c>
      <c r="D455" s="81" t="str">
        <f t="shared" si="119"/>
        <v>PrimalItemArmor</v>
      </c>
      <c r="E455" s="83" t="s">
        <v>2957</v>
      </c>
      <c r="F455" s="83" t="s">
        <v>2958</v>
      </c>
      <c r="G455" s="85" t="str">
        <f t="shared" si="113"/>
        <v>cheat gfi PrimalItemArmor_SpinoSaddle_Legendary_C 1 0 0</v>
      </c>
      <c r="H455" s="83" t="s">
        <v>2959</v>
      </c>
      <c r="I455" s="70" t="str">
        <f t="shared" si="77"/>
        <v>EngramEntry_SpinoSaddle_Legendary_C</v>
      </c>
      <c r="J455" s="99" t="str">
        <f t="shared" si="78"/>
        <v>OverrideNamedEngramEntries=(EngramEntry_SpinoSaddle_Legendary_C,EngramHidden=true)</v>
      </c>
      <c r="K455" s="1"/>
    </row>
    <row r="456">
      <c r="A456" s="6"/>
      <c r="B456" s="6"/>
      <c r="C456" s="97">
        <v>18.0</v>
      </c>
      <c r="D456" s="81" t="str">
        <f t="shared" si="119"/>
        <v>PrimalItemArmor</v>
      </c>
      <c r="E456" s="87" t="s">
        <v>2960</v>
      </c>
      <c r="F456" s="87" t="s">
        <v>2961</v>
      </c>
      <c r="G456" s="81" t="str">
        <f t="shared" si="113"/>
        <v>cheat gfi PrimalItemArmor_SpinoSaddle_Toxic_C 1 0 0</v>
      </c>
      <c r="H456" s="87" t="s">
        <v>2962</v>
      </c>
      <c r="I456" s="71" t="str">
        <f t="shared" si="77"/>
        <v>EngramEntry_SpinoSaddle_Toxic_C</v>
      </c>
      <c r="J456" s="98" t="str">
        <f t="shared" si="78"/>
        <v>OverrideNamedEngramEntries=(EngramEntry_SpinoSaddle_Toxic_C,EngramHidden=true)</v>
      </c>
      <c r="K456" s="1"/>
    </row>
    <row r="457">
      <c r="A457" s="6"/>
      <c r="B457" s="6"/>
      <c r="C457" s="97"/>
      <c r="D457" s="81"/>
      <c r="E457" s="83" t="s">
        <v>2963</v>
      </c>
      <c r="F457" s="83" t="s">
        <v>2964</v>
      </c>
      <c r="G457" s="85" t="str">
        <f t="shared" si="113"/>
        <v>cheat gfi PrimalItemArmor_SpinoSaddle_Volcanic_C 1 0 0</v>
      </c>
      <c r="H457" s="83" t="s">
        <v>2965</v>
      </c>
      <c r="I457" s="70" t="str">
        <f t="shared" si="77"/>
        <v>EngramEntry_SpinoSaddle_Volcanic_C</v>
      </c>
      <c r="J457" s="99" t="str">
        <f t="shared" si="78"/>
        <v>OverrideNamedEngramEntries=(EngramEntry_SpinoSaddle_Volcanic_C,EngramHidden=true)</v>
      </c>
      <c r="K457" s="1"/>
    </row>
    <row r="458">
      <c r="A458" s="6"/>
      <c r="B458" s="6"/>
      <c r="C458" s="97"/>
      <c r="D458" s="81"/>
      <c r="E458" s="87" t="s">
        <v>2966</v>
      </c>
      <c r="F458" s="42" t="s">
        <v>2967</v>
      </c>
      <c r="G458" s="81" t="str">
        <f t="shared" si="113"/>
        <v>cheat gfi PrimalItemArmor_SpinoSaddle_Origin_C 1 0 0</v>
      </c>
      <c r="H458" s="87" t="s">
        <v>2968</v>
      </c>
      <c r="I458" s="71" t="str">
        <f t="shared" si="77"/>
        <v>EngramEntry_SpinoSaddle_Origin_C</v>
      </c>
      <c r="J458" s="98" t="str">
        <f t="shared" si="78"/>
        <v>OverrideNamedEngramEntries=(EngramEntry_SpinoSaddle_Origin_C,EngramHidden=true)</v>
      </c>
      <c r="K458" s="1"/>
    </row>
    <row r="459">
      <c r="A459" s="6"/>
      <c r="B459" s="6"/>
      <c r="C459" s="97"/>
      <c r="D459" s="81"/>
      <c r="E459" s="83" t="s">
        <v>2969</v>
      </c>
      <c r="F459" s="83" t="s">
        <v>2970</v>
      </c>
      <c r="G459" s="85" t="str">
        <f t="shared" si="113"/>
        <v>cheat gfi PrimalItemArmor_StagSaddle_Mythic_C 1 0 0</v>
      </c>
      <c r="H459" s="83" t="s">
        <v>2971</v>
      </c>
      <c r="I459" s="70" t="str">
        <f t="shared" si="77"/>
        <v>EngramEntry_StagSaddle_Mythic_C</v>
      </c>
      <c r="J459" s="99" t="str">
        <f t="shared" si="78"/>
        <v>OverrideNamedEngramEntries=(EngramEntry_StagSaddle_Mythic_C,EngramHidden=true)</v>
      </c>
      <c r="K459" s="1"/>
    </row>
    <row r="460">
      <c r="A460" s="6"/>
      <c r="B460" s="6"/>
      <c r="C460" s="97"/>
      <c r="D460" s="81"/>
      <c r="E460" s="87" t="s">
        <v>2972</v>
      </c>
      <c r="F460" s="87" t="s">
        <v>2973</v>
      </c>
      <c r="G460" s="81" t="str">
        <f t="shared" si="113"/>
        <v>cheat gfi PrimalItemArmor_StegoSaddle_C 1 0 0</v>
      </c>
      <c r="H460" s="87" t="s">
        <v>2974</v>
      </c>
      <c r="I460" s="71" t="str">
        <f t="shared" si="77"/>
        <v>EngramEntry_StegoSaddle_C</v>
      </c>
      <c r="J460" s="98" t="str">
        <f t="shared" si="78"/>
        <v>OverrideNamedEngramEntries=(EngramEntry_StegoSaddle_C,EngramHidden=true)</v>
      </c>
      <c r="K460" s="1"/>
    </row>
    <row r="461">
      <c r="A461" s="6"/>
      <c r="B461" s="6"/>
      <c r="C461" s="97"/>
      <c r="D461" s="81"/>
      <c r="E461" s="83" t="s">
        <v>2975</v>
      </c>
      <c r="F461" s="83" t="s">
        <v>2976</v>
      </c>
      <c r="G461" s="85" t="str">
        <f t="shared" si="113"/>
        <v>cheat gfi PrimalItemArmor_StegoSaddle_Alpha_C 1 0 0</v>
      </c>
      <c r="H461" s="83" t="s">
        <v>2977</v>
      </c>
      <c r="I461" s="70" t="str">
        <f t="shared" si="77"/>
        <v>EngramEntry_StegoSaddle_Alpha_C</v>
      </c>
      <c r="J461" s="99" t="str">
        <f t="shared" si="78"/>
        <v>OverrideNamedEngramEntries=(EngramEntry_StegoSaddle_Alpha_C,EngramHidden=true)</v>
      </c>
      <c r="K461" s="1"/>
    </row>
    <row r="462">
      <c r="A462" s="6"/>
      <c r="B462" s="6"/>
      <c r="C462" s="97"/>
      <c r="D462" s="81"/>
      <c r="E462" s="87" t="s">
        <v>2978</v>
      </c>
      <c r="F462" s="87" t="s">
        <v>2979</v>
      </c>
      <c r="G462" s="81" t="str">
        <f t="shared" si="113"/>
        <v>cheat gfi PrimalItemArmor_StegoSaddle_Legendary_C 1 0 0</v>
      </c>
      <c r="H462" s="87" t="s">
        <v>2980</v>
      </c>
      <c r="I462" s="71" t="str">
        <f t="shared" si="77"/>
        <v>EngramEntry_StegoSaddle_Legendary_C</v>
      </c>
      <c r="J462" s="98" t="str">
        <f t="shared" si="78"/>
        <v>OverrideNamedEngramEntries=(EngramEntry_StegoSaddle_Legendary_C,EngramHidden=true)</v>
      </c>
      <c r="K462" s="1"/>
    </row>
    <row r="463">
      <c r="A463" s="6"/>
      <c r="B463" s="6"/>
      <c r="C463" s="97"/>
      <c r="D463" s="81"/>
      <c r="E463" s="83" t="s">
        <v>2981</v>
      </c>
      <c r="F463" s="83" t="s">
        <v>2982</v>
      </c>
      <c r="G463" s="85" t="str">
        <f t="shared" si="113"/>
        <v>cheat gfi PrimalItemArmor_StegoSaddle_Mythic_C 1 0 0</v>
      </c>
      <c r="H463" s="83" t="s">
        <v>2983</v>
      </c>
      <c r="I463" s="70" t="str">
        <f t="shared" si="77"/>
        <v>EngramEntry_StegoSaddle_Mythic_C</v>
      </c>
      <c r="J463" s="99" t="str">
        <f t="shared" si="78"/>
        <v>OverrideNamedEngramEntries=(EngramEntry_StegoSaddle_Mythic_C,EngramHidden=true)</v>
      </c>
      <c r="K463" s="1"/>
    </row>
    <row r="464">
      <c r="A464" s="6"/>
      <c r="B464" s="6"/>
      <c r="C464" s="97"/>
      <c r="D464" s="81"/>
      <c r="E464" s="87" t="s">
        <v>2984</v>
      </c>
      <c r="F464" s="87" t="s">
        <v>2985</v>
      </c>
      <c r="G464" s="81" t="str">
        <f t="shared" si="113"/>
        <v>cheat gfi PrimalItemArmor_StegoSaddle_Toxic_C 1 0 0</v>
      </c>
      <c r="H464" s="87" t="s">
        <v>2986</v>
      </c>
      <c r="I464" s="71" t="str">
        <f t="shared" si="77"/>
        <v>EngramEntry_StegoSaddle_Toxic_C</v>
      </c>
      <c r="J464" s="98" t="str">
        <f t="shared" si="78"/>
        <v>OverrideNamedEngramEntries=(EngramEntry_StegoSaddle_Toxic_C,EngramHidden=true)</v>
      </c>
      <c r="K464" s="1"/>
    </row>
    <row r="465">
      <c r="A465" s="6"/>
      <c r="B465" s="6"/>
      <c r="C465" s="97"/>
      <c r="D465" s="81"/>
      <c r="E465" s="83" t="s">
        <v>2987</v>
      </c>
      <c r="F465" s="83" t="s">
        <v>2988</v>
      </c>
      <c r="G465" s="85" t="str">
        <f t="shared" si="113"/>
        <v>cheat gfi PrimalItemArmor_TapejaraSaddle_Alpha_C 1 0 0</v>
      </c>
      <c r="H465" s="83" t="s">
        <v>2989</v>
      </c>
      <c r="I465" s="70" t="str">
        <f t="shared" si="77"/>
        <v>EngramEntry_TapejaraSaddle_Alpha_C</v>
      </c>
      <c r="J465" s="99" t="str">
        <f t="shared" si="78"/>
        <v>OverrideNamedEngramEntries=(EngramEntry_TapejaraSaddle_Alpha_C,EngramHidden=true)</v>
      </c>
      <c r="K465" s="1"/>
    </row>
    <row r="466">
      <c r="A466" s="6"/>
      <c r="B466" s="6"/>
      <c r="C466" s="97"/>
      <c r="D466" s="81"/>
      <c r="E466" s="87" t="s">
        <v>2990</v>
      </c>
      <c r="F466" s="87" t="s">
        <v>2991</v>
      </c>
      <c r="G466" s="81" t="str">
        <f t="shared" si="113"/>
        <v>cheat gfi PrimalItemArmor_TapejaraSaddle_Mythic_C 1 0 0</v>
      </c>
      <c r="H466" s="87" t="s">
        <v>2992</v>
      </c>
      <c r="I466" s="71" t="str">
        <f t="shared" si="77"/>
        <v>EngramEntry_TapejaraSaddle_Mythic_C</v>
      </c>
      <c r="J466" s="98" t="str">
        <f t="shared" si="78"/>
        <v>OverrideNamedEngramEntries=(EngramEntry_TapejaraSaddle_Mythic_C,EngramHidden=true)</v>
      </c>
      <c r="K466" s="1"/>
    </row>
    <row r="467">
      <c r="A467" s="6"/>
      <c r="B467" s="6"/>
      <c r="C467" s="97"/>
      <c r="D467" s="81"/>
      <c r="E467" s="83" t="s">
        <v>2993</v>
      </c>
      <c r="F467" s="83" t="s">
        <v>2994</v>
      </c>
      <c r="G467" s="85" t="str">
        <f t="shared" si="113"/>
        <v>cheat gfi PrimalItemArmor_TapejaraSaddle_Toxic_C 1 0 0</v>
      </c>
      <c r="H467" s="83" t="s">
        <v>2995</v>
      </c>
      <c r="I467" s="70" t="str">
        <f t="shared" si="77"/>
        <v>EngramEntry_TapejaraSaddle_Toxic_C</v>
      </c>
      <c r="J467" s="99" t="str">
        <f t="shared" si="78"/>
        <v>OverrideNamedEngramEntries=(EngramEntry_TapejaraSaddle_Toxic_C,EngramHidden=true)</v>
      </c>
      <c r="K467" s="1"/>
    </row>
    <row r="468">
      <c r="A468" s="6"/>
      <c r="B468" s="6"/>
      <c r="C468" s="97"/>
      <c r="D468" s="81"/>
      <c r="E468" s="87" t="s">
        <v>2996</v>
      </c>
      <c r="F468" s="87" t="s">
        <v>2997</v>
      </c>
      <c r="G468" s="81" t="str">
        <f t="shared" si="113"/>
        <v>cheat gfi PrimalItemArmor_TapejaraSaddle_Volcanic_C 1 0 0</v>
      </c>
      <c r="H468" s="87" t="s">
        <v>2998</v>
      </c>
      <c r="I468" s="71" t="str">
        <f t="shared" si="77"/>
        <v>EngramEntry_TapejaraSaddle_Volcanic_C</v>
      </c>
      <c r="J468" s="98" t="str">
        <f t="shared" si="78"/>
        <v>OverrideNamedEngramEntries=(EngramEntry_TapejaraSaddle_Volcanic_C,EngramHidden=true)</v>
      </c>
      <c r="K468" s="1"/>
    </row>
    <row r="469">
      <c r="A469" s="6"/>
      <c r="B469" s="6"/>
      <c r="C469" s="97"/>
      <c r="D469" s="81"/>
      <c r="E469" s="83" t="s">
        <v>2999</v>
      </c>
      <c r="F469" s="83" t="s">
        <v>3000</v>
      </c>
      <c r="G469" s="85" t="str">
        <f t="shared" si="113"/>
        <v>cheat gfi PrimalItemArmor_TerrorBirdSaddle_Alpha_C 1 0 0</v>
      </c>
      <c r="H469" s="83" t="s">
        <v>3001</v>
      </c>
      <c r="I469" s="70" t="str">
        <f t="shared" si="77"/>
        <v>EngramEntry_TerrorBirdSaddle_Alpha_C</v>
      </c>
      <c r="J469" s="99" t="str">
        <f t="shared" si="78"/>
        <v>OverrideNamedEngramEntries=(EngramEntry_TerrorBirdSaddle_Alpha_C,EngramHidden=true)</v>
      </c>
      <c r="K469" s="1"/>
    </row>
    <row r="470">
      <c r="A470" s="6"/>
      <c r="B470" s="6"/>
      <c r="C470" s="97"/>
      <c r="D470" s="81"/>
      <c r="E470" s="87" t="s">
        <v>3002</v>
      </c>
      <c r="F470" s="87" t="s">
        <v>3003</v>
      </c>
      <c r="G470" s="81" t="str">
        <f t="shared" si="113"/>
        <v>cheat gfi PrimalItemArmor_TerrorBirdSaddle_Toxic_C 1 0 0</v>
      </c>
      <c r="H470" s="87" t="s">
        <v>3004</v>
      </c>
      <c r="I470" s="71" t="str">
        <f t="shared" si="77"/>
        <v>EngramEntry_TerrorBirdSaddle_Toxic_C</v>
      </c>
      <c r="J470" s="98" t="str">
        <f t="shared" si="78"/>
        <v>OverrideNamedEngramEntries=(EngramEntry_TerrorBirdSaddle_Toxic_C,EngramHidden=true)</v>
      </c>
      <c r="K470" s="1"/>
    </row>
    <row r="471">
      <c r="A471" s="6"/>
      <c r="B471" s="6"/>
      <c r="C471" s="97"/>
      <c r="D471" s="81"/>
      <c r="E471" s="83" t="s">
        <v>3005</v>
      </c>
      <c r="F471" s="83" t="s">
        <v>3006</v>
      </c>
      <c r="G471" s="85" t="str">
        <f t="shared" si="113"/>
        <v>cheat gfi PrimalItemArmor_TherizinosaurusSaddle_Alpha_C 1 0 0</v>
      </c>
      <c r="H471" s="83" t="s">
        <v>3007</v>
      </c>
      <c r="I471" s="70" t="str">
        <f t="shared" si="77"/>
        <v>EngramEntry_TherizinosaurusSaddle_Alpha_C</v>
      </c>
      <c r="J471" s="99" t="str">
        <f t="shared" si="78"/>
        <v>OverrideNamedEngramEntries=(EngramEntry_TherizinosaurusSaddle_Alpha_C,EngramHidden=true)</v>
      </c>
      <c r="K471" s="1"/>
    </row>
    <row r="472">
      <c r="A472" s="6"/>
      <c r="B472" s="6"/>
      <c r="C472" s="97"/>
      <c r="D472" s="81"/>
      <c r="E472" s="87" t="s">
        <v>3008</v>
      </c>
      <c r="F472" s="87" t="s">
        <v>3009</v>
      </c>
      <c r="G472" s="81" t="str">
        <f t="shared" si="113"/>
        <v>cheat gfi PrimalItemArmor_TherizinosaurusSaddle_Chaos_C 1 0 0</v>
      </c>
      <c r="H472" s="87" t="s">
        <v>3010</v>
      </c>
      <c r="I472" s="71" t="str">
        <f t="shared" si="77"/>
        <v>EngramEntry_TherizinosaurusSaddle_Chaos_C</v>
      </c>
      <c r="J472" s="98" t="str">
        <f t="shared" si="78"/>
        <v>OverrideNamedEngramEntries=(EngramEntry_TherizinosaurusSaddle_Chaos_C,EngramHidden=true)</v>
      </c>
      <c r="K472" s="1"/>
    </row>
    <row r="473">
      <c r="A473" s="6"/>
      <c r="B473" s="6"/>
      <c r="C473" s="97"/>
      <c r="D473" s="81"/>
      <c r="E473" s="83" t="s">
        <v>3011</v>
      </c>
      <c r="F473" s="83" t="s">
        <v>3012</v>
      </c>
      <c r="G473" s="85" t="str">
        <f t="shared" si="113"/>
        <v>cheat gfi PrimalItemArmor_TherizinosaurusSaddle_Mythic_C 1 0 0</v>
      </c>
      <c r="H473" s="83" t="s">
        <v>3013</v>
      </c>
      <c r="I473" s="70" t="str">
        <f t="shared" si="77"/>
        <v>EngramEntry_TherizinosaurusSaddle_Mythic_C</v>
      </c>
      <c r="J473" s="99" t="str">
        <f t="shared" si="78"/>
        <v>OverrideNamedEngramEntries=(EngramEntry_TherizinosaurusSaddle_Mythic_C,EngramHidden=true)</v>
      </c>
      <c r="K473" s="1"/>
    </row>
    <row r="474">
      <c r="A474" s="6"/>
      <c r="B474" s="6"/>
      <c r="C474" s="97"/>
      <c r="D474" s="81"/>
      <c r="E474" s="87" t="s">
        <v>3014</v>
      </c>
      <c r="F474" s="87" t="s">
        <v>3015</v>
      </c>
      <c r="G474" s="81" t="str">
        <f t="shared" si="113"/>
        <v>cheat gfi PrimalItemArmor_TherizinosaurusSaddle_Toxic_C 1 0 0</v>
      </c>
      <c r="H474" s="87" t="s">
        <v>3016</v>
      </c>
      <c r="I474" s="71" t="str">
        <f t="shared" si="77"/>
        <v>EngramEntry_TherizinosaurusSaddle_Toxic_C</v>
      </c>
      <c r="J474" s="98" t="str">
        <f t="shared" si="78"/>
        <v>OverrideNamedEngramEntries=(EngramEntry_TherizinosaurusSaddle_Toxic_C,EngramHidden=true)</v>
      </c>
      <c r="K474" s="1"/>
    </row>
    <row r="475">
      <c r="A475" s="6"/>
      <c r="B475" s="6"/>
      <c r="C475" s="97"/>
      <c r="D475" s="81"/>
      <c r="E475" s="83" t="s">
        <v>3017</v>
      </c>
      <c r="F475" s="83" t="s">
        <v>3018</v>
      </c>
      <c r="G475" s="85" t="str">
        <f t="shared" si="113"/>
        <v>cheat gfi PrimalItemArmor_ThylacoSaddle_Alpha_C 1 0 0</v>
      </c>
      <c r="H475" s="83" t="s">
        <v>3019</v>
      </c>
      <c r="I475" s="70" t="str">
        <f t="shared" si="77"/>
        <v>EngramEntry_ThylacoSaddle_Alpha_C</v>
      </c>
      <c r="J475" s="99" t="str">
        <f t="shared" si="78"/>
        <v>OverrideNamedEngramEntries=(EngramEntry_ThylacoSaddle_Alpha_C,EngramHidden=true)</v>
      </c>
      <c r="K475" s="1"/>
    </row>
    <row r="476">
      <c r="A476" s="6"/>
      <c r="B476" s="6"/>
      <c r="C476" s="97"/>
      <c r="D476" s="81"/>
      <c r="E476" s="87" t="s">
        <v>3020</v>
      </c>
      <c r="F476" s="87" t="s">
        <v>3021</v>
      </c>
      <c r="G476" s="81" t="str">
        <f t="shared" si="113"/>
        <v>cheat gfi PrimalItemArmor_ThylacoSaddle_Chaos_C 1 0 0</v>
      </c>
      <c r="H476" s="87" t="s">
        <v>3022</v>
      </c>
      <c r="I476" s="71" t="str">
        <f t="shared" si="77"/>
        <v>EngramEntry_ThylacoSaddle_Chaos_C</v>
      </c>
      <c r="J476" s="98" t="str">
        <f t="shared" si="78"/>
        <v>OverrideNamedEngramEntries=(EngramEntry_ThylacoSaddle_Chaos_C,EngramHidden=true)</v>
      </c>
      <c r="K476" s="1"/>
    </row>
    <row r="477">
      <c r="A477" s="6"/>
      <c r="B477" s="6"/>
      <c r="C477" s="97"/>
      <c r="D477" s="81"/>
      <c r="E477" s="83" t="s">
        <v>3023</v>
      </c>
      <c r="F477" s="83" t="s">
        <v>3024</v>
      </c>
      <c r="G477" s="85" t="str">
        <f t="shared" si="113"/>
        <v>cheat gfi PrimalItemArmor_ThylacoSaddle_Electric_C 1 0 0</v>
      </c>
      <c r="H477" s="83" t="s">
        <v>3025</v>
      </c>
      <c r="I477" s="70" t="str">
        <f t="shared" si="77"/>
        <v>EngramEntry_ThylacoSaddle_Electric_C</v>
      </c>
      <c r="J477" s="99" t="str">
        <f t="shared" si="78"/>
        <v>OverrideNamedEngramEntries=(EngramEntry_ThylacoSaddle_Electric_C,EngramHidden=true)</v>
      </c>
      <c r="K477" s="1"/>
    </row>
    <row r="478">
      <c r="A478" s="6"/>
      <c r="B478" s="6"/>
      <c r="C478" s="97"/>
      <c r="D478" s="81"/>
      <c r="E478" s="87" t="s">
        <v>3026</v>
      </c>
      <c r="F478" s="87" t="s">
        <v>3027</v>
      </c>
      <c r="G478" s="81" t="str">
        <f t="shared" si="113"/>
        <v>cheat gfi PrimalItemArmor_ThylacoSaddle_Toxic_C 1 0 0</v>
      </c>
      <c r="H478" s="87" t="s">
        <v>3028</v>
      </c>
      <c r="I478" s="71" t="str">
        <f t="shared" si="77"/>
        <v>EngramEntry_ThylacoSaddle_Toxic_C</v>
      </c>
      <c r="J478" s="98" t="str">
        <f t="shared" si="78"/>
        <v>OverrideNamedEngramEntries=(EngramEntry_ThylacoSaddle_Toxic_C,EngramHidden=true)</v>
      </c>
      <c r="K478" s="1"/>
    </row>
    <row r="479">
      <c r="A479" s="6"/>
      <c r="B479" s="6"/>
      <c r="C479" s="97"/>
      <c r="D479" s="81"/>
      <c r="E479" s="83" t="s">
        <v>3029</v>
      </c>
      <c r="F479" s="83" t="s">
        <v>3030</v>
      </c>
      <c r="G479" s="85" t="str">
        <f t="shared" si="113"/>
        <v>cheat gfi PrimalItemArmor_TitanSaddle_Platform_Alpha_C 1 0 0</v>
      </c>
      <c r="H479" s="83" t="s">
        <v>3031</v>
      </c>
      <c r="I479" s="70" t="str">
        <f t="shared" si="77"/>
        <v>EngramEntry_TitanSaddle_Platform_Alpha_C</v>
      </c>
      <c r="J479" s="99" t="str">
        <f t="shared" si="78"/>
        <v>OverrideNamedEngramEntries=(EngramEntry_TitanSaddle_Platform_Alpha_C,EngramHidden=true)</v>
      </c>
      <c r="K479" s="1"/>
    </row>
    <row r="480">
      <c r="A480" s="6"/>
      <c r="B480" s="6"/>
      <c r="C480" s="97"/>
      <c r="D480" s="81"/>
      <c r="E480" s="87" t="s">
        <v>3032</v>
      </c>
      <c r="F480" s="87" t="s">
        <v>3033</v>
      </c>
      <c r="G480" s="81" t="str">
        <f t="shared" si="113"/>
        <v>cheat gfi PrimalItemArmor_TitanSaddle_Platform_Toxic_C 1 0 0</v>
      </c>
      <c r="H480" s="87" t="s">
        <v>3034</v>
      </c>
      <c r="I480" s="71" t="str">
        <f t="shared" si="77"/>
        <v>EngramEntry_TitanSaddle_Platform_Toxic_C</v>
      </c>
      <c r="J480" s="98" t="str">
        <f t="shared" si="78"/>
        <v>OverrideNamedEngramEntries=(EngramEntry_TitanSaddle_Platform_Toxic_C,EngramHidden=true)</v>
      </c>
      <c r="K480" s="1"/>
    </row>
    <row r="481">
      <c r="A481" s="6"/>
      <c r="B481" s="6"/>
      <c r="C481" s="97"/>
      <c r="D481" s="81"/>
      <c r="E481" s="83" t="s">
        <v>3035</v>
      </c>
      <c r="F481" s="83" t="s">
        <v>3036</v>
      </c>
      <c r="G481" s="85" t="str">
        <f t="shared" si="113"/>
        <v>cheat gfi PrimalItemArmor_ToadSaddle_Alpha_C 1 0 0</v>
      </c>
      <c r="H481" s="83" t="s">
        <v>3037</v>
      </c>
      <c r="I481" s="70" t="str">
        <f t="shared" si="77"/>
        <v>EngramEntry_ToadSaddle_Alpha_C</v>
      </c>
      <c r="J481" s="99" t="str">
        <f t="shared" si="78"/>
        <v>OverrideNamedEngramEntries=(EngramEntry_ToadSaddle_Alpha_C,EngramHidden=true)</v>
      </c>
      <c r="K481" s="1"/>
    </row>
    <row r="482">
      <c r="A482" s="6"/>
      <c r="B482" s="6"/>
      <c r="C482" s="97"/>
      <c r="D482" s="81"/>
      <c r="E482" s="87" t="s">
        <v>3038</v>
      </c>
      <c r="F482" s="87" t="s">
        <v>3039</v>
      </c>
      <c r="G482" s="81" t="str">
        <f t="shared" si="113"/>
        <v>cheat gfi PrimalItemArmor_ToadSaddle_Hydro_C 1 0 0</v>
      </c>
      <c r="H482" s="87" t="s">
        <v>3040</v>
      </c>
      <c r="I482" s="71" t="str">
        <f t="shared" si="77"/>
        <v>EngramEntry_ToadSaddle_Hydro_C</v>
      </c>
      <c r="J482" s="98" t="str">
        <f t="shared" si="78"/>
        <v>OverrideNamedEngramEntries=(EngramEntry_ToadSaddle_Hydro_C,EngramHidden=true)</v>
      </c>
      <c r="K482" s="1"/>
    </row>
    <row r="483">
      <c r="A483" s="6"/>
      <c r="B483" s="6"/>
      <c r="C483" s="97"/>
      <c r="D483" s="81"/>
      <c r="E483" s="83" t="s">
        <v>3041</v>
      </c>
      <c r="F483" s="83" t="s">
        <v>3042</v>
      </c>
      <c r="G483" s="85" t="str">
        <f t="shared" si="113"/>
        <v>cheat gfi PrimalItemArmor_ToadSaddle_Mythic_C 1 0 0</v>
      </c>
      <c r="H483" s="83" t="s">
        <v>3043</v>
      </c>
      <c r="I483" s="70" t="str">
        <f t="shared" si="77"/>
        <v>EngramEntry_ToadSaddle_Mythic_C</v>
      </c>
      <c r="J483" s="99" t="str">
        <f t="shared" si="78"/>
        <v>OverrideNamedEngramEntries=(EngramEntry_ToadSaddle_Mythic_C,EngramHidden=true)</v>
      </c>
      <c r="K483" s="1"/>
    </row>
    <row r="484">
      <c r="A484" s="6"/>
      <c r="B484" s="6"/>
      <c r="C484" s="97"/>
      <c r="D484" s="81"/>
      <c r="E484" s="87" t="s">
        <v>3044</v>
      </c>
      <c r="F484" s="87" t="s">
        <v>3045</v>
      </c>
      <c r="G484" s="81" t="str">
        <f t="shared" si="113"/>
        <v>cheat gfi PrimalItemArmor_ToadSaddle_Toxic_C 1 0 0</v>
      </c>
      <c r="H484" s="87" t="s">
        <v>3046</v>
      </c>
      <c r="I484" s="71" t="str">
        <f t="shared" si="77"/>
        <v>EngramEntry_ToadSaddle_Toxic_C</v>
      </c>
      <c r="J484" s="98" t="str">
        <f t="shared" si="78"/>
        <v>OverrideNamedEngramEntries=(EngramEntry_ToadSaddle_Toxic_C,EngramHidden=true)</v>
      </c>
      <c r="K484" s="1"/>
    </row>
    <row r="485">
      <c r="A485" s="6"/>
      <c r="B485" s="6"/>
      <c r="C485" s="97"/>
      <c r="D485" s="81"/>
      <c r="E485" s="83" t="s">
        <v>3047</v>
      </c>
      <c r="F485" s="83" t="s">
        <v>3048</v>
      </c>
      <c r="G485" s="85" t="str">
        <f t="shared" si="113"/>
        <v>cheat gfi PrimalItemArmor_TrikeSaddle_C 1 0 0</v>
      </c>
      <c r="H485" s="83" t="s">
        <v>3049</v>
      </c>
      <c r="I485" s="70" t="str">
        <f t="shared" si="77"/>
        <v>EngramEntry_TrikeSaddle_C</v>
      </c>
      <c r="J485" s="99" t="str">
        <f t="shared" si="78"/>
        <v>OverrideNamedEngramEntries=(EngramEntry_TrikeSaddle_C,EngramHidden=true)</v>
      </c>
      <c r="K485" s="1"/>
    </row>
    <row r="486">
      <c r="A486" s="6"/>
      <c r="B486" s="6"/>
      <c r="C486" s="97"/>
      <c r="D486" s="81"/>
      <c r="E486" s="87" t="s">
        <v>3050</v>
      </c>
      <c r="F486" s="87" t="s">
        <v>3051</v>
      </c>
      <c r="G486" s="81" t="str">
        <f t="shared" si="113"/>
        <v>cheat gfi PrimalItemArmor_TrikeSaddle_Alpha_C 1 0 0</v>
      </c>
      <c r="H486" s="87" t="s">
        <v>3052</v>
      </c>
      <c r="I486" s="71" t="str">
        <f t="shared" si="77"/>
        <v>EngramEntry_TrikeSaddle_Alpha_C</v>
      </c>
      <c r="J486" s="98" t="str">
        <f t="shared" si="78"/>
        <v>OverrideNamedEngramEntries=(EngramEntry_TrikeSaddle_Alpha_C,EngramHidden=true)</v>
      </c>
      <c r="K486" s="1"/>
    </row>
    <row r="487">
      <c r="A487" s="6"/>
      <c r="B487" s="6"/>
      <c r="C487" s="97"/>
      <c r="D487" s="81"/>
      <c r="E487" s="83" t="s">
        <v>3053</v>
      </c>
      <c r="F487" s="83" t="s">
        <v>3054</v>
      </c>
      <c r="G487" s="85" t="str">
        <f t="shared" si="113"/>
        <v>cheat gfi PrimalItemArmor_TrikeSaddle_Legendary_C 1 0 0</v>
      </c>
      <c r="H487" s="83" t="s">
        <v>3055</v>
      </c>
      <c r="I487" s="70" t="str">
        <f t="shared" si="77"/>
        <v>EngramEntry_TrikeSaddle_Legendary_C</v>
      </c>
      <c r="J487" s="99" t="str">
        <f t="shared" si="78"/>
        <v>OverrideNamedEngramEntries=(EngramEntry_TrikeSaddle_Legendary_C,EngramHidden=true)</v>
      </c>
      <c r="K487" s="1"/>
    </row>
    <row r="488">
      <c r="A488" s="6"/>
      <c r="B488" s="6"/>
      <c r="C488" s="97"/>
      <c r="D488" s="81"/>
      <c r="E488" s="87" t="s">
        <v>3056</v>
      </c>
      <c r="F488" s="87" t="s">
        <v>3057</v>
      </c>
      <c r="G488" s="81" t="str">
        <f t="shared" si="113"/>
        <v>cheat gfi PrimalItemArmor_TrikeSaddle_Mythic_C 1 0 0</v>
      </c>
      <c r="H488" s="87" t="s">
        <v>3058</v>
      </c>
      <c r="I488" s="71" t="str">
        <f t="shared" si="77"/>
        <v>EngramEntry_TrikeSaddle_Mythic_C</v>
      </c>
      <c r="J488" s="98" t="str">
        <f t="shared" si="78"/>
        <v>OverrideNamedEngramEntries=(EngramEntry_TrikeSaddle_Mythic_C,EngramHidden=true)</v>
      </c>
      <c r="K488" s="1"/>
    </row>
    <row r="489">
      <c r="A489" s="6"/>
      <c r="B489" s="6"/>
      <c r="C489" s="97"/>
      <c r="D489" s="81"/>
      <c r="E489" s="83" t="s">
        <v>3059</v>
      </c>
      <c r="F489" s="83" t="s">
        <v>3060</v>
      </c>
      <c r="G489" s="85" t="str">
        <f t="shared" si="113"/>
        <v>cheat gfi PrimalItemArmor_TrikeSaddle_Toxic_C 1 0 0</v>
      </c>
      <c r="H489" s="83" t="s">
        <v>3061</v>
      </c>
      <c r="I489" s="70" t="str">
        <f t="shared" si="77"/>
        <v>EngramEntry_TrikeSaddle_Toxic_C</v>
      </c>
      <c r="J489" s="99" t="str">
        <f t="shared" si="78"/>
        <v>OverrideNamedEngramEntries=(EngramEntry_TrikeSaddle_Toxic_C,EngramHidden=true)</v>
      </c>
      <c r="K489" s="1"/>
    </row>
    <row r="490">
      <c r="A490" s="6"/>
      <c r="B490" s="6"/>
      <c r="C490" s="97"/>
      <c r="D490" s="81"/>
      <c r="E490" s="87" t="s">
        <v>3062</v>
      </c>
      <c r="F490" s="42" t="s">
        <v>3063</v>
      </c>
      <c r="G490" s="81" t="str">
        <f t="shared" si="113"/>
        <v>cheat gfi PrimalItemArmor_TrikeSaddle_Origin_C 1 0 0</v>
      </c>
      <c r="H490" s="87" t="s">
        <v>3064</v>
      </c>
      <c r="I490" s="71" t="str">
        <f t="shared" si="77"/>
        <v>EngramEntry_TrikeSaddle_Origin_C</v>
      </c>
      <c r="J490" s="98" t="str">
        <f t="shared" si="78"/>
        <v>OverrideNamedEngramEntries=(EngramEntry_TrikeSaddle_Origin_C,EngramHidden=true)</v>
      </c>
      <c r="K490" s="1"/>
    </row>
    <row r="491">
      <c r="A491" s="6"/>
      <c r="B491" s="6"/>
      <c r="C491" s="97"/>
      <c r="D491" s="81"/>
      <c r="E491" s="83" t="s">
        <v>3065</v>
      </c>
      <c r="F491" s="83" t="s">
        <v>3066</v>
      </c>
      <c r="G491" s="85" t="str">
        <f t="shared" si="113"/>
        <v>cheat gfi PrimalItemSaddle_Troodon_Alpha_C 1 0 0</v>
      </c>
      <c r="H491" s="83" t="s">
        <v>3067</v>
      </c>
      <c r="I491" s="70" t="str">
        <f t="shared" si="77"/>
        <v>EngramEntry_Troodon_Alpha_C</v>
      </c>
      <c r="J491" s="99" t="str">
        <f t="shared" si="78"/>
        <v>OverrideNamedEngramEntries=(EngramEntry_Troodon_Alpha_C,EngramHidden=true)</v>
      </c>
      <c r="K491" s="1"/>
    </row>
    <row r="492">
      <c r="A492" s="6"/>
      <c r="B492" s="6"/>
      <c r="C492" s="97"/>
      <c r="D492" s="81"/>
      <c r="E492" s="87" t="s">
        <v>3068</v>
      </c>
      <c r="F492" s="87" t="s">
        <v>3069</v>
      </c>
      <c r="G492" s="81" t="str">
        <f t="shared" si="113"/>
        <v>cheat gfi PrimalItemSaddle_Troodon_Toxic_C 1 0 0</v>
      </c>
      <c r="H492" s="87" t="s">
        <v>3070</v>
      </c>
      <c r="I492" s="71" t="str">
        <f t="shared" si="77"/>
        <v>EngramEntry_Troodon_Toxic_C</v>
      </c>
      <c r="J492" s="98" t="str">
        <f t="shared" si="78"/>
        <v>OverrideNamedEngramEntries=(EngramEntry_Troodon_Toxic_C,EngramHidden=true)</v>
      </c>
      <c r="K492" s="1"/>
    </row>
    <row r="493">
      <c r="A493" s="6"/>
      <c r="B493" s="6"/>
      <c r="C493" s="97"/>
      <c r="D493" s="81"/>
      <c r="E493" s="83" t="s">
        <v>3071</v>
      </c>
      <c r="F493" s="83" t="s">
        <v>3072</v>
      </c>
      <c r="G493" s="85" t="str">
        <f t="shared" si="113"/>
        <v>cheat gfi PrimalItemSaddle_Turkey_Alpha_C 1 0 0</v>
      </c>
      <c r="H493" s="83" t="s">
        <v>3073</v>
      </c>
      <c r="I493" s="70" t="str">
        <f t="shared" si="77"/>
        <v>EngramEntry_Turkey_Alpha_C</v>
      </c>
      <c r="J493" s="99" t="str">
        <f t="shared" si="78"/>
        <v>OverrideNamedEngramEntries=(EngramEntry_Turkey_Alpha_C,EngramHidden=true)</v>
      </c>
      <c r="K493" s="1"/>
    </row>
    <row r="494">
      <c r="A494" s="6"/>
      <c r="B494" s="6"/>
      <c r="C494" s="97"/>
      <c r="D494" s="81"/>
      <c r="E494" s="87" t="s">
        <v>3074</v>
      </c>
      <c r="F494" s="87" t="s">
        <v>3075</v>
      </c>
      <c r="G494" s="81" t="str">
        <f t="shared" si="113"/>
        <v>cheat gfi PrimalItemSaddle_Turkey_Shadow_C 1 0 0</v>
      </c>
      <c r="H494" s="87" t="s">
        <v>3076</v>
      </c>
      <c r="I494" s="71" t="str">
        <f t="shared" si="77"/>
        <v>EngramEntry_Turkey_Shadow_C</v>
      </c>
      <c r="J494" s="98" t="str">
        <f t="shared" si="78"/>
        <v>OverrideNamedEngramEntries=(EngramEntry_Turkey_Shadow_C,EngramHidden=true)</v>
      </c>
      <c r="K494" s="1"/>
    </row>
    <row r="495">
      <c r="A495" s="6"/>
      <c r="B495" s="6"/>
      <c r="C495" s="97"/>
      <c r="D495" s="81"/>
      <c r="E495" s="83" t="s">
        <v>3077</v>
      </c>
      <c r="F495" s="83" t="s">
        <v>3078</v>
      </c>
      <c r="G495" s="85" t="str">
        <f t="shared" si="113"/>
        <v>cheat gfi PrimalItemSaddle_Turkey_Toxic_C 1 0 0</v>
      </c>
      <c r="H495" s="83" t="s">
        <v>3079</v>
      </c>
      <c r="I495" s="70" t="str">
        <f t="shared" si="77"/>
        <v>EngramEntry_Turkey_Toxic_C</v>
      </c>
      <c r="J495" s="99" t="str">
        <f t="shared" si="78"/>
        <v>OverrideNamedEngramEntries=(EngramEntry_Turkey_Toxic_C,EngramHidden=true)</v>
      </c>
      <c r="K495" s="1"/>
    </row>
    <row r="496">
      <c r="A496" s="6"/>
      <c r="B496" s="6"/>
      <c r="C496" s="97"/>
      <c r="D496" s="81"/>
      <c r="E496" s="87" t="s">
        <v>3080</v>
      </c>
      <c r="F496" s="87" t="s">
        <v>3081</v>
      </c>
      <c r="G496" s="81" t="str">
        <f t="shared" si="113"/>
        <v>cheat gfi PrimalItemArmor_TurtleSaddle_Alpha_C 1 0 0</v>
      </c>
      <c r="H496" s="87" t="s">
        <v>3082</v>
      </c>
      <c r="I496" s="71" t="str">
        <f t="shared" si="77"/>
        <v>EngramEntry_TurtleSaddle_Alpha_C</v>
      </c>
      <c r="J496" s="98" t="str">
        <f t="shared" si="78"/>
        <v>OverrideNamedEngramEntries=(EngramEntry_TurtleSaddle_Alpha_C,EngramHidden=true)</v>
      </c>
      <c r="K496" s="1"/>
    </row>
    <row r="497">
      <c r="A497" s="6"/>
      <c r="B497" s="6"/>
      <c r="C497" s="97"/>
      <c r="D497" s="81"/>
      <c r="E497" s="83" t="s">
        <v>3083</v>
      </c>
      <c r="F497" s="83" t="s">
        <v>3084</v>
      </c>
      <c r="G497" s="85" t="str">
        <f t="shared" si="113"/>
        <v>cheat gfi PrimalItemArmor_TurtleSaddle_Hydro_C 1 0 0</v>
      </c>
      <c r="H497" s="83" t="s">
        <v>3085</v>
      </c>
      <c r="I497" s="70" t="str">
        <f t="shared" si="77"/>
        <v>EngramEntry_TurtleSaddle_Hydro_C</v>
      </c>
      <c r="J497" s="99" t="str">
        <f t="shared" si="78"/>
        <v>OverrideNamedEngramEntries=(EngramEntry_TurtleSaddle_Hydro_C,EngramHidden=true)</v>
      </c>
      <c r="K497" s="1"/>
    </row>
    <row r="498">
      <c r="A498" s="6"/>
      <c r="B498" s="6"/>
      <c r="C498" s="97"/>
      <c r="D498" s="81"/>
      <c r="E498" s="87" t="s">
        <v>3086</v>
      </c>
      <c r="F498" s="87" t="s">
        <v>3087</v>
      </c>
      <c r="G498" s="81" t="str">
        <f t="shared" si="113"/>
        <v>cheat gfi PrimalItemArmor_TurtleSaddle_Toxic_C 1 0 0</v>
      </c>
      <c r="H498" s="87" t="s">
        <v>3088</v>
      </c>
      <c r="I498" s="71" t="str">
        <f t="shared" si="77"/>
        <v>EngramEntry_TurtleSaddle_Toxic_C</v>
      </c>
      <c r="J498" s="98" t="str">
        <f t="shared" si="78"/>
        <v>OverrideNamedEngramEntries=(EngramEntry_TurtleSaddle_Toxic_C,EngramHidden=true)</v>
      </c>
      <c r="K498" s="1"/>
    </row>
    <row r="499">
      <c r="A499" s="6"/>
      <c r="B499" s="6"/>
      <c r="C499" s="97"/>
      <c r="D499" s="81"/>
      <c r="E499" s="83" t="s">
        <v>3089</v>
      </c>
      <c r="F499" s="83" t="s">
        <v>3090</v>
      </c>
      <c r="G499" s="85" t="str">
        <f t="shared" si="113"/>
        <v>cheat gfi PrimalItemSaddle_Wyvern_Chaos_C 1 0 0</v>
      </c>
      <c r="H499" s="83" t="s">
        <v>3091</v>
      </c>
      <c r="I499" s="70" t="str">
        <f t="shared" si="77"/>
        <v>EngramEntry_Wyvern_Chaos_C</v>
      </c>
      <c r="J499" s="99" t="str">
        <f t="shared" si="78"/>
        <v>OverrideNamedEngramEntries=(EngramEntry_Wyvern_Chaos_C,EngramHidden=true)</v>
      </c>
      <c r="K499" s="1"/>
    </row>
    <row r="500">
      <c r="A500" s="6"/>
      <c r="B500" s="6"/>
      <c r="C500" s="97"/>
      <c r="D500" s="81"/>
      <c r="E500" s="87" t="s">
        <v>3092</v>
      </c>
      <c r="F500" s="87" t="s">
        <v>3093</v>
      </c>
      <c r="G500" s="81" t="str">
        <f t="shared" si="113"/>
        <v>cheat gfi PrimalItemSaddle_Wyvern_Fairy_C 1 0 0</v>
      </c>
      <c r="H500" s="87" t="s">
        <v>3094</v>
      </c>
      <c r="I500" s="71" t="str">
        <f t="shared" si="77"/>
        <v>EngramEntry_Wyvern_Fairy_C</v>
      </c>
      <c r="J500" s="98" t="str">
        <f t="shared" si="78"/>
        <v>OverrideNamedEngramEntries=(EngramEntry_Wyvern_Fairy_C,EngramHidden=true)</v>
      </c>
      <c r="K500" s="1"/>
    </row>
    <row r="501">
      <c r="A501" s="6"/>
      <c r="B501" s="6"/>
      <c r="C501" s="97"/>
      <c r="D501" s="81"/>
      <c r="E501" s="83" t="s">
        <v>3095</v>
      </c>
      <c r="F501" s="83" t="s">
        <v>3096</v>
      </c>
      <c r="G501" s="85" t="str">
        <f t="shared" si="113"/>
        <v>cheat gfi PrimalItemSaddle_Wyvern_Legendary_C 1 0 0</v>
      </c>
      <c r="H501" s="83" t="s">
        <v>3097</v>
      </c>
      <c r="I501" s="70" t="str">
        <f t="shared" si="77"/>
        <v>EngramEntry_Wyvern_Legendary_C</v>
      </c>
      <c r="J501" s="99" t="str">
        <f t="shared" si="78"/>
        <v>OverrideNamedEngramEntries=(EngramEntry_Wyvern_Legendary_C,EngramHidden=true)</v>
      </c>
      <c r="K501" s="1"/>
    </row>
    <row r="502">
      <c r="A502" s="6"/>
      <c r="B502" s="6"/>
      <c r="C502" s="97"/>
      <c r="D502" s="81"/>
      <c r="E502" s="87" t="s">
        <v>3098</v>
      </c>
      <c r="F502" s="87" t="s">
        <v>3099</v>
      </c>
      <c r="G502" s="81" t="str">
        <f t="shared" si="113"/>
        <v>cheat gfi PrimalItemSaddle_Wyvern_Spirit_C 1 0 0</v>
      </c>
      <c r="H502" s="87" t="s">
        <v>3100</v>
      </c>
      <c r="I502" s="71" t="str">
        <f t="shared" si="77"/>
        <v>EngramEntry_Wyvern_Spirit_C</v>
      </c>
      <c r="J502" s="98" t="str">
        <f t="shared" si="78"/>
        <v>OverrideNamedEngramEntries=(EngramEntry_Wyvern_Spirit_C,EngramHidden=true)</v>
      </c>
      <c r="K502" s="1"/>
    </row>
    <row r="503">
      <c r="A503" s="6"/>
      <c r="B503" s="6"/>
      <c r="C503" s="97"/>
      <c r="D503" s="81"/>
      <c r="E503" s="83" t="s">
        <v>3101</v>
      </c>
      <c r="F503" s="83" t="s">
        <v>3102</v>
      </c>
      <c r="G503" s="85" t="str">
        <f t="shared" si="113"/>
        <v>cheat gfi PrimalItemArmor_YutySaddle_Alpha_C 1 0 0</v>
      </c>
      <c r="H503" s="83" t="s">
        <v>3103</v>
      </c>
      <c r="I503" s="70" t="str">
        <f t="shared" si="77"/>
        <v>EngramEntry_YutySaddle_Alpha_C</v>
      </c>
      <c r="J503" s="99" t="str">
        <f t="shared" si="78"/>
        <v>OverrideNamedEngramEntries=(EngramEntry_YutySaddle_Alpha_C,EngramHidden=true)</v>
      </c>
      <c r="K503" s="1"/>
    </row>
    <row r="504">
      <c r="A504" s="6"/>
      <c r="B504" s="6"/>
      <c r="C504" s="97">
        <v>18.0</v>
      </c>
      <c r="D504" s="81" t="str">
        <f>Left(F504,find("Armor",F504)+4)</f>
        <v>PrimalItemArmor</v>
      </c>
      <c r="E504" s="87" t="s">
        <v>3104</v>
      </c>
      <c r="F504" s="87" t="s">
        <v>3105</v>
      </c>
      <c r="G504" s="81" t="str">
        <f t="shared" si="113"/>
        <v>cheat gfi PrimalItemArmor_YutySaddle_Toxic_C 1 0 0</v>
      </c>
      <c r="H504" s="87" t="s">
        <v>3106</v>
      </c>
      <c r="I504" s="71" t="str">
        <f t="shared" si="77"/>
        <v>EngramEntry_YutySaddle_Toxic_C</v>
      </c>
      <c r="J504" s="98" t="str">
        <f t="shared" si="78"/>
        <v>OverrideNamedEngramEntries=(EngramEntry_YutySaddle_Toxic_C,EngramHidden=true)</v>
      </c>
      <c r="K504" s="1"/>
    </row>
    <row r="505">
      <c r="A505" s="6"/>
      <c r="B505" s="14"/>
      <c r="C505" s="15"/>
      <c r="D505" s="15"/>
      <c r="E505" s="15"/>
      <c r="F505" s="15"/>
      <c r="G505" s="15"/>
      <c r="H505" s="15"/>
      <c r="I505" s="15"/>
      <c r="J505" s="15"/>
      <c r="K505" s="2"/>
    </row>
    <row r="506">
      <c r="A506" s="6"/>
      <c r="B506" s="103" t="s">
        <v>3107</v>
      </c>
      <c r="C506" s="4">
        <f t="shared" ref="C506:C512" si="120">IF(D506="PrimalItemConsumable_Blood",1)+IF(D506="PrimalItemConsumable_Narcotic",2)+IF(D506="PrimalItemConsumable_Seed",3)+IF(D506="PrimalItemConsumable_Fruit",4)+IF(D506="PrimalItemConsumable_Egg_Unfertilized",5)+IF(D506="PrimalItemConsumable_Kibble",6)+IF(D506="PrimalItemConsumable_Potion",7)+IF(D506="PrimalItemConsumable_XP",8)+IF(D506="PrimalItemConsumable_Food",9)+IF(D506="PrimalItemResource",10)+IF(D506="PrimalItemResource_Hide",11)+IF(D506="PrimalItemResource_MetalIngot",12)+IF(D506="PrimalItemConsumable_Summon",13)+IF(D506="PrimalItemStructure",14)+IF(D506="PrimalItem_Weapon",15)+IF(D506="PrimalItemAmmo",16)+IF(D506="PrimalItemArmor",17)+IF(D506="PrimalItemSaddle",18)+IF(D506="PrimalItemConsumable_UnderwaterEgg",19)+IF(D506="PrimalItemConsumable_Egg",20)</f>
        <v>19</v>
      </c>
      <c r="D506" s="4" t="str">
        <f t="shared" ref="D506:D512" si="121">Left(F506,find("Egg",F506)+2)</f>
        <v>PrimalItemConsumable_UnderwaterEgg</v>
      </c>
      <c r="E506" s="23" t="s">
        <v>3108</v>
      </c>
      <c r="F506" s="23" t="s">
        <v>3109</v>
      </c>
      <c r="G506" s="23" t="str">
        <f t="shared" ref="G506:G518" si="122">"cheat gfi "&amp;F506&amp;" 1 100 0"</f>
        <v>cheat gfi PrimalItemConsumable_UnderwaterEgg_Diplocaulus_Alpha_C 1 100 0</v>
      </c>
      <c r="H506" s="23" t="s">
        <v>3110</v>
      </c>
      <c r="I506" s="71" t="str">
        <f t="shared" ref="I506:I518" si="123">CONCATENATE("EngramEntry",RIGHT(F506,LEN(F506) - (FIND("_",F506) - 1)))</f>
        <v>EngramEntry_UnderwaterEgg_Diplocaulus_Alpha_C</v>
      </c>
      <c r="J506" s="98" t="str">
        <f t="shared" ref="J506:J518" si="124">"OverrideNamedEngramEntries=("&amp;I506&amp;",EngramHidden=true)"</f>
        <v>OverrideNamedEngramEntries=(EngramEntry_UnderwaterEgg_Diplocaulus_Alpha_C,EngramHidden=true)</v>
      </c>
      <c r="K506" s="2"/>
    </row>
    <row r="507">
      <c r="A507" s="6"/>
      <c r="B507" s="6"/>
      <c r="C507" s="4">
        <f t="shared" si="120"/>
        <v>19</v>
      </c>
      <c r="D507" s="4" t="str">
        <f t="shared" si="121"/>
        <v>PrimalItemConsumable_UnderwaterEgg</v>
      </c>
      <c r="E507" s="21" t="s">
        <v>3111</v>
      </c>
      <c r="F507" s="21" t="s">
        <v>3112</v>
      </c>
      <c r="G507" s="21" t="str">
        <f t="shared" si="122"/>
        <v>cheat gfi PrimalItemConsumable_UnderwaterEgg_Diplocaulus_Beta_C 1 100 0</v>
      </c>
      <c r="H507" s="21" t="s">
        <v>3113</v>
      </c>
      <c r="I507" s="70" t="str">
        <f t="shared" si="123"/>
        <v>EngramEntry_UnderwaterEgg_Diplocaulus_Beta_C</v>
      </c>
      <c r="J507" s="99" t="str">
        <f t="shared" si="124"/>
        <v>OverrideNamedEngramEntries=(EngramEntry_UnderwaterEgg_Diplocaulus_Beta_C,EngramHidden=true)</v>
      </c>
      <c r="K507" s="2"/>
    </row>
    <row r="508">
      <c r="A508" s="6"/>
      <c r="B508" s="6"/>
      <c r="C508" s="4">
        <f t="shared" si="120"/>
        <v>19</v>
      </c>
      <c r="D508" s="4" t="str">
        <f t="shared" si="121"/>
        <v>PrimalItemConsumable_UnderwaterEgg</v>
      </c>
      <c r="E508" s="23" t="s">
        <v>3114</v>
      </c>
      <c r="F508" s="23" t="s">
        <v>3115</v>
      </c>
      <c r="G508" s="23" t="str">
        <f t="shared" si="122"/>
        <v>cheat gfi PrimalItemConsumable_UnderwaterEgg_Diplocaulus_Hydro_C 1 100 0</v>
      </c>
      <c r="H508" s="23" t="s">
        <v>3116</v>
      </c>
      <c r="I508" s="71" t="str">
        <f t="shared" si="123"/>
        <v>EngramEntry_UnderwaterEgg_Diplocaulus_Hydro_C</v>
      </c>
      <c r="J508" s="98" t="str">
        <f t="shared" si="124"/>
        <v>OverrideNamedEngramEntries=(EngramEntry_UnderwaterEgg_Diplocaulus_Hydro_C,EngramHidden=true)</v>
      </c>
      <c r="K508" s="2"/>
    </row>
    <row r="509">
      <c r="A509" s="6"/>
      <c r="B509" s="6"/>
      <c r="C509" s="4">
        <f t="shared" si="120"/>
        <v>19</v>
      </c>
      <c r="D509" s="4" t="str">
        <f t="shared" si="121"/>
        <v>PrimalItemConsumable_UnderwaterEgg</v>
      </c>
      <c r="E509" s="21" t="s">
        <v>3117</v>
      </c>
      <c r="F509" s="21" t="s">
        <v>3118</v>
      </c>
      <c r="G509" s="21" t="str">
        <f t="shared" si="122"/>
        <v>cheat gfi PrimalItemConsumable_UnderwaterEgg_Eel_Alpha_C 1 100 0</v>
      </c>
      <c r="H509" s="21" t="s">
        <v>3119</v>
      </c>
      <c r="I509" s="70" t="str">
        <f t="shared" si="123"/>
        <v>EngramEntry_UnderwaterEgg_Eel_Alpha_C</v>
      </c>
      <c r="J509" s="99" t="str">
        <f t="shared" si="124"/>
        <v>OverrideNamedEngramEntries=(EngramEntry_UnderwaterEgg_Eel_Alpha_C,EngramHidden=true)</v>
      </c>
      <c r="K509" s="2"/>
    </row>
    <row r="510">
      <c r="A510" s="6"/>
      <c r="B510" s="6"/>
      <c r="C510" s="4">
        <f t="shared" si="120"/>
        <v>19</v>
      </c>
      <c r="D510" s="4" t="str">
        <f t="shared" si="121"/>
        <v>PrimalItemConsumable_UnderwaterEgg</v>
      </c>
      <c r="E510" s="23" t="s">
        <v>3120</v>
      </c>
      <c r="F510" s="23" t="s">
        <v>3121</v>
      </c>
      <c r="G510" s="23" t="str">
        <f t="shared" si="122"/>
        <v>cheat gfi PrimalItemConsumable_UnderwaterEgg_Eel_Beta_C 1 100 0</v>
      </c>
      <c r="H510" s="23" t="s">
        <v>3122</v>
      </c>
      <c r="I510" s="71" t="str">
        <f t="shared" si="123"/>
        <v>EngramEntry_UnderwaterEgg_Eel_Beta_C</v>
      </c>
      <c r="J510" s="98" t="str">
        <f t="shared" si="124"/>
        <v>OverrideNamedEngramEntries=(EngramEntry_UnderwaterEgg_Eel_Beta_C,EngramHidden=true)</v>
      </c>
      <c r="K510" s="2"/>
    </row>
    <row r="511">
      <c r="A511" s="6"/>
      <c r="B511" s="6"/>
      <c r="C511" s="4">
        <f t="shared" si="120"/>
        <v>19</v>
      </c>
      <c r="D511" s="4" t="str">
        <f t="shared" si="121"/>
        <v>PrimalItemConsumable_UnderwaterEgg</v>
      </c>
      <c r="E511" s="21" t="s">
        <v>3123</v>
      </c>
      <c r="F511" s="21" t="s">
        <v>3124</v>
      </c>
      <c r="G511" s="21" t="str">
        <f t="shared" si="122"/>
        <v>cheat gfi PrimalItemConsumable_UnderwaterEgg_Toad_Alpha_C 1 100 0</v>
      </c>
      <c r="H511" s="21" t="s">
        <v>3125</v>
      </c>
      <c r="I511" s="70" t="str">
        <f t="shared" si="123"/>
        <v>EngramEntry_UnderwaterEgg_Toad_Alpha_C</v>
      </c>
      <c r="J511" s="99" t="str">
        <f t="shared" si="124"/>
        <v>OverrideNamedEngramEntries=(EngramEntry_UnderwaterEgg_Toad_Alpha_C,EngramHidden=true)</v>
      </c>
      <c r="K511" s="2"/>
    </row>
    <row r="512">
      <c r="A512" s="6"/>
      <c r="B512" s="6"/>
      <c r="C512" s="4">
        <f t="shared" si="120"/>
        <v>19</v>
      </c>
      <c r="D512" s="4" t="str">
        <f t="shared" si="121"/>
        <v>PrimalItemConsumable_UnderwaterEgg</v>
      </c>
      <c r="E512" s="23" t="s">
        <v>3126</v>
      </c>
      <c r="F512" s="23" t="s">
        <v>3127</v>
      </c>
      <c r="G512" s="23" t="str">
        <f t="shared" si="122"/>
        <v>cheat gfi PrimalItemConsumable_UnderwaterEgg_Toad_Beta_C 1 100 0</v>
      </c>
      <c r="H512" s="23" t="s">
        <v>3128</v>
      </c>
      <c r="I512" s="71" t="str">
        <f t="shared" si="123"/>
        <v>EngramEntry_UnderwaterEgg_Toad_Beta_C</v>
      </c>
      <c r="J512" s="98" t="str">
        <f t="shared" si="124"/>
        <v>OverrideNamedEngramEntries=(EngramEntry_UnderwaterEgg_Toad_Beta_C,EngramHidden=true)</v>
      </c>
      <c r="K512" s="2"/>
    </row>
    <row r="513">
      <c r="A513" s="6"/>
      <c r="B513" s="6"/>
      <c r="C513" s="4"/>
      <c r="D513" s="4"/>
      <c r="E513" s="20" t="s">
        <v>3129</v>
      </c>
      <c r="F513" s="20" t="s">
        <v>3130</v>
      </c>
      <c r="G513" s="21" t="str">
        <f t="shared" si="122"/>
        <v>cheat gfi PrimalItemConsumable_UnderwaterEgg_Toad_Fabled_C 1 100 0</v>
      </c>
      <c r="H513" s="20" t="s">
        <v>3131</v>
      </c>
      <c r="I513" s="70" t="str">
        <f t="shared" si="123"/>
        <v>EngramEntry_UnderwaterEgg_Toad_Fabled_C</v>
      </c>
      <c r="J513" s="99" t="str">
        <f t="shared" si="124"/>
        <v>OverrideNamedEngramEntries=(EngramEntry_UnderwaterEgg_Toad_Fabled_C,EngramHidden=true)</v>
      </c>
      <c r="K513" s="2"/>
    </row>
    <row r="514">
      <c r="A514" s="6"/>
      <c r="B514" s="6"/>
      <c r="C514" s="4">
        <f t="shared" ref="C514:C515" si="125">IF(D514="PrimalItemConsumable_Blood",1)+IF(D514="PrimalItemConsumable_Narcotic",2)+IF(D514="PrimalItemConsumable_Seed",3)+IF(D514="PrimalItemConsumable_Fruit",4)+IF(D514="PrimalItemConsumable_Egg_Unfertilized",5)+IF(D514="PrimalItemConsumable_Kibble",6)+IF(D514="PrimalItemConsumable_Potion",7)+IF(D514="PrimalItemConsumable_XP",8)+IF(D514="PrimalItemConsumable_Food",9)+IF(D514="PrimalItemResource",10)+IF(D514="PrimalItemResource_Hide",11)+IF(D514="PrimalItemResource_MetalIngot",12)+IF(D514="PrimalItemConsumable_Summon",13)+IF(D514="PrimalItemStructure",14)+IF(D514="PrimalItem_Weapon",15)+IF(D514="PrimalItemAmmo",16)+IF(D514="PrimalItemArmor",17)+IF(D514="PrimalItemSaddle",18)+IF(D514="PrimalItemConsumable_UnderwaterEgg",19)+IF(D514="PrimalItemConsumable_Egg",20)</f>
        <v>19</v>
      </c>
      <c r="D514" s="4" t="str">
        <f t="shared" ref="D514:D515" si="126">Left(F514,find("Egg",F514)+2)</f>
        <v>PrimalItemConsumable_UnderwaterEgg</v>
      </c>
      <c r="E514" s="23" t="s">
        <v>3132</v>
      </c>
      <c r="F514" s="23" t="s">
        <v>3133</v>
      </c>
      <c r="G514" s="23" t="str">
        <f t="shared" si="122"/>
        <v>cheat gfi PrimalItemConsumable_UnderwaterEgg_Toad_Hydro_C 1 100 0</v>
      </c>
      <c r="H514" s="23" t="s">
        <v>3134</v>
      </c>
      <c r="I514" s="71" t="str">
        <f t="shared" si="123"/>
        <v>EngramEntry_UnderwaterEgg_Toad_Hydro_C</v>
      </c>
      <c r="J514" s="98" t="str">
        <f t="shared" si="124"/>
        <v>OverrideNamedEngramEntries=(EngramEntry_UnderwaterEgg_Toad_Hydro_C,EngramHidden=true)</v>
      </c>
      <c r="K514" s="2"/>
    </row>
    <row r="515">
      <c r="A515" s="6"/>
      <c r="B515" s="6"/>
      <c r="C515" s="4">
        <f t="shared" si="125"/>
        <v>19</v>
      </c>
      <c r="D515" s="4" t="str">
        <f t="shared" si="126"/>
        <v>PrimalItemConsumable_UnderwaterEgg</v>
      </c>
      <c r="E515" s="21" t="s">
        <v>3135</v>
      </c>
      <c r="F515" s="21" t="s">
        <v>3136</v>
      </c>
      <c r="G515" s="21" t="str">
        <f t="shared" si="122"/>
        <v>cheat gfi PrimalItemConsumable_UnderwaterEgg_Toad_Mythic_C 1 100 0</v>
      </c>
      <c r="H515" s="21" t="s">
        <v>3137</v>
      </c>
      <c r="I515" s="70" t="str">
        <f t="shared" si="123"/>
        <v>EngramEntry_UnderwaterEgg_Toad_Mythic_C</v>
      </c>
      <c r="J515" s="99" t="str">
        <f t="shared" si="124"/>
        <v>OverrideNamedEngramEntries=(EngramEntry_UnderwaterEgg_Toad_Mythic_C,EngramHidden=true)</v>
      </c>
      <c r="K515" s="2"/>
    </row>
    <row r="516">
      <c r="A516" s="6"/>
      <c r="B516" s="6"/>
      <c r="C516" s="4"/>
      <c r="D516" s="4"/>
      <c r="E516" s="22" t="s">
        <v>3138</v>
      </c>
      <c r="F516" s="22" t="s">
        <v>3139</v>
      </c>
      <c r="G516" s="23" t="str">
        <f t="shared" si="122"/>
        <v>cheat gfi PrimalItemConsumable_UnderwaterEgg_Toad_Omega_C 1 100 0</v>
      </c>
      <c r="H516" s="22" t="s">
        <v>3140</v>
      </c>
      <c r="I516" s="71" t="str">
        <f t="shared" si="123"/>
        <v>EngramEntry_UnderwaterEgg_Toad_Omega_C</v>
      </c>
      <c r="J516" s="98" t="str">
        <f t="shared" si="124"/>
        <v>OverrideNamedEngramEntries=(EngramEntry_UnderwaterEgg_Toad_Omega_C,EngramHidden=true)</v>
      </c>
      <c r="K516" s="2"/>
    </row>
    <row r="517">
      <c r="A517" s="6"/>
      <c r="B517" s="6"/>
      <c r="C517" s="4">
        <f t="shared" ref="C517:C518" si="127">IF(D517="PrimalItemConsumable_Blood",1)+IF(D517="PrimalItemConsumable_Narcotic",2)+IF(D517="PrimalItemConsumable_Seed",3)+IF(D517="PrimalItemConsumable_Fruit",4)+IF(D517="PrimalItemConsumable_Egg_Unfertilized",5)+IF(D517="PrimalItemConsumable_Kibble",6)+IF(D517="PrimalItemConsumable_Potion",7)+IF(D517="PrimalItemConsumable_XP",8)+IF(D517="PrimalItemConsumable_Food",9)+IF(D517="PrimalItemResource",10)+IF(D517="PrimalItemResource_Hide",11)+IF(D517="PrimalItemResource_MetalIngot",12)+IF(D517="PrimalItemConsumable_Summon",13)+IF(D517="PrimalItemStructure",14)+IF(D517="PrimalItem_Weapon",15)+IF(D517="PrimalItemAmmo",16)+IF(D517="PrimalItemArmor",17)+IF(D517="PrimalItemSaddle",18)+IF(D517="PrimalItemConsumable_UnderwaterEgg",19)+IF(D517="PrimalItemConsumable_Egg",20)</f>
        <v>19</v>
      </c>
      <c r="D517" s="4" t="str">
        <f t="shared" ref="D517:D518" si="128">Left(F517,find("Egg",F517)+2)</f>
        <v>PrimalItemConsumable_UnderwaterEgg</v>
      </c>
      <c r="E517" s="21" t="s">
        <v>3141</v>
      </c>
      <c r="F517" s="21" t="s">
        <v>3142</v>
      </c>
      <c r="G517" s="21" t="str">
        <f t="shared" si="122"/>
        <v>cheat gfi PrimalItemConsumable_UnderwaterEgg_Tuso_Alpha_C 1 100 0</v>
      </c>
      <c r="H517" s="21" t="s">
        <v>3143</v>
      </c>
      <c r="I517" s="70" t="str">
        <f t="shared" si="123"/>
        <v>EngramEntry_UnderwaterEgg_Tuso_Alpha_C</v>
      </c>
      <c r="J517" s="99" t="str">
        <f t="shared" si="124"/>
        <v>OverrideNamedEngramEntries=(EngramEntry_UnderwaterEgg_Tuso_Alpha_C,EngramHidden=true)</v>
      </c>
      <c r="K517" s="2"/>
    </row>
    <row r="518">
      <c r="A518" s="6"/>
      <c r="B518" s="13"/>
      <c r="C518" s="4">
        <f t="shared" si="127"/>
        <v>19</v>
      </c>
      <c r="D518" s="4" t="str">
        <f t="shared" si="128"/>
        <v>PrimalItemConsumable_UnderwaterEgg</v>
      </c>
      <c r="E518" s="23" t="s">
        <v>3144</v>
      </c>
      <c r="F518" s="23" t="s">
        <v>3145</v>
      </c>
      <c r="G518" s="23" t="str">
        <f t="shared" si="122"/>
        <v>cheat gfi PrimalItemConsumable_UnderwaterEgg_Tuso_Beta_C 1 100 0</v>
      </c>
      <c r="H518" s="23" t="s">
        <v>3146</v>
      </c>
      <c r="I518" s="71" t="str">
        <f t="shared" si="123"/>
        <v>EngramEntry_UnderwaterEgg_Tuso_Beta_C</v>
      </c>
      <c r="J518" s="98" t="str">
        <f t="shared" si="124"/>
        <v>OverrideNamedEngramEntries=(EngramEntry_UnderwaterEgg_Tuso_Beta_C,EngramHidden=true)</v>
      </c>
      <c r="K518" s="2"/>
    </row>
    <row r="519">
      <c r="A519" s="6"/>
      <c r="B519" s="14"/>
      <c r="C519" s="15"/>
      <c r="D519" s="15"/>
      <c r="E519" s="15"/>
      <c r="F519" s="15"/>
      <c r="G519" s="15"/>
      <c r="H519" s="15"/>
      <c r="I519" s="15"/>
      <c r="J519" s="15"/>
      <c r="K519" s="2"/>
    </row>
    <row r="520">
      <c r="A520" s="6"/>
      <c r="B520" s="27" t="s">
        <v>3147</v>
      </c>
      <c r="C520" s="4">
        <f t="shared" ref="C520:C649" si="129">IF(D520="PrimalItemConsumable_Blood",1)+IF(D520="PrimalItemConsumable_Narcotic",2)+IF(D520="PrimalItemConsumable_Seed",3)+IF(D520="PrimalItemConsumable_Fruit",4)+IF(D520="PrimalItemConsumable_Egg_Unfertilized",5)+IF(D520="PrimalItemConsumable_Kibble",6)+IF(D520="PrimalItemConsumable_Potion",7)+IF(D520="PrimalItemConsumable_XP",8)+IF(D520="PrimalItemConsumable_Food",9)+IF(D520="PrimalItemResource",10)+IF(D520="PrimalItemResource_Hide",11)+IF(D520="PrimalItemResource_MetalIngot",12)+IF(D520="PrimalItemConsumable_Summon",13)+IF(D520="PrimalItemStructure",14)+IF(D520="PrimalItem_Weapon",15)+IF(D520="PrimalItemAmmo",16)+IF(D520="PrimalItemArmor",17)+IF(D520="PrimalItemSaddle",18)+IF(D520="PrimalItemConsumable_UnderwaterEgg",19)+IF(D520="PrimalItemConsumable_Egg",20)</f>
        <v>20</v>
      </c>
      <c r="D520" s="4" t="str">
        <f t="shared" ref="D520:D649" si="130">Left(F520,find("Egg",F520)+2)</f>
        <v>PrimalItemConsumable_Egg</v>
      </c>
      <c r="E520" s="22" t="s">
        <v>3148</v>
      </c>
      <c r="F520" s="22" t="s">
        <v>3149</v>
      </c>
      <c r="G520" s="23" t="str">
        <f t="shared" ref="G520:G689" si="131">"cheat gfi "&amp;F520&amp;" 1 100 0"</f>
        <v>cheat gfi PrimalItemConsumable_Egg_Allo_Fertilized_Alpha_C 1 100 0</v>
      </c>
      <c r="H520" s="22" t="s">
        <v>3150</v>
      </c>
      <c r="I520" s="71" t="str">
        <f t="shared" ref="I520:I689" si="132">CONCATENATE("EngramEntry",RIGHT(F520,LEN(F520) - (FIND("_",F520) - 1)))</f>
        <v>EngramEntry_Egg_Allo_Fertilized_Alpha_C</v>
      </c>
      <c r="J520" s="98" t="str">
        <f t="shared" ref="J520:J689" si="133">"OverrideNamedEngramEntries=("&amp;I520&amp;",EngramHidden=true)"</f>
        <v>OverrideNamedEngramEntries=(EngramEntry_Egg_Allo_Fertilized_Alpha_C,EngramHidden=true)</v>
      </c>
      <c r="K520" s="2"/>
    </row>
    <row r="521">
      <c r="A521" s="6"/>
      <c r="B521" s="6"/>
      <c r="C521" s="4">
        <f t="shared" si="129"/>
        <v>20</v>
      </c>
      <c r="D521" s="4" t="str">
        <f t="shared" si="130"/>
        <v>PrimalItemConsumable_Egg</v>
      </c>
      <c r="E521" s="20" t="s">
        <v>3151</v>
      </c>
      <c r="F521" s="20" t="s">
        <v>3152</v>
      </c>
      <c r="G521" s="21" t="str">
        <f t="shared" si="131"/>
        <v>cheat gfi PrimalItemConsumable_Egg_Allo_Fertilized_Beta_C 1 100 0</v>
      </c>
      <c r="H521" s="20" t="s">
        <v>3153</v>
      </c>
      <c r="I521" s="70" t="str">
        <f t="shared" si="132"/>
        <v>EngramEntry_Egg_Allo_Fertilized_Beta_C</v>
      </c>
      <c r="J521" s="99" t="str">
        <f t="shared" si="133"/>
        <v>OverrideNamedEngramEntries=(EngramEntry_Egg_Allo_Fertilized_Beta_C,EngramHidden=true)</v>
      </c>
      <c r="K521" s="2"/>
    </row>
    <row r="522">
      <c r="A522" s="6"/>
      <c r="B522" s="6"/>
      <c r="C522" s="4">
        <f t="shared" si="129"/>
        <v>20</v>
      </c>
      <c r="D522" s="4" t="str">
        <f t="shared" si="130"/>
        <v>PrimalItemConsumable_Egg</v>
      </c>
      <c r="E522" s="22" t="s">
        <v>3154</v>
      </c>
      <c r="F522" s="22" t="s">
        <v>3155</v>
      </c>
      <c r="G522" s="23" t="str">
        <f t="shared" si="131"/>
        <v>cheat gfi PrimalItemConsumable_Egg_Allo_Fertilized_Electric_C 1 100 0</v>
      </c>
      <c r="H522" s="22" t="s">
        <v>3156</v>
      </c>
      <c r="I522" s="71" t="str">
        <f t="shared" si="132"/>
        <v>EngramEntry_Egg_Allo_Fertilized_Electric_C</v>
      </c>
      <c r="J522" s="98" t="str">
        <f t="shared" si="133"/>
        <v>OverrideNamedEngramEntries=(EngramEntry_Egg_Allo_Fertilized_Electric_C,EngramHidden=true)</v>
      </c>
      <c r="K522" s="2"/>
    </row>
    <row r="523">
      <c r="A523" s="6"/>
      <c r="B523" s="6"/>
      <c r="C523" s="4">
        <f t="shared" si="129"/>
        <v>20</v>
      </c>
      <c r="D523" s="4" t="str">
        <f t="shared" si="130"/>
        <v>PrimalItemConsumable_Egg</v>
      </c>
      <c r="E523" s="20" t="s">
        <v>3157</v>
      </c>
      <c r="F523" s="20" t="s">
        <v>3158</v>
      </c>
      <c r="G523" s="21" t="str">
        <f t="shared" si="131"/>
        <v>cheat gfi PrimalItemConsumable_Egg_Allo_Fertilized_Hydro_C 1 100 0</v>
      </c>
      <c r="H523" s="20" t="s">
        <v>3159</v>
      </c>
      <c r="I523" s="70" t="str">
        <f t="shared" si="132"/>
        <v>EngramEntry_Egg_Allo_Fertilized_Hydro_C</v>
      </c>
      <c r="J523" s="99" t="str">
        <f t="shared" si="133"/>
        <v>OverrideNamedEngramEntries=(EngramEntry_Egg_Allo_Fertilized_Hydro_C,EngramHidden=true)</v>
      </c>
      <c r="K523" s="2"/>
    </row>
    <row r="524">
      <c r="A524" s="6"/>
      <c r="B524" s="6"/>
      <c r="C524" s="4">
        <f t="shared" si="129"/>
        <v>20</v>
      </c>
      <c r="D524" s="4" t="str">
        <f t="shared" si="130"/>
        <v>PrimalItemConsumable_Egg</v>
      </c>
      <c r="E524" s="22" t="s">
        <v>3160</v>
      </c>
      <c r="F524" s="22" t="s">
        <v>3161</v>
      </c>
      <c r="G524" s="23" t="str">
        <f t="shared" si="131"/>
        <v>cheat gfi PrimalItemConsumable_Egg_Allo_Fertilized_Legendary_C 1 100 0</v>
      </c>
      <c r="H524" s="22" t="s">
        <v>3162</v>
      </c>
      <c r="I524" s="71" t="str">
        <f t="shared" si="132"/>
        <v>EngramEntry_Egg_Allo_Fertilized_Legendary_C</v>
      </c>
      <c r="J524" s="98" t="str">
        <f t="shared" si="133"/>
        <v>OverrideNamedEngramEntries=(EngramEntry_Egg_Allo_Fertilized_Legendary_C,EngramHidden=true)</v>
      </c>
      <c r="K524" s="2"/>
    </row>
    <row r="525">
      <c r="A525" s="6"/>
      <c r="B525" s="6"/>
      <c r="C525" s="4">
        <f t="shared" si="129"/>
        <v>20</v>
      </c>
      <c r="D525" s="4" t="str">
        <f t="shared" si="130"/>
        <v>PrimalItemConsumable_Egg</v>
      </c>
      <c r="E525" s="20" t="s">
        <v>3163</v>
      </c>
      <c r="F525" s="20" t="s">
        <v>3164</v>
      </c>
      <c r="G525" s="21" t="str">
        <f t="shared" si="131"/>
        <v>cheat gfi PrimalItemConsumable_Egg_Allo_Fertilized_Omega_C 1 100 0</v>
      </c>
      <c r="H525" s="20" t="s">
        <v>3165</v>
      </c>
      <c r="I525" s="70" t="str">
        <f t="shared" si="132"/>
        <v>EngramEntry_Egg_Allo_Fertilized_Omega_C</v>
      </c>
      <c r="J525" s="99" t="str">
        <f t="shared" si="133"/>
        <v>OverrideNamedEngramEntries=(EngramEntry_Egg_Allo_Fertilized_Omega_C,EngramHidden=true)</v>
      </c>
      <c r="K525" s="2"/>
    </row>
    <row r="526">
      <c r="A526" s="6"/>
      <c r="B526" s="6"/>
      <c r="C526" s="4">
        <f t="shared" si="129"/>
        <v>20</v>
      </c>
      <c r="D526" s="4" t="str">
        <f t="shared" si="130"/>
        <v>PrimalItemConsumable_Egg</v>
      </c>
      <c r="E526" s="22" t="s">
        <v>3166</v>
      </c>
      <c r="F526" s="22" t="s">
        <v>3167</v>
      </c>
      <c r="G526" s="23" t="str">
        <f t="shared" si="131"/>
        <v>cheat gfi PrimalItemConsumable_Egg_Allo_Fertilized_Volcanic_C 1 100 0</v>
      </c>
      <c r="H526" s="22" t="s">
        <v>3168</v>
      </c>
      <c r="I526" s="71" t="str">
        <f t="shared" si="132"/>
        <v>EngramEntry_Egg_Allo_Fertilized_Volcanic_C</v>
      </c>
      <c r="J526" s="98" t="str">
        <f t="shared" si="133"/>
        <v>OverrideNamedEngramEntries=(EngramEntry_Egg_Allo_Fertilized_Volcanic_C,EngramHidden=true)</v>
      </c>
      <c r="K526" s="2"/>
    </row>
    <row r="527">
      <c r="A527" s="6"/>
      <c r="B527" s="6"/>
      <c r="C527" s="4">
        <f t="shared" si="129"/>
        <v>20</v>
      </c>
      <c r="D527" s="4" t="str">
        <f t="shared" si="130"/>
        <v>PrimalItemConsumable_Egg</v>
      </c>
      <c r="E527" s="20" t="s">
        <v>3169</v>
      </c>
      <c r="F527" s="20" t="s">
        <v>3170</v>
      </c>
      <c r="G527" s="21" t="str">
        <f t="shared" si="131"/>
        <v>cheat gfi PrimalItemConsumable_Egg_Ankylo_Fertilized_Alpha_C 1 100 0</v>
      </c>
      <c r="H527" s="20" t="s">
        <v>3171</v>
      </c>
      <c r="I527" s="70" t="str">
        <f t="shared" si="132"/>
        <v>EngramEntry_Egg_Ankylo_Fertilized_Alpha_C</v>
      </c>
      <c r="J527" s="99" t="str">
        <f t="shared" si="133"/>
        <v>OverrideNamedEngramEntries=(EngramEntry_Egg_Ankylo_Fertilized_Alpha_C,EngramHidden=true)</v>
      </c>
      <c r="K527" s="2"/>
    </row>
    <row r="528">
      <c r="A528" s="6"/>
      <c r="B528" s="6"/>
      <c r="C528" s="4">
        <f t="shared" si="129"/>
        <v>20</v>
      </c>
      <c r="D528" s="4" t="str">
        <f t="shared" si="130"/>
        <v>PrimalItemConsumable_Egg</v>
      </c>
      <c r="E528" s="22" t="s">
        <v>3172</v>
      </c>
      <c r="F528" s="22" t="s">
        <v>3173</v>
      </c>
      <c r="G528" s="23" t="str">
        <f t="shared" si="131"/>
        <v>cheat gfi PrimalItemConsumable_Egg_Ankylo_Fertilized_Beta_C 1 100 0</v>
      </c>
      <c r="H528" s="22" t="s">
        <v>3174</v>
      </c>
      <c r="I528" s="71" t="str">
        <f t="shared" si="132"/>
        <v>EngramEntry_Egg_Ankylo_Fertilized_Beta_C</v>
      </c>
      <c r="J528" s="98" t="str">
        <f t="shared" si="133"/>
        <v>OverrideNamedEngramEntries=(EngramEntry_Egg_Ankylo_Fertilized_Beta_C,EngramHidden=true)</v>
      </c>
      <c r="K528" s="2"/>
    </row>
    <row r="529">
      <c r="A529" s="6"/>
      <c r="B529" s="6"/>
      <c r="C529" s="4">
        <f t="shared" si="129"/>
        <v>20</v>
      </c>
      <c r="D529" s="4" t="str">
        <f t="shared" si="130"/>
        <v>PrimalItemConsumable_Egg</v>
      </c>
      <c r="E529" s="20" t="s">
        <v>3175</v>
      </c>
      <c r="F529" s="20" t="s">
        <v>3176</v>
      </c>
      <c r="G529" s="21" t="str">
        <f t="shared" si="131"/>
        <v>cheat gfi PrimalItemConsumable_Egg_Ankylo_Fertilized_Fabled_C 1 100 0</v>
      </c>
      <c r="H529" s="20" t="s">
        <v>3177</v>
      </c>
      <c r="I529" s="70" t="str">
        <f t="shared" si="132"/>
        <v>EngramEntry_Egg_Ankylo_Fertilized_Fabled_C</v>
      </c>
      <c r="J529" s="99" t="str">
        <f t="shared" si="133"/>
        <v>OverrideNamedEngramEntries=(EngramEntry_Egg_Ankylo_Fertilized_Fabled_C,EngramHidden=true)</v>
      </c>
      <c r="K529" s="2"/>
    </row>
    <row r="530">
      <c r="A530" s="6"/>
      <c r="B530" s="6"/>
      <c r="C530" s="4">
        <f t="shared" si="129"/>
        <v>20</v>
      </c>
      <c r="D530" s="4" t="str">
        <f t="shared" si="130"/>
        <v>PrimalItemConsumable_Egg</v>
      </c>
      <c r="E530" s="22" t="s">
        <v>3178</v>
      </c>
      <c r="F530" s="22" t="s">
        <v>3179</v>
      </c>
      <c r="G530" s="23" t="str">
        <f t="shared" si="131"/>
        <v>cheat gfi PrimalItemConsumable_Egg_Ankylo_Fertilized_Mythic_C 1 100 0</v>
      </c>
      <c r="H530" s="22" t="s">
        <v>3180</v>
      </c>
      <c r="I530" s="71" t="str">
        <f t="shared" si="132"/>
        <v>EngramEntry_Egg_Ankylo_Fertilized_Mythic_C</v>
      </c>
      <c r="J530" s="98" t="str">
        <f t="shared" si="133"/>
        <v>OverrideNamedEngramEntries=(EngramEntry_Egg_Ankylo_Fertilized_Mythic_C,EngramHidden=true)</v>
      </c>
      <c r="K530" s="2"/>
    </row>
    <row r="531">
      <c r="A531" s="6"/>
      <c r="B531" s="6"/>
      <c r="C531" s="4">
        <f t="shared" si="129"/>
        <v>20</v>
      </c>
      <c r="D531" s="4" t="str">
        <f t="shared" si="130"/>
        <v>PrimalItemConsumable_Egg</v>
      </c>
      <c r="E531" s="20" t="s">
        <v>3181</v>
      </c>
      <c r="F531" s="20" t="s">
        <v>3182</v>
      </c>
      <c r="G531" s="21" t="str">
        <f t="shared" si="131"/>
        <v>cheat gfi PrimalItemConsumable_Egg_Archa_Fertilized_Alpha_C 1 100 0</v>
      </c>
      <c r="H531" s="20" t="s">
        <v>3183</v>
      </c>
      <c r="I531" s="70" t="str">
        <f t="shared" si="132"/>
        <v>EngramEntry_Egg_Archa_Fertilized_Alpha_C</v>
      </c>
      <c r="J531" s="99" t="str">
        <f t="shared" si="133"/>
        <v>OverrideNamedEngramEntries=(EngramEntry_Egg_Archa_Fertilized_Alpha_C,EngramHidden=true)</v>
      </c>
      <c r="K531" s="2"/>
    </row>
    <row r="532">
      <c r="A532" s="6"/>
      <c r="B532" s="6"/>
      <c r="C532" s="4">
        <f t="shared" si="129"/>
        <v>20</v>
      </c>
      <c r="D532" s="4" t="str">
        <f t="shared" si="130"/>
        <v>PrimalItemConsumable_Egg</v>
      </c>
      <c r="E532" s="22" t="s">
        <v>3184</v>
      </c>
      <c r="F532" s="22" t="s">
        <v>3185</v>
      </c>
      <c r="G532" s="23" t="str">
        <f t="shared" si="131"/>
        <v>cheat gfi PrimalItemConsumable_Egg_Archa_Fertilized_Beta_C 1 100 0</v>
      </c>
      <c r="H532" s="22" t="s">
        <v>3186</v>
      </c>
      <c r="I532" s="71" t="str">
        <f t="shared" si="132"/>
        <v>EngramEntry_Egg_Archa_Fertilized_Beta_C</v>
      </c>
      <c r="J532" s="98" t="str">
        <f t="shared" si="133"/>
        <v>OverrideNamedEngramEntries=(EngramEntry_Egg_Archa_Fertilized_Beta_C,EngramHidden=true)</v>
      </c>
      <c r="K532" s="2"/>
    </row>
    <row r="533">
      <c r="A533" s="6"/>
      <c r="B533" s="6"/>
      <c r="C533" s="4">
        <f t="shared" si="129"/>
        <v>20</v>
      </c>
      <c r="D533" s="4" t="str">
        <f t="shared" si="130"/>
        <v>PrimalItemConsumable_Egg</v>
      </c>
      <c r="E533" s="20" t="s">
        <v>3187</v>
      </c>
      <c r="F533" s="20" t="s">
        <v>3188</v>
      </c>
      <c r="G533" s="21" t="str">
        <f t="shared" si="131"/>
        <v>cheat gfi PrimalItemConsumable_Egg_Argent_Fertilized_Alpha_C 1 100 0</v>
      </c>
      <c r="H533" s="20" t="s">
        <v>3189</v>
      </c>
      <c r="I533" s="70" t="str">
        <f t="shared" si="132"/>
        <v>EngramEntry_Egg_Argent_Fertilized_Alpha_C</v>
      </c>
      <c r="J533" s="99" t="str">
        <f t="shared" si="133"/>
        <v>OverrideNamedEngramEntries=(EngramEntry_Egg_Argent_Fertilized_Alpha_C,EngramHidden=true)</v>
      </c>
      <c r="K533" s="2"/>
    </row>
    <row r="534">
      <c r="A534" s="6"/>
      <c r="B534" s="6"/>
      <c r="C534" s="4">
        <f t="shared" si="129"/>
        <v>20</v>
      </c>
      <c r="D534" s="4" t="str">
        <f t="shared" si="130"/>
        <v>PrimalItemConsumable_Egg</v>
      </c>
      <c r="E534" s="22" t="s">
        <v>3190</v>
      </c>
      <c r="F534" s="22" t="s">
        <v>3191</v>
      </c>
      <c r="G534" s="23" t="str">
        <f t="shared" si="131"/>
        <v>cheat gfi PrimalItemConsumable_Egg_Argent_Fertilized_Beta_C 1 100 0</v>
      </c>
      <c r="H534" s="22" t="s">
        <v>3192</v>
      </c>
      <c r="I534" s="71" t="str">
        <f t="shared" si="132"/>
        <v>EngramEntry_Egg_Argent_Fertilized_Beta_C</v>
      </c>
      <c r="J534" s="98" t="str">
        <f t="shared" si="133"/>
        <v>OverrideNamedEngramEntries=(EngramEntry_Egg_Argent_Fertilized_Beta_C,EngramHidden=true)</v>
      </c>
      <c r="K534" s="2"/>
    </row>
    <row r="535">
      <c r="A535" s="6"/>
      <c r="B535" s="6"/>
      <c r="C535" s="4">
        <f t="shared" si="129"/>
        <v>20</v>
      </c>
      <c r="D535" s="4" t="str">
        <f t="shared" si="130"/>
        <v>PrimalItemConsumable_Egg</v>
      </c>
      <c r="E535" s="20" t="s">
        <v>3193</v>
      </c>
      <c r="F535" s="20" t="s">
        <v>3194</v>
      </c>
      <c r="G535" s="21" t="str">
        <f t="shared" si="131"/>
        <v>cheat gfi PrimalItemConsumable_Egg_Argent_Fertilized_Electric_C 1 100 0</v>
      </c>
      <c r="H535" s="20" t="s">
        <v>3195</v>
      </c>
      <c r="I535" s="70" t="str">
        <f t="shared" si="132"/>
        <v>EngramEntry_Egg_Argent_Fertilized_Electric_C</v>
      </c>
      <c r="J535" s="99" t="str">
        <f t="shared" si="133"/>
        <v>OverrideNamedEngramEntries=(EngramEntry_Egg_Argent_Fertilized_Electric_C,EngramHidden=true)</v>
      </c>
      <c r="K535" s="2"/>
    </row>
    <row r="536">
      <c r="A536" s="6"/>
      <c r="B536" s="6"/>
      <c r="C536" s="4">
        <f t="shared" si="129"/>
        <v>20</v>
      </c>
      <c r="D536" s="4" t="str">
        <f t="shared" si="130"/>
        <v>PrimalItemConsumable_Egg</v>
      </c>
      <c r="E536" s="22" t="s">
        <v>3196</v>
      </c>
      <c r="F536" s="22" t="s">
        <v>3197</v>
      </c>
      <c r="G536" s="23" t="str">
        <f t="shared" si="131"/>
        <v>cheat gfi PrimalItemConsumable_Egg_Argent_Fertilized_Fabled_C 1 100 0</v>
      </c>
      <c r="H536" s="22" t="s">
        <v>3198</v>
      </c>
      <c r="I536" s="71" t="str">
        <f t="shared" si="132"/>
        <v>EngramEntry_Egg_Argent_Fertilized_Fabled_C</v>
      </c>
      <c r="J536" s="98" t="str">
        <f t="shared" si="133"/>
        <v>OverrideNamedEngramEntries=(EngramEntry_Egg_Argent_Fertilized_Fabled_C,EngramHidden=true)</v>
      </c>
      <c r="K536" s="2"/>
    </row>
    <row r="537">
      <c r="A537" s="6"/>
      <c r="B537" s="6"/>
      <c r="C537" s="4">
        <f t="shared" si="129"/>
        <v>20</v>
      </c>
      <c r="D537" s="4" t="str">
        <f t="shared" si="130"/>
        <v>PrimalItemConsumable_Egg</v>
      </c>
      <c r="E537" s="20" t="s">
        <v>3199</v>
      </c>
      <c r="F537" s="20" t="s">
        <v>3200</v>
      </c>
      <c r="G537" s="21" t="str">
        <f t="shared" si="131"/>
        <v>cheat gfi PrimalItemConsumable_Egg_Argent_Fertilized_Fairy_C 1 100 0</v>
      </c>
      <c r="H537" s="20" t="s">
        <v>3201</v>
      </c>
      <c r="I537" s="70" t="str">
        <f t="shared" si="132"/>
        <v>EngramEntry_Egg_Argent_Fertilized_Fairy_C</v>
      </c>
      <c r="J537" s="99" t="str">
        <f t="shared" si="133"/>
        <v>OverrideNamedEngramEntries=(EngramEntry_Egg_Argent_Fertilized_Fairy_C,EngramHidden=true)</v>
      </c>
      <c r="K537" s="2"/>
    </row>
    <row r="538">
      <c r="A538" s="6"/>
      <c r="B538" s="6"/>
      <c r="C538" s="4">
        <f t="shared" si="129"/>
        <v>20</v>
      </c>
      <c r="D538" s="4" t="str">
        <f t="shared" si="130"/>
        <v>PrimalItemConsumable_Egg</v>
      </c>
      <c r="E538" s="22" t="s">
        <v>3202</v>
      </c>
      <c r="F538" s="22" t="s">
        <v>3203</v>
      </c>
      <c r="G538" s="23" t="str">
        <f t="shared" si="131"/>
        <v>cheat gfi PrimalItemConsumable_Egg_Argent_Fertilized_Mythic_C 1 100 0</v>
      </c>
      <c r="H538" s="22" t="s">
        <v>3204</v>
      </c>
      <c r="I538" s="71" t="str">
        <f t="shared" si="132"/>
        <v>EngramEntry_Egg_Argent_Fertilized_Mythic_C</v>
      </c>
      <c r="J538" s="98" t="str">
        <f t="shared" si="133"/>
        <v>OverrideNamedEngramEntries=(EngramEntry_Egg_Argent_Fertilized_Mythic_C,EngramHidden=true)</v>
      </c>
      <c r="K538" s="2"/>
    </row>
    <row r="539">
      <c r="A539" s="6"/>
      <c r="B539" s="6"/>
      <c r="C539" s="4">
        <f t="shared" si="129"/>
        <v>20</v>
      </c>
      <c r="D539" s="4" t="str">
        <f t="shared" si="130"/>
        <v>PrimalItemConsumable_Egg</v>
      </c>
      <c r="E539" s="20" t="s">
        <v>3205</v>
      </c>
      <c r="F539" s="20" t="s">
        <v>3206</v>
      </c>
      <c r="G539" s="21" t="str">
        <f t="shared" si="131"/>
        <v>cheat gfi PrimalItemConsumable_Egg_Arthro_Fertilized_Alpha_C 1 100 0</v>
      </c>
      <c r="H539" s="20" t="s">
        <v>3207</v>
      </c>
      <c r="I539" s="70" t="str">
        <f t="shared" si="132"/>
        <v>EngramEntry_Egg_Arthro_Fertilized_Alpha_C</v>
      </c>
      <c r="J539" s="99" t="str">
        <f t="shared" si="133"/>
        <v>OverrideNamedEngramEntries=(EngramEntry_Egg_Arthro_Fertilized_Alpha_C,EngramHidden=true)</v>
      </c>
      <c r="K539" s="2"/>
    </row>
    <row r="540">
      <c r="A540" s="6"/>
      <c r="B540" s="6"/>
      <c r="C540" s="4">
        <f t="shared" si="129"/>
        <v>20</v>
      </c>
      <c r="D540" s="4" t="str">
        <f t="shared" si="130"/>
        <v>PrimalItemConsumable_Egg</v>
      </c>
      <c r="E540" s="22" t="s">
        <v>3208</v>
      </c>
      <c r="F540" s="22" t="s">
        <v>3209</v>
      </c>
      <c r="G540" s="23" t="str">
        <f t="shared" si="131"/>
        <v>cheat gfi PrimalItemConsumable_Egg_Arthro_Fertilized_Beta_C 1 100 0</v>
      </c>
      <c r="H540" s="22" t="s">
        <v>3210</v>
      </c>
      <c r="I540" s="71" t="str">
        <f t="shared" si="132"/>
        <v>EngramEntry_Egg_Arthro_Fertilized_Beta_C</v>
      </c>
      <c r="J540" s="98" t="str">
        <f t="shared" si="133"/>
        <v>OverrideNamedEngramEntries=(EngramEntry_Egg_Arthro_Fertilized_Beta_C,EngramHidden=true)</v>
      </c>
      <c r="K540" s="2"/>
    </row>
    <row r="541">
      <c r="A541" s="6"/>
      <c r="B541" s="6"/>
      <c r="C541" s="4">
        <f t="shared" si="129"/>
        <v>20</v>
      </c>
      <c r="D541" s="4" t="str">
        <f t="shared" si="130"/>
        <v>PrimalItemConsumable_Egg</v>
      </c>
      <c r="E541" s="20" t="s">
        <v>3211</v>
      </c>
      <c r="F541" s="20" t="s">
        <v>3212</v>
      </c>
      <c r="G541" s="21" t="str">
        <f t="shared" si="131"/>
        <v>cheat gfi PrimalItemConsumable_Egg_Arthro_Fertilized_Shadow_C 1 100 0</v>
      </c>
      <c r="H541" s="20" t="s">
        <v>3213</v>
      </c>
      <c r="I541" s="70" t="str">
        <f t="shared" si="132"/>
        <v>EngramEntry_Egg_Arthro_Fertilized_Shadow_C</v>
      </c>
      <c r="J541" s="99" t="str">
        <f t="shared" si="133"/>
        <v>OverrideNamedEngramEntries=(EngramEntry_Egg_Arthro_Fertilized_Shadow_C,EngramHidden=true)</v>
      </c>
      <c r="K541" s="2"/>
    </row>
    <row r="542">
      <c r="A542" s="6"/>
      <c r="B542" s="6"/>
      <c r="C542" s="4">
        <f t="shared" si="129"/>
        <v>20</v>
      </c>
      <c r="D542" s="4" t="str">
        <f t="shared" si="130"/>
        <v>PrimalItemConsumable_Egg</v>
      </c>
      <c r="E542" s="22" t="s">
        <v>3214</v>
      </c>
      <c r="F542" s="22" t="s">
        <v>3215</v>
      </c>
      <c r="G542" s="23" t="str">
        <f t="shared" si="131"/>
        <v>cheat gfi PrimalItemConsumable_Egg_Baryonyx_Fertilized_Alpha_C 1 100 0</v>
      </c>
      <c r="H542" s="22" t="s">
        <v>3216</v>
      </c>
      <c r="I542" s="71" t="str">
        <f t="shared" si="132"/>
        <v>EngramEntry_Egg_Baryonyx_Fertilized_Alpha_C</v>
      </c>
      <c r="J542" s="98" t="str">
        <f t="shared" si="133"/>
        <v>OverrideNamedEngramEntries=(EngramEntry_Egg_Baryonyx_Fertilized_Alpha_C,EngramHidden=true)</v>
      </c>
      <c r="K542" s="2"/>
    </row>
    <row r="543">
      <c r="A543" s="6"/>
      <c r="B543" s="6"/>
      <c r="C543" s="4">
        <f t="shared" si="129"/>
        <v>20</v>
      </c>
      <c r="D543" s="4" t="str">
        <f t="shared" si="130"/>
        <v>PrimalItemConsumable_Egg</v>
      </c>
      <c r="E543" s="20" t="s">
        <v>3217</v>
      </c>
      <c r="F543" s="20" t="s">
        <v>3218</v>
      </c>
      <c r="G543" s="21" t="str">
        <f t="shared" si="131"/>
        <v>cheat gfi PrimalItemConsumable_Egg_Baryonyx_Fertilized_Beta_C 1 100 0</v>
      </c>
      <c r="H543" s="20" t="s">
        <v>3219</v>
      </c>
      <c r="I543" s="70" t="str">
        <f t="shared" si="132"/>
        <v>EngramEntry_Egg_Baryonyx_Fertilized_Beta_C</v>
      </c>
      <c r="J543" s="99" t="str">
        <f t="shared" si="133"/>
        <v>OverrideNamedEngramEntries=(EngramEntry_Egg_Baryonyx_Fertilized_Beta_C,EngramHidden=true)</v>
      </c>
      <c r="K543" s="2"/>
    </row>
    <row r="544">
      <c r="A544" s="6"/>
      <c r="B544" s="6"/>
      <c r="C544" s="4">
        <f t="shared" si="129"/>
        <v>20</v>
      </c>
      <c r="D544" s="4" t="str">
        <f t="shared" si="130"/>
        <v>PrimalItemConsumable_Egg</v>
      </c>
      <c r="E544" s="22" t="s">
        <v>3220</v>
      </c>
      <c r="F544" s="22" t="s">
        <v>3221</v>
      </c>
      <c r="G544" s="23" t="str">
        <f t="shared" si="131"/>
        <v>cheat gfi PrimalItemConsumable_Egg_Baryonyx_Fertilized_Hydro_C 1 100 0</v>
      </c>
      <c r="H544" s="22" t="s">
        <v>3222</v>
      </c>
      <c r="I544" s="71" t="str">
        <f t="shared" si="132"/>
        <v>EngramEntry_Egg_Baryonyx_Fertilized_Hydro_C</v>
      </c>
      <c r="J544" s="98" t="str">
        <f t="shared" si="133"/>
        <v>OverrideNamedEngramEntries=(EngramEntry_Egg_Baryonyx_Fertilized_Hydro_C,EngramHidden=true)</v>
      </c>
      <c r="K544" s="2"/>
    </row>
    <row r="545">
      <c r="A545" s="6"/>
      <c r="B545" s="6"/>
      <c r="C545" s="4">
        <f t="shared" si="129"/>
        <v>20</v>
      </c>
      <c r="D545" s="4" t="str">
        <f t="shared" si="130"/>
        <v>PrimalItemConsumable_Egg</v>
      </c>
      <c r="E545" s="20" t="s">
        <v>3223</v>
      </c>
      <c r="F545" s="20" t="s">
        <v>3224</v>
      </c>
      <c r="G545" s="21" t="str">
        <f t="shared" si="131"/>
        <v>cheat gfi PrimalItemConsumable_Egg_Baryonyx_Fertilized_Legendary_C 1 100 0</v>
      </c>
      <c r="H545" s="20" t="s">
        <v>3225</v>
      </c>
      <c r="I545" s="70" t="str">
        <f t="shared" si="132"/>
        <v>EngramEntry_Egg_Baryonyx_Fertilized_Legendary_C</v>
      </c>
      <c r="J545" s="99" t="str">
        <f t="shared" si="133"/>
        <v>OverrideNamedEngramEntries=(EngramEntry_Egg_Baryonyx_Fertilized_Legendary_C,EngramHidden=true)</v>
      </c>
      <c r="K545" s="2"/>
    </row>
    <row r="546">
      <c r="A546" s="6"/>
      <c r="B546" s="6"/>
      <c r="C546" s="4">
        <f t="shared" si="129"/>
        <v>20</v>
      </c>
      <c r="D546" s="4" t="str">
        <f t="shared" si="130"/>
        <v>PrimalItemConsumable_Egg</v>
      </c>
      <c r="E546" s="22" t="s">
        <v>3226</v>
      </c>
      <c r="F546" s="22" t="s">
        <v>3227</v>
      </c>
      <c r="G546" s="23" t="str">
        <f t="shared" si="131"/>
        <v>cheat gfi PrimalItemConsumable_Egg_Bronto_Fertilized_Alpha_C 1 100 0</v>
      </c>
      <c r="H546" s="22" t="s">
        <v>3228</v>
      </c>
      <c r="I546" s="71" t="str">
        <f t="shared" si="132"/>
        <v>EngramEntry_Egg_Bronto_Fertilized_Alpha_C</v>
      </c>
      <c r="J546" s="98" t="str">
        <f t="shared" si="133"/>
        <v>OverrideNamedEngramEntries=(EngramEntry_Egg_Bronto_Fertilized_Alpha_C,EngramHidden=true)</v>
      </c>
      <c r="K546" s="2"/>
    </row>
    <row r="547">
      <c r="A547" s="6"/>
      <c r="B547" s="6"/>
      <c r="C547" s="4">
        <f t="shared" si="129"/>
        <v>20</v>
      </c>
      <c r="D547" s="4" t="str">
        <f t="shared" si="130"/>
        <v>PrimalItemConsumable_Egg</v>
      </c>
      <c r="E547" s="20" t="s">
        <v>3229</v>
      </c>
      <c r="F547" s="20" t="s">
        <v>3230</v>
      </c>
      <c r="G547" s="21" t="str">
        <f t="shared" si="131"/>
        <v>cheat gfi PrimalItemConsumable_Egg_Bronto_Fertilized_Beta_C 1 100 0</v>
      </c>
      <c r="H547" s="20" t="s">
        <v>3231</v>
      </c>
      <c r="I547" s="70" t="str">
        <f t="shared" si="132"/>
        <v>EngramEntry_Egg_Bronto_Fertilized_Beta_C</v>
      </c>
      <c r="J547" s="99" t="str">
        <f t="shared" si="133"/>
        <v>OverrideNamedEngramEntries=(EngramEntry_Egg_Bronto_Fertilized_Beta_C,EngramHidden=true)</v>
      </c>
      <c r="K547" s="2"/>
    </row>
    <row r="548">
      <c r="A548" s="6"/>
      <c r="B548" s="6"/>
      <c r="C548" s="4">
        <f t="shared" si="129"/>
        <v>20</v>
      </c>
      <c r="D548" s="4" t="str">
        <f t="shared" si="130"/>
        <v>PrimalItemConsumable_Egg</v>
      </c>
      <c r="E548" s="22" t="s">
        <v>3232</v>
      </c>
      <c r="F548" s="22" t="s">
        <v>3233</v>
      </c>
      <c r="G548" s="23" t="str">
        <f t="shared" si="131"/>
        <v>cheat gfi PrimalItemConsumable_Egg_Bronto_Fertilized_Fabled_C 1 100 0</v>
      </c>
      <c r="H548" s="22" t="s">
        <v>3234</v>
      </c>
      <c r="I548" s="71" t="str">
        <f t="shared" si="132"/>
        <v>EngramEntry_Egg_Bronto_Fertilized_Fabled_C</v>
      </c>
      <c r="J548" s="98" t="str">
        <f t="shared" si="133"/>
        <v>OverrideNamedEngramEntries=(EngramEntry_Egg_Bronto_Fertilized_Fabled_C,EngramHidden=true)</v>
      </c>
      <c r="K548" s="2"/>
    </row>
    <row r="549">
      <c r="A549" s="6"/>
      <c r="B549" s="6"/>
      <c r="C549" s="4">
        <f t="shared" si="129"/>
        <v>20</v>
      </c>
      <c r="D549" s="4" t="str">
        <f t="shared" si="130"/>
        <v>PrimalItemConsumable_Egg</v>
      </c>
      <c r="E549" s="20" t="s">
        <v>3235</v>
      </c>
      <c r="F549" s="20" t="s">
        <v>3236</v>
      </c>
      <c r="G549" s="21" t="str">
        <f t="shared" si="131"/>
        <v>cheat gfi PrimalItemConsumable_Egg_Bronto_Fertilized_Mythic_C 1 100 0</v>
      </c>
      <c r="H549" s="20" t="s">
        <v>3237</v>
      </c>
      <c r="I549" s="70" t="str">
        <f t="shared" si="132"/>
        <v>EngramEntry_Egg_Bronto_Fertilized_Mythic_C</v>
      </c>
      <c r="J549" s="99" t="str">
        <f t="shared" si="133"/>
        <v>OverrideNamedEngramEntries=(EngramEntry_Egg_Bronto_Fertilized_Mythic_C,EngramHidden=true)</v>
      </c>
      <c r="K549" s="2"/>
    </row>
    <row r="550">
      <c r="A550" s="6"/>
      <c r="B550" s="6"/>
      <c r="C550" s="4">
        <f t="shared" si="129"/>
        <v>20</v>
      </c>
      <c r="D550" s="4" t="str">
        <f t="shared" si="130"/>
        <v>PrimalItemConsumable_Egg</v>
      </c>
      <c r="E550" s="22" t="s">
        <v>3238</v>
      </c>
      <c r="F550" s="22" t="s">
        <v>3239</v>
      </c>
      <c r="G550" s="23" t="str">
        <f t="shared" si="131"/>
        <v>cheat gfi PrimalItemConsumable_Egg_Broodmother_Fertilized_Shadow_C 1 100 0</v>
      </c>
      <c r="H550" s="22" t="s">
        <v>3240</v>
      </c>
      <c r="I550" s="71" t="str">
        <f t="shared" si="132"/>
        <v>EngramEntry_Egg_Broodmother_Fertilized_Shadow_C</v>
      </c>
      <c r="J550" s="98" t="str">
        <f t="shared" si="133"/>
        <v>OverrideNamedEngramEntries=(EngramEntry_Egg_Broodmother_Fertilized_Shadow_C,EngramHidden=true)</v>
      </c>
      <c r="K550" s="2"/>
    </row>
    <row r="551">
      <c r="A551" s="6"/>
      <c r="B551" s="6"/>
      <c r="C551" s="4">
        <f t="shared" si="129"/>
        <v>20</v>
      </c>
      <c r="D551" s="4" t="str">
        <f t="shared" si="130"/>
        <v>PrimalItemConsumable_Egg</v>
      </c>
      <c r="E551" s="20" t="s">
        <v>3241</v>
      </c>
      <c r="F551" s="20" t="s">
        <v>3242</v>
      </c>
      <c r="G551" s="21" t="str">
        <f t="shared" si="131"/>
        <v>cheat gfi PrimalItemConsumable_Egg_Carcha_Fertilized_Alpha_C 1 100 0</v>
      </c>
      <c r="H551" s="20" t="s">
        <v>3243</v>
      </c>
      <c r="I551" s="70" t="str">
        <f t="shared" si="132"/>
        <v>EngramEntry_Egg_Carcha_Fertilized_Alpha_C</v>
      </c>
      <c r="J551" s="99" t="str">
        <f t="shared" si="133"/>
        <v>OverrideNamedEngramEntries=(EngramEntry_Egg_Carcha_Fertilized_Alpha_C,EngramHidden=true)</v>
      </c>
      <c r="K551" s="2"/>
    </row>
    <row r="552">
      <c r="A552" s="6"/>
      <c r="B552" s="6"/>
      <c r="C552" s="4">
        <f t="shared" si="129"/>
        <v>20</v>
      </c>
      <c r="D552" s="4" t="str">
        <f t="shared" si="130"/>
        <v>PrimalItemConsumable_Egg</v>
      </c>
      <c r="E552" s="22" t="s">
        <v>3244</v>
      </c>
      <c r="F552" s="22" t="s">
        <v>3245</v>
      </c>
      <c r="G552" s="23" t="str">
        <f t="shared" si="131"/>
        <v>cheat gfi PrimalItemConsumable_Egg_Carcha_Fertilized_Beta_C 1 100 0</v>
      </c>
      <c r="H552" s="22" t="s">
        <v>3246</v>
      </c>
      <c r="I552" s="71" t="str">
        <f t="shared" si="132"/>
        <v>EngramEntry_Egg_Carcha_Fertilized_Beta_C</v>
      </c>
      <c r="J552" s="98" t="str">
        <f t="shared" si="133"/>
        <v>OverrideNamedEngramEntries=(EngramEntry_Egg_Carcha_Fertilized_Beta_C,EngramHidden=true)</v>
      </c>
      <c r="K552" s="2"/>
    </row>
    <row r="553">
      <c r="A553" s="6"/>
      <c r="B553" s="6"/>
      <c r="C553" s="4">
        <f t="shared" si="129"/>
        <v>20</v>
      </c>
      <c r="D553" s="4" t="str">
        <f t="shared" si="130"/>
        <v>PrimalItemConsumable_Egg</v>
      </c>
      <c r="E553" s="20" t="s">
        <v>3247</v>
      </c>
      <c r="F553" s="20" t="s">
        <v>3248</v>
      </c>
      <c r="G553" s="21" t="str">
        <f t="shared" si="131"/>
        <v>cheat gfi PrimalItemConsumable_Egg_Carcha_Fertilized_Legendary_C 1 100 0</v>
      </c>
      <c r="H553" s="20" t="s">
        <v>3249</v>
      </c>
      <c r="I553" s="70" t="str">
        <f t="shared" si="132"/>
        <v>EngramEntry_Egg_Carcha_Fertilized_Legendary_C</v>
      </c>
      <c r="J553" s="99" t="str">
        <f t="shared" si="133"/>
        <v>OverrideNamedEngramEntries=(EngramEntry_Egg_Carcha_Fertilized_Legendary_C,EngramHidden=true)</v>
      </c>
      <c r="K553" s="2"/>
    </row>
    <row r="554">
      <c r="A554" s="6"/>
      <c r="B554" s="6"/>
      <c r="C554" s="4">
        <f t="shared" si="129"/>
        <v>20</v>
      </c>
      <c r="D554" s="4" t="str">
        <f t="shared" si="130"/>
        <v>PrimalItemConsumable_Egg</v>
      </c>
      <c r="E554" s="22" t="s">
        <v>3250</v>
      </c>
      <c r="F554" s="22" t="s">
        <v>3251</v>
      </c>
      <c r="G554" s="23" t="str">
        <f t="shared" si="131"/>
        <v>cheat gfi PrimalItemConsumable_Egg_Carno_Fertilized_Alpha_C 1 100 0</v>
      </c>
      <c r="H554" s="22" t="s">
        <v>3252</v>
      </c>
      <c r="I554" s="71" t="str">
        <f t="shared" si="132"/>
        <v>EngramEntry_Egg_Carno_Fertilized_Alpha_C</v>
      </c>
      <c r="J554" s="98" t="str">
        <f t="shared" si="133"/>
        <v>OverrideNamedEngramEntries=(EngramEntry_Egg_Carno_Fertilized_Alpha_C,EngramHidden=true)</v>
      </c>
      <c r="K554" s="2"/>
    </row>
    <row r="555">
      <c r="A555" s="6"/>
      <c r="B555" s="6"/>
      <c r="C555" s="4">
        <f t="shared" si="129"/>
        <v>20</v>
      </c>
      <c r="D555" s="4" t="str">
        <f t="shared" si="130"/>
        <v>PrimalItemConsumable_Egg</v>
      </c>
      <c r="E555" s="20" t="s">
        <v>3253</v>
      </c>
      <c r="F555" s="20" t="s">
        <v>3254</v>
      </c>
      <c r="G555" s="21" t="str">
        <f t="shared" si="131"/>
        <v>cheat gfi PrimalItemConsumable_Egg_Carno_Fertilized_Beta_C 1 100 0</v>
      </c>
      <c r="H555" s="20" t="s">
        <v>3255</v>
      </c>
      <c r="I555" s="70" t="str">
        <f t="shared" si="132"/>
        <v>EngramEntry_Egg_Carno_Fertilized_Beta_C</v>
      </c>
      <c r="J555" s="99" t="str">
        <f t="shared" si="133"/>
        <v>OverrideNamedEngramEntries=(EngramEntry_Egg_Carno_Fertilized_Beta_C,EngramHidden=true)</v>
      </c>
      <c r="K555" s="2"/>
    </row>
    <row r="556">
      <c r="A556" s="6"/>
      <c r="B556" s="6"/>
      <c r="C556" s="4">
        <f t="shared" si="129"/>
        <v>20</v>
      </c>
      <c r="D556" s="4" t="str">
        <f t="shared" si="130"/>
        <v>PrimalItemConsumable_Egg</v>
      </c>
      <c r="E556" s="22" t="s">
        <v>3256</v>
      </c>
      <c r="F556" s="22" t="s">
        <v>3257</v>
      </c>
      <c r="G556" s="23" t="str">
        <f t="shared" si="131"/>
        <v>cheat gfi PrimalItemConsumable_Egg_Carno_Fertilized_Legendary_C 1 100 0</v>
      </c>
      <c r="H556" s="22" t="s">
        <v>3258</v>
      </c>
      <c r="I556" s="71" t="str">
        <f t="shared" si="132"/>
        <v>EngramEntry_Egg_Carno_Fertilized_Legendary_C</v>
      </c>
      <c r="J556" s="98" t="str">
        <f t="shared" si="133"/>
        <v>OverrideNamedEngramEntries=(EngramEntry_Egg_Carno_Fertilized_Legendary_C,EngramHidden=true)</v>
      </c>
      <c r="K556" s="2"/>
    </row>
    <row r="557">
      <c r="A557" s="6"/>
      <c r="B557" s="6"/>
      <c r="C557" s="4">
        <f t="shared" si="129"/>
        <v>20</v>
      </c>
      <c r="D557" s="4" t="str">
        <f t="shared" si="130"/>
        <v>PrimalItemConsumable_Egg</v>
      </c>
      <c r="E557" s="20" t="s">
        <v>3259</v>
      </c>
      <c r="F557" s="20" t="s">
        <v>3260</v>
      </c>
      <c r="G557" s="21" t="str">
        <f t="shared" si="131"/>
        <v>cheat gfi PrimalItemConsumable_Egg_Carno_Fertilized_Omega_C 1 100 0</v>
      </c>
      <c r="H557" s="20" t="s">
        <v>3261</v>
      </c>
      <c r="I557" s="70" t="str">
        <f t="shared" si="132"/>
        <v>EngramEntry_Egg_Carno_Fertilized_Omega_C</v>
      </c>
      <c r="J557" s="99" t="str">
        <f t="shared" si="133"/>
        <v>OverrideNamedEngramEntries=(EngramEntry_Egg_Carno_Fertilized_Omega_C,EngramHidden=true)</v>
      </c>
      <c r="K557" s="2"/>
    </row>
    <row r="558">
      <c r="A558" s="6"/>
      <c r="B558" s="6"/>
      <c r="C558" s="4">
        <f t="shared" si="129"/>
        <v>20</v>
      </c>
      <c r="D558" s="4" t="str">
        <f t="shared" si="130"/>
        <v>PrimalItemConsumable_Egg</v>
      </c>
      <c r="E558" s="22" t="s">
        <v>3262</v>
      </c>
      <c r="F558" s="22" t="s">
        <v>3263</v>
      </c>
      <c r="G558" s="23" t="str">
        <f t="shared" si="131"/>
        <v>cheat gfi PrimalItemConsumable_Egg_Compy_Fertilized_Alpha_C 1 100 0</v>
      </c>
      <c r="H558" s="22" t="s">
        <v>3264</v>
      </c>
      <c r="I558" s="71" t="str">
        <f t="shared" si="132"/>
        <v>EngramEntry_Egg_Compy_Fertilized_Alpha_C</v>
      </c>
      <c r="J558" s="98" t="str">
        <f t="shared" si="133"/>
        <v>OverrideNamedEngramEntries=(EngramEntry_Egg_Compy_Fertilized_Alpha_C,EngramHidden=true)</v>
      </c>
      <c r="K558" s="2"/>
    </row>
    <row r="559">
      <c r="A559" s="6"/>
      <c r="B559" s="6"/>
      <c r="C559" s="4">
        <f t="shared" si="129"/>
        <v>20</v>
      </c>
      <c r="D559" s="4" t="str">
        <f t="shared" si="130"/>
        <v>PrimalItemConsumable_Egg</v>
      </c>
      <c r="E559" s="20" t="s">
        <v>3265</v>
      </c>
      <c r="F559" s="20" t="s">
        <v>3266</v>
      </c>
      <c r="G559" s="21" t="str">
        <f t="shared" si="131"/>
        <v>cheat gfi PrimalItemConsumable_Egg_Compy_Fertilized_Beta_C 1 100 0</v>
      </c>
      <c r="H559" s="20" t="s">
        <v>3267</v>
      </c>
      <c r="I559" s="70" t="str">
        <f t="shared" si="132"/>
        <v>EngramEntry_Egg_Compy_Fertilized_Beta_C</v>
      </c>
      <c r="J559" s="99" t="str">
        <f t="shared" si="133"/>
        <v>OverrideNamedEngramEntries=(EngramEntry_Egg_Compy_Fertilized_Beta_C,EngramHidden=true)</v>
      </c>
      <c r="K559" s="2"/>
    </row>
    <row r="560">
      <c r="A560" s="6"/>
      <c r="B560" s="6"/>
      <c r="C560" s="4">
        <f t="shared" si="129"/>
        <v>20</v>
      </c>
      <c r="D560" s="4" t="str">
        <f t="shared" si="130"/>
        <v>PrimalItemConsumable_Egg</v>
      </c>
      <c r="E560" s="22" t="s">
        <v>3268</v>
      </c>
      <c r="F560" s="22" t="s">
        <v>3269</v>
      </c>
      <c r="G560" s="23" t="str">
        <f t="shared" si="131"/>
        <v>cheat gfi PrimalItemConsumable_Egg_Dilo_Fertilized_Alpha_C 1 100 0</v>
      </c>
      <c r="H560" s="22" t="s">
        <v>3270</v>
      </c>
      <c r="I560" s="71" t="str">
        <f t="shared" si="132"/>
        <v>EngramEntry_Egg_Dilo_Fertilized_Alpha_C</v>
      </c>
      <c r="J560" s="98" t="str">
        <f t="shared" si="133"/>
        <v>OverrideNamedEngramEntries=(EngramEntry_Egg_Dilo_Fertilized_Alpha_C,EngramHidden=true)</v>
      </c>
      <c r="K560" s="2"/>
    </row>
    <row r="561">
      <c r="A561" s="6"/>
      <c r="B561" s="6"/>
      <c r="C561" s="4">
        <f t="shared" si="129"/>
        <v>20</v>
      </c>
      <c r="D561" s="4" t="str">
        <f t="shared" si="130"/>
        <v>PrimalItemConsumable_Egg</v>
      </c>
      <c r="E561" s="20" t="s">
        <v>3271</v>
      </c>
      <c r="F561" s="20" t="s">
        <v>3272</v>
      </c>
      <c r="G561" s="21" t="str">
        <f t="shared" si="131"/>
        <v>cheat gfi PrimalItemConsumable_Egg_Dilo_Fertilized_Beta_C 1 100 0</v>
      </c>
      <c r="H561" s="20" t="s">
        <v>3273</v>
      </c>
      <c r="I561" s="70" t="str">
        <f t="shared" si="132"/>
        <v>EngramEntry_Egg_Dilo_Fertilized_Beta_C</v>
      </c>
      <c r="J561" s="99" t="str">
        <f t="shared" si="133"/>
        <v>OverrideNamedEngramEntries=(EngramEntry_Egg_Dilo_Fertilized_Beta_C,EngramHidden=true)</v>
      </c>
      <c r="K561" s="2"/>
    </row>
    <row r="562">
      <c r="A562" s="6"/>
      <c r="B562" s="6"/>
      <c r="C562" s="4">
        <f t="shared" si="129"/>
        <v>20</v>
      </c>
      <c r="D562" s="4" t="str">
        <f t="shared" si="130"/>
        <v>PrimalItemConsumable_Egg</v>
      </c>
      <c r="E562" s="22" t="s">
        <v>3274</v>
      </c>
      <c r="F562" s="22" t="s">
        <v>3275</v>
      </c>
      <c r="G562" s="23" t="str">
        <f t="shared" si="131"/>
        <v>cheat gfi PrimalItemConsumable_Egg_Dilo_Fertilized_Demonic_C 1 100 0</v>
      </c>
      <c r="H562" s="22" t="s">
        <v>3276</v>
      </c>
      <c r="I562" s="71" t="str">
        <f t="shared" si="132"/>
        <v>EngramEntry_Egg_Dilo_Fertilized_Demonic_C</v>
      </c>
      <c r="J562" s="98" t="str">
        <f t="shared" si="133"/>
        <v>OverrideNamedEngramEntries=(EngramEntry_Egg_Dilo_Fertilized_Demonic_C,EngramHidden=true)</v>
      </c>
      <c r="K562" s="2"/>
    </row>
    <row r="563">
      <c r="A563" s="6"/>
      <c r="B563" s="6"/>
      <c r="C563" s="4">
        <f t="shared" si="129"/>
        <v>20</v>
      </c>
      <c r="D563" s="4" t="str">
        <f t="shared" si="130"/>
        <v>PrimalItemConsumable_Egg</v>
      </c>
      <c r="E563" s="20" t="s">
        <v>3277</v>
      </c>
      <c r="F563" s="20" t="s">
        <v>3278</v>
      </c>
      <c r="G563" s="21" t="str">
        <f t="shared" si="131"/>
        <v>cheat gfi PrimalItemConsumable_Egg_Dilo_Fertilized_Legendary_C 1 100 0</v>
      </c>
      <c r="H563" s="20" t="s">
        <v>3279</v>
      </c>
      <c r="I563" s="70" t="str">
        <f t="shared" si="132"/>
        <v>EngramEntry_Egg_Dilo_Fertilized_Legendary_C</v>
      </c>
      <c r="J563" s="99" t="str">
        <f t="shared" si="133"/>
        <v>OverrideNamedEngramEntries=(EngramEntry_Egg_Dilo_Fertilized_Legendary_C,EngramHidden=true)</v>
      </c>
      <c r="K563" s="2"/>
    </row>
    <row r="564">
      <c r="A564" s="6"/>
      <c r="B564" s="6"/>
      <c r="C564" s="4">
        <f t="shared" si="129"/>
        <v>20</v>
      </c>
      <c r="D564" s="4" t="str">
        <f t="shared" si="130"/>
        <v>PrimalItemConsumable_Egg</v>
      </c>
      <c r="E564" s="22" t="s">
        <v>3280</v>
      </c>
      <c r="F564" s="22" t="s">
        <v>3281</v>
      </c>
      <c r="G564" s="23" t="str">
        <f t="shared" si="131"/>
        <v>cheat gfi PrimalItemConsumable_Egg_Dimetrodon_Fertilized_Alpha_C 1 100 0</v>
      </c>
      <c r="H564" s="22" t="s">
        <v>3282</v>
      </c>
      <c r="I564" s="71" t="str">
        <f t="shared" si="132"/>
        <v>EngramEntry_Egg_Dimetrodon_Fertilized_Alpha_C</v>
      </c>
      <c r="J564" s="98" t="str">
        <f t="shared" si="133"/>
        <v>OverrideNamedEngramEntries=(EngramEntry_Egg_Dimetrodon_Fertilized_Alpha_C,EngramHidden=true)</v>
      </c>
      <c r="K564" s="2"/>
    </row>
    <row r="565">
      <c r="A565" s="6"/>
      <c r="B565" s="6"/>
      <c r="C565" s="4">
        <f t="shared" si="129"/>
        <v>20</v>
      </c>
      <c r="D565" s="4" t="str">
        <f t="shared" si="130"/>
        <v>PrimalItemConsumable_Egg</v>
      </c>
      <c r="E565" s="20" t="s">
        <v>3283</v>
      </c>
      <c r="F565" s="20" t="s">
        <v>3284</v>
      </c>
      <c r="G565" s="21" t="str">
        <f t="shared" si="131"/>
        <v>cheat gfi PrimalItemConsumable_Egg_Dimetrodon_Fertilized_Beta_C 1 100 0</v>
      </c>
      <c r="H565" s="20" t="s">
        <v>3285</v>
      </c>
      <c r="I565" s="70" t="str">
        <f t="shared" si="132"/>
        <v>EngramEntry_Egg_Dimetrodon_Fertilized_Beta_C</v>
      </c>
      <c r="J565" s="99" t="str">
        <f t="shared" si="133"/>
        <v>OverrideNamedEngramEntries=(EngramEntry_Egg_Dimetrodon_Fertilized_Beta_C,EngramHidden=true)</v>
      </c>
      <c r="K565" s="2"/>
    </row>
    <row r="566">
      <c r="A566" s="6"/>
      <c r="B566" s="6"/>
      <c r="C566" s="4">
        <f t="shared" si="129"/>
        <v>20</v>
      </c>
      <c r="D566" s="4" t="str">
        <f t="shared" si="130"/>
        <v>PrimalItemConsumable_Egg</v>
      </c>
      <c r="E566" s="22" t="s">
        <v>3286</v>
      </c>
      <c r="F566" s="22" t="s">
        <v>3287</v>
      </c>
      <c r="G566" s="23" t="str">
        <f t="shared" si="131"/>
        <v>cheat gfi PrimalItemConsumable_Egg_Dimorph_Fertilized_Alpha_C 1 100 0</v>
      </c>
      <c r="H566" s="22" t="s">
        <v>3288</v>
      </c>
      <c r="I566" s="71" t="str">
        <f t="shared" si="132"/>
        <v>EngramEntry_Egg_Dimorph_Fertilized_Alpha_C</v>
      </c>
      <c r="J566" s="98" t="str">
        <f t="shared" si="133"/>
        <v>OverrideNamedEngramEntries=(EngramEntry_Egg_Dimorph_Fertilized_Alpha_C,EngramHidden=true)</v>
      </c>
      <c r="K566" s="2"/>
    </row>
    <row r="567">
      <c r="A567" s="6"/>
      <c r="B567" s="6"/>
      <c r="C567" s="4">
        <f t="shared" si="129"/>
        <v>20</v>
      </c>
      <c r="D567" s="4" t="str">
        <f t="shared" si="130"/>
        <v>PrimalItemConsumable_Egg</v>
      </c>
      <c r="E567" s="20" t="s">
        <v>3289</v>
      </c>
      <c r="F567" s="20" t="s">
        <v>3290</v>
      </c>
      <c r="G567" s="21" t="str">
        <f t="shared" si="131"/>
        <v>cheat gfi PrimalItemConsumable_Egg_Dimorph_Fertilized_Beta_C 1 100 0</v>
      </c>
      <c r="H567" s="20" t="s">
        <v>3291</v>
      </c>
      <c r="I567" s="70" t="str">
        <f t="shared" si="132"/>
        <v>EngramEntry_Egg_Dimorph_Fertilized_Beta_C</v>
      </c>
      <c r="J567" s="99" t="str">
        <f t="shared" si="133"/>
        <v>OverrideNamedEngramEntries=(EngramEntry_Egg_Dimorph_Fertilized_Beta_C,EngramHidden=true)</v>
      </c>
      <c r="K567" s="2"/>
    </row>
    <row r="568">
      <c r="A568" s="6"/>
      <c r="B568" s="6"/>
      <c r="C568" s="4">
        <f t="shared" si="129"/>
        <v>20</v>
      </c>
      <c r="D568" s="4" t="str">
        <f t="shared" si="130"/>
        <v>PrimalItemConsumable_Egg</v>
      </c>
      <c r="E568" s="22" t="s">
        <v>3292</v>
      </c>
      <c r="F568" s="22" t="s">
        <v>3293</v>
      </c>
      <c r="G568" s="23" t="str">
        <f t="shared" si="131"/>
        <v>cheat gfi PrimalItemConsumable_Egg_Diplo_Fertilized_Alpha_C 1 100 0</v>
      </c>
      <c r="H568" s="22" t="s">
        <v>3294</v>
      </c>
      <c r="I568" s="71" t="str">
        <f t="shared" si="132"/>
        <v>EngramEntry_Egg_Diplo_Fertilized_Alpha_C</v>
      </c>
      <c r="J568" s="98" t="str">
        <f t="shared" si="133"/>
        <v>OverrideNamedEngramEntries=(EngramEntry_Egg_Diplo_Fertilized_Alpha_C,EngramHidden=true)</v>
      </c>
      <c r="K568" s="2"/>
    </row>
    <row r="569">
      <c r="A569" s="6"/>
      <c r="B569" s="6"/>
      <c r="C569" s="4">
        <f t="shared" si="129"/>
        <v>20</v>
      </c>
      <c r="D569" s="4" t="str">
        <f t="shared" si="130"/>
        <v>PrimalItemConsumable_Egg</v>
      </c>
      <c r="E569" s="20" t="s">
        <v>3295</v>
      </c>
      <c r="F569" s="20" t="s">
        <v>3296</v>
      </c>
      <c r="G569" s="21" t="str">
        <f t="shared" si="131"/>
        <v>cheat gfi PrimalItemConsumable_Egg_Diplo_Fertilized_Beta_C 1 100 0</v>
      </c>
      <c r="H569" s="20" t="s">
        <v>3297</v>
      </c>
      <c r="I569" s="70" t="str">
        <f t="shared" si="132"/>
        <v>EngramEntry_Egg_Diplo_Fertilized_Beta_C</v>
      </c>
      <c r="J569" s="99" t="str">
        <f t="shared" si="133"/>
        <v>OverrideNamedEngramEntries=(EngramEntry_Egg_Diplo_Fertilized_Beta_C,EngramHidden=true)</v>
      </c>
      <c r="K569" s="2"/>
    </row>
    <row r="570">
      <c r="A570" s="6"/>
      <c r="B570" s="6"/>
      <c r="C570" s="4">
        <f t="shared" si="129"/>
        <v>20</v>
      </c>
      <c r="D570" s="4" t="str">
        <f t="shared" si="130"/>
        <v>PrimalItemConsumable_Egg</v>
      </c>
      <c r="E570" s="22" t="s">
        <v>3298</v>
      </c>
      <c r="F570" s="22" t="s">
        <v>3299</v>
      </c>
      <c r="G570" s="23" t="str">
        <f t="shared" si="131"/>
        <v>cheat gfi PrimalItemConsumable_Egg_Dodo_Fertilized_Alpha_C 1 100 0</v>
      </c>
      <c r="H570" s="22" t="s">
        <v>3300</v>
      </c>
      <c r="I570" s="71" t="str">
        <f t="shared" si="132"/>
        <v>EngramEntry_Egg_Dodo_Fertilized_Alpha_C</v>
      </c>
      <c r="J570" s="98" t="str">
        <f t="shared" si="133"/>
        <v>OverrideNamedEngramEntries=(EngramEntry_Egg_Dodo_Fertilized_Alpha_C,EngramHidden=true)</v>
      </c>
      <c r="K570" s="2"/>
    </row>
    <row r="571">
      <c r="A571" s="6"/>
      <c r="B571" s="6"/>
      <c r="C571" s="4">
        <f t="shared" si="129"/>
        <v>20</v>
      </c>
      <c r="D571" s="4" t="str">
        <f t="shared" si="130"/>
        <v>PrimalItemConsumable_Egg</v>
      </c>
      <c r="E571" s="20" t="s">
        <v>3301</v>
      </c>
      <c r="F571" s="20" t="s">
        <v>3302</v>
      </c>
      <c r="G571" s="21" t="str">
        <f t="shared" si="131"/>
        <v>cheat gfi PrimalItemConsumable_Egg_Dodo_Fertilized_Beta_C 1 100 0</v>
      </c>
      <c r="H571" s="20" t="s">
        <v>3303</v>
      </c>
      <c r="I571" s="70" t="str">
        <f t="shared" si="132"/>
        <v>EngramEntry_Egg_Dodo_Fertilized_Beta_C</v>
      </c>
      <c r="J571" s="99" t="str">
        <f t="shared" si="133"/>
        <v>OverrideNamedEngramEntries=(EngramEntry_Egg_Dodo_Fertilized_Beta_C,EngramHidden=true)</v>
      </c>
      <c r="K571" s="2"/>
    </row>
    <row r="572">
      <c r="A572" s="6"/>
      <c r="B572" s="6"/>
      <c r="C572" s="4">
        <f t="shared" si="129"/>
        <v>20</v>
      </c>
      <c r="D572" s="4" t="str">
        <f t="shared" si="130"/>
        <v>PrimalItemConsumable_Egg</v>
      </c>
      <c r="E572" s="22" t="s">
        <v>3304</v>
      </c>
      <c r="F572" s="22" t="s">
        <v>3305</v>
      </c>
      <c r="G572" s="23" t="str">
        <f t="shared" si="131"/>
        <v>cheat gfi PrimalItemConsumable_Egg_Dodorex_Fertilized_Electric_C 1 100 0</v>
      </c>
      <c r="H572" s="22" t="s">
        <v>3306</v>
      </c>
      <c r="I572" s="71" t="str">
        <f t="shared" si="132"/>
        <v>EngramEntry_Egg_Dodorex_Fertilized_Electric_C</v>
      </c>
      <c r="J572" s="98" t="str">
        <f t="shared" si="133"/>
        <v>OverrideNamedEngramEntries=(EngramEntry_Egg_Dodorex_Fertilized_Electric_C,EngramHidden=true)</v>
      </c>
      <c r="K572" s="2"/>
    </row>
    <row r="573">
      <c r="A573" s="6"/>
      <c r="B573" s="6"/>
      <c r="C573" s="4">
        <f t="shared" si="129"/>
        <v>20</v>
      </c>
      <c r="D573" s="4" t="str">
        <f t="shared" si="130"/>
        <v>PrimalItemConsumable_Egg</v>
      </c>
      <c r="E573" s="20" t="s">
        <v>3307</v>
      </c>
      <c r="F573" s="20" t="s">
        <v>3308</v>
      </c>
      <c r="G573" s="21" t="str">
        <f t="shared" si="131"/>
        <v>cheat gfi PrimalItemConsumable_Egg_Dodorex_Fertilized_Volcanic_C 1 100 0</v>
      </c>
      <c r="H573" s="20" t="s">
        <v>3309</v>
      </c>
      <c r="I573" s="70" t="str">
        <f t="shared" si="132"/>
        <v>EngramEntry_Egg_Dodorex_Fertilized_Volcanic_C</v>
      </c>
      <c r="J573" s="99" t="str">
        <f t="shared" si="133"/>
        <v>OverrideNamedEngramEntries=(EngramEntry_Egg_Dodorex_Fertilized_Volcanic_C,EngramHidden=true)</v>
      </c>
      <c r="K573" s="2"/>
    </row>
    <row r="574">
      <c r="A574" s="6"/>
      <c r="B574" s="6"/>
      <c r="C574" s="4">
        <f t="shared" si="129"/>
        <v>20</v>
      </c>
      <c r="D574" s="4" t="str">
        <f t="shared" si="130"/>
        <v>PrimalItemConsumable_Egg</v>
      </c>
      <c r="E574" s="22" t="s">
        <v>3310</v>
      </c>
      <c r="F574" s="22" t="s">
        <v>3311</v>
      </c>
      <c r="G574" s="23" t="str">
        <f t="shared" si="131"/>
        <v>cheat gfi PrimalItemConsumable_Egg_Fertilized_ElectricDragon_C 1 100 0</v>
      </c>
      <c r="H574" s="22" t="s">
        <v>3312</v>
      </c>
      <c r="I574" s="71" t="str">
        <f t="shared" si="132"/>
        <v>EngramEntry_Egg_Fertilized_ElectricDragon_C</v>
      </c>
      <c r="J574" s="98" t="str">
        <f t="shared" si="133"/>
        <v>OverrideNamedEngramEntries=(EngramEntry_Egg_Fertilized_ElectricDragon_C,EngramHidden=true)</v>
      </c>
      <c r="K574" s="2"/>
    </row>
    <row r="575">
      <c r="A575" s="6"/>
      <c r="B575" s="6"/>
      <c r="C575" s="4">
        <f t="shared" si="129"/>
        <v>20</v>
      </c>
      <c r="D575" s="4" t="str">
        <f t="shared" si="130"/>
        <v>PrimalItemConsumable_Egg</v>
      </c>
      <c r="E575" s="20" t="s">
        <v>3313</v>
      </c>
      <c r="F575" s="20" t="s">
        <v>3314</v>
      </c>
      <c r="G575" s="21" t="str">
        <f t="shared" si="131"/>
        <v>cheat gfi PrimalItemConsumable_Egg_Fertilized_VolcanicDragon_C 1 100 0</v>
      </c>
      <c r="H575" s="20" t="s">
        <v>3315</v>
      </c>
      <c r="I575" s="70" t="str">
        <f t="shared" si="132"/>
        <v>EngramEntry_Egg_Fertilized_VolcanicDragon_C</v>
      </c>
      <c r="J575" s="99" t="str">
        <f t="shared" si="133"/>
        <v>OverrideNamedEngramEntries=(EngramEntry_Egg_Fertilized_VolcanicDragon_C,EngramHidden=true)</v>
      </c>
      <c r="K575" s="2"/>
    </row>
    <row r="576">
      <c r="A576" s="6"/>
      <c r="B576" s="6"/>
      <c r="C576" s="4">
        <f t="shared" si="129"/>
        <v>20</v>
      </c>
      <c r="D576" s="4" t="str">
        <f t="shared" si="130"/>
        <v>PrimalItemConsumable_Egg</v>
      </c>
      <c r="E576" s="22" t="s">
        <v>3316</v>
      </c>
      <c r="F576" s="22" t="s">
        <v>3317</v>
      </c>
      <c r="G576" s="23" t="str">
        <f t="shared" si="131"/>
        <v>cheat gfi PrimalItemConsumable_Egg_Galli_Fertilized_Alpha_C 1 100 0</v>
      </c>
      <c r="H576" s="22" t="s">
        <v>3318</v>
      </c>
      <c r="I576" s="71" t="str">
        <f t="shared" si="132"/>
        <v>EngramEntry_Egg_Galli_Fertilized_Alpha_C</v>
      </c>
      <c r="J576" s="98" t="str">
        <f t="shared" si="133"/>
        <v>OverrideNamedEngramEntries=(EngramEntry_Egg_Galli_Fertilized_Alpha_C,EngramHidden=true)</v>
      </c>
      <c r="K576" s="2"/>
    </row>
    <row r="577">
      <c r="A577" s="6"/>
      <c r="B577" s="6"/>
      <c r="C577" s="4">
        <f t="shared" si="129"/>
        <v>20</v>
      </c>
      <c r="D577" s="4" t="str">
        <f t="shared" si="130"/>
        <v>PrimalItemConsumable_Egg</v>
      </c>
      <c r="E577" s="20" t="s">
        <v>3319</v>
      </c>
      <c r="F577" s="20" t="s">
        <v>3320</v>
      </c>
      <c r="G577" s="21" t="str">
        <f t="shared" si="131"/>
        <v>cheat gfi PrimalItemConsumable_Egg_Galli_Fertilized_Beta_C 1 100 0</v>
      </c>
      <c r="H577" s="20" t="s">
        <v>3321</v>
      </c>
      <c r="I577" s="70" t="str">
        <f t="shared" si="132"/>
        <v>EngramEntry_Egg_Galli_Fertilized_Beta_C</v>
      </c>
      <c r="J577" s="99" t="str">
        <f t="shared" si="133"/>
        <v>OverrideNamedEngramEntries=(EngramEntry_Egg_Galli_Fertilized_Beta_C,EngramHidden=true)</v>
      </c>
      <c r="K577" s="2"/>
    </row>
    <row r="578">
      <c r="A578" s="6"/>
      <c r="B578" s="6"/>
      <c r="C578" s="4">
        <f t="shared" si="129"/>
        <v>20</v>
      </c>
      <c r="D578" s="4" t="str">
        <f t="shared" si="130"/>
        <v>PrimalItemConsumable_Egg</v>
      </c>
      <c r="E578" s="22" t="s">
        <v>3322</v>
      </c>
      <c r="F578" s="22" t="s">
        <v>3323</v>
      </c>
      <c r="G578" s="23" t="str">
        <f t="shared" si="131"/>
        <v>cheat gfi PrimalItemConsumable_Egg_Gigant_Fertilized_Alpha_C 1 100 0</v>
      </c>
      <c r="H578" s="22" t="s">
        <v>3324</v>
      </c>
      <c r="I578" s="71" t="str">
        <f t="shared" si="132"/>
        <v>EngramEntry_Egg_Gigant_Fertilized_Alpha_C</v>
      </c>
      <c r="J578" s="98" t="str">
        <f t="shared" si="133"/>
        <v>OverrideNamedEngramEntries=(EngramEntry_Egg_Gigant_Fertilized_Alpha_C,EngramHidden=true)</v>
      </c>
      <c r="K578" s="2"/>
    </row>
    <row r="579">
      <c r="A579" s="6"/>
      <c r="B579" s="6"/>
      <c r="C579" s="4">
        <f t="shared" si="129"/>
        <v>20</v>
      </c>
      <c r="D579" s="4" t="str">
        <f t="shared" si="130"/>
        <v>PrimalItemConsumable_Egg</v>
      </c>
      <c r="E579" s="20" t="s">
        <v>3325</v>
      </c>
      <c r="F579" s="20" t="s">
        <v>3326</v>
      </c>
      <c r="G579" s="21" t="str">
        <f t="shared" si="131"/>
        <v>cheat gfi PrimalItemConsumable_Egg_Gigant_Fertilized_Beta_C 1 100 0</v>
      </c>
      <c r="H579" s="20" t="s">
        <v>3327</v>
      </c>
      <c r="I579" s="70" t="str">
        <f t="shared" si="132"/>
        <v>EngramEntry_Egg_Gigant_Fertilized_Beta_C</v>
      </c>
      <c r="J579" s="99" t="str">
        <f t="shared" si="133"/>
        <v>OverrideNamedEngramEntries=(EngramEntry_Egg_Gigant_Fertilized_Beta_C,EngramHidden=true)</v>
      </c>
      <c r="K579" s="2"/>
    </row>
    <row r="580">
      <c r="A580" s="6"/>
      <c r="B580" s="6"/>
      <c r="C580" s="4">
        <f t="shared" si="129"/>
        <v>20</v>
      </c>
      <c r="D580" s="4" t="str">
        <f t="shared" si="130"/>
        <v>PrimalItemConsumable_Egg</v>
      </c>
      <c r="E580" s="22" t="s">
        <v>3328</v>
      </c>
      <c r="F580" s="22" t="s">
        <v>3329</v>
      </c>
      <c r="G580" s="23" t="str">
        <f t="shared" si="131"/>
        <v>cheat gfi PrimalItemConsumable_Egg_Griffin_Fertilized_Electric_C 1 100 0</v>
      </c>
      <c r="H580" s="22" t="s">
        <v>3330</v>
      </c>
      <c r="I580" s="71" t="str">
        <f t="shared" si="132"/>
        <v>EngramEntry_Egg_Griffin_Fertilized_Electric_C</v>
      </c>
      <c r="J580" s="98" t="str">
        <f t="shared" si="133"/>
        <v>OverrideNamedEngramEntries=(EngramEntry_Egg_Griffin_Fertilized_Electric_C,EngramHidden=true)</v>
      </c>
      <c r="K580" s="2"/>
    </row>
    <row r="581">
      <c r="A581" s="6"/>
      <c r="B581" s="6"/>
      <c r="C581" s="4">
        <f t="shared" si="129"/>
        <v>20</v>
      </c>
      <c r="D581" s="4" t="str">
        <f t="shared" si="130"/>
        <v>PrimalItemConsumable_Egg</v>
      </c>
      <c r="E581" s="20" t="s">
        <v>3331</v>
      </c>
      <c r="F581" s="20" t="s">
        <v>3332</v>
      </c>
      <c r="G581" s="21" t="str">
        <f t="shared" si="131"/>
        <v>cheat gfi PrimalItemConsumable_Egg_Hesperonis_Fertilized_Alpha_C 1 100 0</v>
      </c>
      <c r="H581" s="20" t="s">
        <v>3333</v>
      </c>
      <c r="I581" s="70" t="str">
        <f t="shared" si="132"/>
        <v>EngramEntry_Egg_Hesperonis_Fertilized_Alpha_C</v>
      </c>
      <c r="J581" s="99" t="str">
        <f t="shared" si="133"/>
        <v>OverrideNamedEngramEntries=(EngramEntry_Egg_Hesperonis_Fertilized_Alpha_C,EngramHidden=true)</v>
      </c>
      <c r="K581" s="2"/>
    </row>
    <row r="582">
      <c r="A582" s="6"/>
      <c r="B582" s="6"/>
      <c r="C582" s="4">
        <f t="shared" si="129"/>
        <v>20</v>
      </c>
      <c r="D582" s="4" t="str">
        <f t="shared" si="130"/>
        <v>PrimalItemConsumable_Egg</v>
      </c>
      <c r="E582" s="22" t="s">
        <v>3334</v>
      </c>
      <c r="F582" s="22" t="s">
        <v>3335</v>
      </c>
      <c r="G582" s="23" t="str">
        <f t="shared" si="131"/>
        <v>cheat gfi PrimalItemConsumable_Egg_Hesperonis_Fertilized_Beta_C 1 100 0</v>
      </c>
      <c r="H582" s="22" t="s">
        <v>3336</v>
      </c>
      <c r="I582" s="71" t="str">
        <f t="shared" si="132"/>
        <v>EngramEntry_Egg_Hesperonis_Fertilized_Beta_C</v>
      </c>
      <c r="J582" s="98" t="str">
        <f t="shared" si="133"/>
        <v>OverrideNamedEngramEntries=(EngramEntry_Egg_Hesperonis_Fertilized_Beta_C,EngramHidden=true)</v>
      </c>
      <c r="K582" s="2"/>
    </row>
    <row r="583">
      <c r="A583" s="6"/>
      <c r="B583" s="6"/>
      <c r="C583" s="4">
        <f t="shared" si="129"/>
        <v>20</v>
      </c>
      <c r="D583" s="4" t="str">
        <f t="shared" si="130"/>
        <v>PrimalItemConsumable_Egg</v>
      </c>
      <c r="E583" s="20" t="s">
        <v>3337</v>
      </c>
      <c r="F583" s="20" t="s">
        <v>3338</v>
      </c>
      <c r="G583" s="21" t="str">
        <f t="shared" si="131"/>
        <v>cheat gfi PrimalItemConsumable_Egg_Iguanodon_Fertilized_Alpha_C 1 100 0</v>
      </c>
      <c r="H583" s="20" t="s">
        <v>3339</v>
      </c>
      <c r="I583" s="70" t="str">
        <f t="shared" si="132"/>
        <v>EngramEntry_Egg_Iguanodon_Fertilized_Alpha_C</v>
      </c>
      <c r="J583" s="99" t="str">
        <f t="shared" si="133"/>
        <v>OverrideNamedEngramEntries=(EngramEntry_Egg_Iguanodon_Fertilized_Alpha_C,EngramHidden=true)</v>
      </c>
      <c r="K583" s="2"/>
    </row>
    <row r="584">
      <c r="A584" s="6"/>
      <c r="B584" s="6"/>
      <c r="C584" s="4">
        <f t="shared" si="129"/>
        <v>20</v>
      </c>
      <c r="D584" s="4" t="str">
        <f t="shared" si="130"/>
        <v>PrimalItemConsumable_Egg</v>
      </c>
      <c r="E584" s="22" t="s">
        <v>3340</v>
      </c>
      <c r="F584" s="22" t="s">
        <v>3341</v>
      </c>
      <c r="G584" s="23" t="str">
        <f t="shared" si="131"/>
        <v>cheat gfi PrimalItemConsumable_Egg_Iguanodon_Fertilized_Beta_C 1 100 0</v>
      </c>
      <c r="H584" s="22" t="s">
        <v>3342</v>
      </c>
      <c r="I584" s="71" t="str">
        <f t="shared" si="132"/>
        <v>EngramEntry_Egg_Iguanodon_Fertilized_Beta_C</v>
      </c>
      <c r="J584" s="98" t="str">
        <f t="shared" si="133"/>
        <v>OverrideNamedEngramEntries=(EngramEntry_Egg_Iguanodon_Fertilized_Beta_C,EngramHidden=true)</v>
      </c>
      <c r="K584" s="2"/>
    </row>
    <row r="585">
      <c r="A585" s="6"/>
      <c r="B585" s="6"/>
      <c r="C585" s="4">
        <f t="shared" si="129"/>
        <v>20</v>
      </c>
      <c r="D585" s="4" t="str">
        <f t="shared" si="130"/>
        <v>PrimalItemConsumable_Egg</v>
      </c>
      <c r="E585" s="20" t="s">
        <v>3343</v>
      </c>
      <c r="F585" s="20" t="s">
        <v>3344</v>
      </c>
      <c r="G585" s="21" t="str">
        <f t="shared" si="131"/>
        <v>cheat gfi PrimalItemConsumable_Egg_Indom_Fertilized_Legendary_C 1 100 0</v>
      </c>
      <c r="H585" s="20" t="s">
        <v>3345</v>
      </c>
      <c r="I585" s="70" t="str">
        <f t="shared" si="132"/>
        <v>EngramEntry_Egg_Indom_Fertilized_Legendary_C</v>
      </c>
      <c r="J585" s="99" t="str">
        <f t="shared" si="133"/>
        <v>OverrideNamedEngramEntries=(EngramEntry_Egg_Indom_Fertilized_Legendary_C,EngramHidden=true)</v>
      </c>
      <c r="K585" s="2"/>
    </row>
    <row r="586">
      <c r="A586" s="6"/>
      <c r="B586" s="6"/>
      <c r="C586" s="4">
        <f t="shared" si="129"/>
        <v>20</v>
      </c>
      <c r="D586" s="4" t="str">
        <f t="shared" si="130"/>
        <v>PrimalItemConsumable_Egg</v>
      </c>
      <c r="E586" s="22" t="s">
        <v>3346</v>
      </c>
      <c r="F586" s="22" t="s">
        <v>3347</v>
      </c>
      <c r="G586" s="23" t="str">
        <f t="shared" si="131"/>
        <v>cheat gfi PrimalItemConsumable_Egg_Kairuku_Fertilized_Alpha_C 1 100 0</v>
      </c>
      <c r="H586" s="22" t="s">
        <v>3348</v>
      </c>
      <c r="I586" s="71" t="str">
        <f t="shared" si="132"/>
        <v>EngramEntry_Egg_Kairuku_Fertilized_Alpha_C</v>
      </c>
      <c r="J586" s="98" t="str">
        <f t="shared" si="133"/>
        <v>OverrideNamedEngramEntries=(EngramEntry_Egg_Kairuku_Fertilized_Alpha_C,EngramHidden=true)</v>
      </c>
      <c r="K586" s="2"/>
    </row>
    <row r="587">
      <c r="A587" s="6"/>
      <c r="B587" s="6"/>
      <c r="C587" s="4">
        <f t="shared" si="129"/>
        <v>20</v>
      </c>
      <c r="D587" s="4" t="str">
        <f t="shared" si="130"/>
        <v>PrimalItemConsumable_Egg</v>
      </c>
      <c r="E587" s="20" t="s">
        <v>3349</v>
      </c>
      <c r="F587" s="20" t="s">
        <v>3350</v>
      </c>
      <c r="G587" s="21" t="str">
        <f t="shared" si="131"/>
        <v>cheat gfi PrimalItemConsumable_Egg_Kairuku_Fertilized_Beta_C 1 100 0</v>
      </c>
      <c r="H587" s="20" t="s">
        <v>3351</v>
      </c>
      <c r="I587" s="70" t="str">
        <f t="shared" si="132"/>
        <v>EngramEntry_Egg_Kairuku_Fertilized_Beta_C</v>
      </c>
      <c r="J587" s="99" t="str">
        <f t="shared" si="133"/>
        <v>OverrideNamedEngramEntries=(EngramEntry_Egg_Kairuku_Fertilized_Beta_C,EngramHidden=true)</v>
      </c>
      <c r="K587" s="2"/>
    </row>
    <row r="588">
      <c r="A588" s="6"/>
      <c r="B588" s="6"/>
      <c r="C588" s="4">
        <f t="shared" si="129"/>
        <v>20</v>
      </c>
      <c r="D588" s="4" t="str">
        <f t="shared" si="130"/>
        <v>PrimalItemConsumable_Egg</v>
      </c>
      <c r="E588" s="22" t="s">
        <v>3352</v>
      </c>
      <c r="F588" s="22" t="s">
        <v>3353</v>
      </c>
      <c r="G588" s="23" t="str">
        <f t="shared" si="131"/>
        <v>cheat gfi PrimalItemConsumable_Egg_Kairuku_Fertilized_Hydro_C 1 100 0</v>
      </c>
      <c r="H588" s="22" t="s">
        <v>3354</v>
      </c>
      <c r="I588" s="71" t="str">
        <f t="shared" si="132"/>
        <v>EngramEntry_Egg_Kairuku_Fertilized_Hydro_C</v>
      </c>
      <c r="J588" s="98" t="str">
        <f t="shared" si="133"/>
        <v>OverrideNamedEngramEntries=(EngramEntry_Egg_Kairuku_Fertilized_Hydro_C,EngramHidden=true)</v>
      </c>
      <c r="K588" s="2"/>
    </row>
    <row r="589">
      <c r="A589" s="6"/>
      <c r="B589" s="6"/>
      <c r="C589" s="4">
        <f t="shared" si="129"/>
        <v>20</v>
      </c>
      <c r="D589" s="4" t="str">
        <f t="shared" si="130"/>
        <v>PrimalItemConsumable_Egg</v>
      </c>
      <c r="E589" s="20" t="s">
        <v>3355</v>
      </c>
      <c r="F589" s="20" t="s">
        <v>3356</v>
      </c>
      <c r="G589" s="21" t="str">
        <f t="shared" si="131"/>
        <v>cheat gfi PrimalItemConsumable_Egg_Kairuku_Fertilized_Legendary_C 1 100 0</v>
      </c>
      <c r="H589" s="20" t="s">
        <v>3357</v>
      </c>
      <c r="I589" s="70" t="str">
        <f t="shared" si="132"/>
        <v>EngramEntry_Egg_Kairuku_Fertilized_Legendary_C</v>
      </c>
      <c r="J589" s="99" t="str">
        <f t="shared" si="133"/>
        <v>OverrideNamedEngramEntries=(EngramEntry_Egg_Kairuku_Fertilized_Legendary_C,EngramHidden=true)</v>
      </c>
      <c r="K589" s="2"/>
    </row>
    <row r="590">
      <c r="A590" s="6"/>
      <c r="B590" s="6"/>
      <c r="C590" s="4">
        <f t="shared" si="129"/>
        <v>20</v>
      </c>
      <c r="D590" s="4" t="str">
        <f t="shared" si="130"/>
        <v>PrimalItemConsumable_Egg</v>
      </c>
      <c r="E590" s="22" t="s">
        <v>3358</v>
      </c>
      <c r="F590" s="22" t="s">
        <v>3359</v>
      </c>
      <c r="G590" s="23" t="str">
        <f t="shared" si="131"/>
        <v>cheat gfi PrimalItemConsumable_Egg_Kaprosuchus_Fertilized_Alpha_C 1 100 0</v>
      </c>
      <c r="H590" s="22" t="s">
        <v>3360</v>
      </c>
      <c r="I590" s="71" t="str">
        <f t="shared" si="132"/>
        <v>EngramEntry_Egg_Kaprosuchus_Fertilized_Alpha_C</v>
      </c>
      <c r="J590" s="98" t="str">
        <f t="shared" si="133"/>
        <v>OverrideNamedEngramEntries=(EngramEntry_Egg_Kaprosuchus_Fertilized_Alpha_C,EngramHidden=true)</v>
      </c>
      <c r="K590" s="2"/>
    </row>
    <row r="591">
      <c r="A591" s="6"/>
      <c r="B591" s="6"/>
      <c r="C591" s="4">
        <f t="shared" si="129"/>
        <v>20</v>
      </c>
      <c r="D591" s="4" t="str">
        <f t="shared" si="130"/>
        <v>PrimalItemConsumable_Egg</v>
      </c>
      <c r="E591" s="20" t="s">
        <v>3361</v>
      </c>
      <c r="F591" s="20" t="s">
        <v>3362</v>
      </c>
      <c r="G591" s="21" t="str">
        <f t="shared" si="131"/>
        <v>cheat gfi PrimalItemConsumable_Egg_Kaprosuchus_Fertilized_Beta_C 1 100 0</v>
      </c>
      <c r="H591" s="20" t="s">
        <v>3363</v>
      </c>
      <c r="I591" s="70" t="str">
        <f t="shared" si="132"/>
        <v>EngramEntry_Egg_Kaprosuchus_Fertilized_Beta_C</v>
      </c>
      <c r="J591" s="99" t="str">
        <f t="shared" si="133"/>
        <v>OverrideNamedEngramEntries=(EngramEntry_Egg_Kaprosuchus_Fertilized_Beta_C,EngramHidden=true)</v>
      </c>
      <c r="K591" s="2"/>
    </row>
    <row r="592">
      <c r="A592" s="6"/>
      <c r="B592" s="6"/>
      <c r="C592" s="4">
        <f t="shared" si="129"/>
        <v>20</v>
      </c>
      <c r="D592" s="4" t="str">
        <f t="shared" si="130"/>
        <v>PrimalItemConsumable_Egg</v>
      </c>
      <c r="E592" s="22" t="s">
        <v>3364</v>
      </c>
      <c r="F592" s="22" t="s">
        <v>3365</v>
      </c>
      <c r="G592" s="23" t="str">
        <f t="shared" si="131"/>
        <v>cheat gfi PrimalItemConsumable_Egg_Kaprosuchus_Fertilized_Hydro_C 1 100 0</v>
      </c>
      <c r="H592" s="22" t="s">
        <v>3366</v>
      </c>
      <c r="I592" s="71" t="str">
        <f t="shared" si="132"/>
        <v>EngramEntry_Egg_Kaprosuchus_Fertilized_Hydro_C</v>
      </c>
      <c r="J592" s="98" t="str">
        <f t="shared" si="133"/>
        <v>OverrideNamedEngramEntries=(EngramEntry_Egg_Kaprosuchus_Fertilized_Hydro_C,EngramHidden=true)</v>
      </c>
      <c r="K592" s="2"/>
    </row>
    <row r="593">
      <c r="A593" s="6"/>
      <c r="B593" s="6"/>
      <c r="C593" s="4">
        <f t="shared" si="129"/>
        <v>20</v>
      </c>
      <c r="D593" s="4" t="str">
        <f t="shared" si="130"/>
        <v>PrimalItemConsumable_Egg</v>
      </c>
      <c r="E593" s="20" t="s">
        <v>3367</v>
      </c>
      <c r="F593" s="20" t="s">
        <v>3368</v>
      </c>
      <c r="G593" s="21" t="str">
        <f t="shared" si="131"/>
        <v>cheat gfi PrimalItemConsumable_Egg_Kaprosuchus_Fertilized_Legendary_C 1 100 0</v>
      </c>
      <c r="H593" s="20" t="s">
        <v>3369</v>
      </c>
      <c r="I593" s="70" t="str">
        <f t="shared" si="132"/>
        <v>EngramEntry_Egg_Kaprosuchus_Fertilized_Legendary_C</v>
      </c>
      <c r="J593" s="99" t="str">
        <f t="shared" si="133"/>
        <v>OverrideNamedEngramEntries=(EngramEntry_Egg_Kaprosuchus_Fertilized_Legendary_C,EngramHidden=true)</v>
      </c>
      <c r="K593" s="2"/>
    </row>
    <row r="594">
      <c r="A594" s="6"/>
      <c r="B594" s="6"/>
      <c r="C594" s="4">
        <f t="shared" si="129"/>
        <v>20</v>
      </c>
      <c r="D594" s="4" t="str">
        <f t="shared" si="130"/>
        <v>PrimalItemConsumable_Egg</v>
      </c>
      <c r="E594" s="22" t="s">
        <v>3370</v>
      </c>
      <c r="F594" s="22" t="s">
        <v>3371</v>
      </c>
      <c r="G594" s="23" t="str">
        <f t="shared" si="131"/>
        <v>cheat gfi PrimalItemConsumable_Egg_Kentro_Fertilized_Alpha_C 1 100 0</v>
      </c>
      <c r="H594" s="22" t="s">
        <v>3372</v>
      </c>
      <c r="I594" s="71" t="str">
        <f t="shared" si="132"/>
        <v>EngramEntry_Egg_Kentro_Fertilized_Alpha_C</v>
      </c>
      <c r="J594" s="98" t="str">
        <f t="shared" si="133"/>
        <v>OverrideNamedEngramEntries=(EngramEntry_Egg_Kentro_Fertilized_Alpha_C,EngramHidden=true)</v>
      </c>
      <c r="K594" s="2"/>
    </row>
    <row r="595">
      <c r="A595" s="6"/>
      <c r="B595" s="6"/>
      <c r="C595" s="4">
        <f t="shared" si="129"/>
        <v>20</v>
      </c>
      <c r="D595" s="4" t="str">
        <f t="shared" si="130"/>
        <v>PrimalItemConsumable_Egg</v>
      </c>
      <c r="E595" s="20" t="s">
        <v>3373</v>
      </c>
      <c r="F595" s="20" t="s">
        <v>3374</v>
      </c>
      <c r="G595" s="21" t="str">
        <f t="shared" si="131"/>
        <v>cheat gfi PrimalItemConsumable_Egg_Kentro_Fertilized_Beta_C 1 100 0</v>
      </c>
      <c r="H595" s="20" t="s">
        <v>3375</v>
      </c>
      <c r="I595" s="70" t="str">
        <f t="shared" si="132"/>
        <v>EngramEntry_Egg_Kentro_Fertilized_Beta_C</v>
      </c>
      <c r="J595" s="99" t="str">
        <f t="shared" si="133"/>
        <v>OverrideNamedEngramEntries=(EngramEntry_Egg_Kentro_Fertilized_Beta_C,EngramHidden=true)</v>
      </c>
      <c r="K595" s="2"/>
    </row>
    <row r="596">
      <c r="A596" s="6"/>
      <c r="B596" s="6"/>
      <c r="C596" s="4">
        <f t="shared" si="129"/>
        <v>20</v>
      </c>
      <c r="D596" s="4" t="str">
        <f t="shared" si="130"/>
        <v>PrimalItemConsumable_Egg</v>
      </c>
      <c r="E596" s="22" t="s">
        <v>3376</v>
      </c>
      <c r="F596" s="22" t="s">
        <v>3377</v>
      </c>
      <c r="G596" s="23" t="str">
        <f t="shared" si="131"/>
        <v>cheat gfi PrimalItemConsumable_Egg_Lystro_Fertilized_Alpha_C 1 100 0</v>
      </c>
      <c r="H596" s="22" t="s">
        <v>3378</v>
      </c>
      <c r="I596" s="71" t="str">
        <f t="shared" si="132"/>
        <v>EngramEntry_Egg_Lystro_Fertilized_Alpha_C</v>
      </c>
      <c r="J596" s="98" t="str">
        <f t="shared" si="133"/>
        <v>OverrideNamedEngramEntries=(EngramEntry_Egg_Lystro_Fertilized_Alpha_C,EngramHidden=true)</v>
      </c>
      <c r="K596" s="2"/>
    </row>
    <row r="597">
      <c r="A597" s="6"/>
      <c r="B597" s="6"/>
      <c r="C597" s="4">
        <f t="shared" si="129"/>
        <v>20</v>
      </c>
      <c r="D597" s="4" t="str">
        <f t="shared" si="130"/>
        <v>PrimalItemConsumable_Egg</v>
      </c>
      <c r="E597" s="20" t="s">
        <v>3379</v>
      </c>
      <c r="F597" s="20" t="s">
        <v>3380</v>
      </c>
      <c r="G597" s="21" t="str">
        <f t="shared" si="131"/>
        <v>cheat gfi PrimalItemConsumable_Egg_Lystro_Fertilized_Beta_C 1 100 0</v>
      </c>
      <c r="H597" s="20" t="s">
        <v>3381</v>
      </c>
      <c r="I597" s="70" t="str">
        <f t="shared" si="132"/>
        <v>EngramEntry_Egg_Lystro_Fertilized_Beta_C</v>
      </c>
      <c r="J597" s="99" t="str">
        <f t="shared" si="133"/>
        <v>OverrideNamedEngramEntries=(EngramEntry_Egg_Lystro_Fertilized_Beta_C,EngramHidden=true)</v>
      </c>
      <c r="K597" s="2"/>
    </row>
    <row r="598">
      <c r="A598" s="6"/>
      <c r="B598" s="6"/>
      <c r="C598" s="4">
        <f t="shared" si="129"/>
        <v>20</v>
      </c>
      <c r="D598" s="4" t="str">
        <f t="shared" si="130"/>
        <v>PrimalItemConsumable_Egg</v>
      </c>
      <c r="E598" s="22" t="s">
        <v>3382</v>
      </c>
      <c r="F598" s="22" t="s">
        <v>3383</v>
      </c>
      <c r="G598" s="23" t="str">
        <f t="shared" si="131"/>
        <v>cheat gfi PrimalItemConsumable_Egg_Mantis_Fertilized_Fabled_C 1 100 0</v>
      </c>
      <c r="H598" s="22" t="s">
        <v>3384</v>
      </c>
      <c r="I598" s="71" t="str">
        <f t="shared" si="132"/>
        <v>EngramEntry_Egg_Mantis_Fertilized_Fabled_C</v>
      </c>
      <c r="J598" s="98" t="str">
        <f t="shared" si="133"/>
        <v>OverrideNamedEngramEntries=(EngramEntry_Egg_Mantis_Fertilized_Fabled_C,EngramHidden=true)</v>
      </c>
      <c r="K598" s="2"/>
    </row>
    <row r="599">
      <c r="A599" s="6"/>
      <c r="B599" s="6"/>
      <c r="C599" s="4">
        <f t="shared" si="129"/>
        <v>20</v>
      </c>
      <c r="D599" s="4" t="str">
        <f t="shared" si="130"/>
        <v>PrimalItemConsumable_Egg</v>
      </c>
      <c r="E599" s="20" t="s">
        <v>3385</v>
      </c>
      <c r="F599" s="20" t="s">
        <v>3386</v>
      </c>
      <c r="G599" s="21" t="str">
        <f t="shared" si="131"/>
        <v>cheat gfi PrimalItemConsumable_Egg_Mantis_Fertilized_Mythic_C 1 100 0</v>
      </c>
      <c r="H599" s="20" t="s">
        <v>3387</v>
      </c>
      <c r="I599" s="70" t="str">
        <f t="shared" si="132"/>
        <v>EngramEntry_Egg_Mantis_Fertilized_Mythic_C</v>
      </c>
      <c r="J599" s="99" t="str">
        <f t="shared" si="133"/>
        <v>OverrideNamedEngramEntries=(EngramEntry_Egg_Mantis_Fertilized_Mythic_C,EngramHidden=true)</v>
      </c>
      <c r="K599" s="2"/>
    </row>
    <row r="600">
      <c r="A600" s="6"/>
      <c r="B600" s="6"/>
      <c r="C600" s="4">
        <f t="shared" si="129"/>
        <v>20</v>
      </c>
      <c r="D600" s="4" t="str">
        <f t="shared" si="130"/>
        <v>PrimalItemConsumable_Egg</v>
      </c>
      <c r="E600" s="22" t="s">
        <v>3388</v>
      </c>
      <c r="F600" s="22" t="s">
        <v>3389</v>
      </c>
      <c r="G600" s="23" t="str">
        <f t="shared" si="131"/>
        <v>cheat gfi PrimalItemConsumable_Egg_Megalania_Fertilized_Alpha_C 1 100 0</v>
      </c>
      <c r="H600" s="22" t="s">
        <v>3390</v>
      </c>
      <c r="I600" s="71" t="str">
        <f t="shared" si="132"/>
        <v>EngramEntry_Egg_Megalania_Fertilized_Alpha_C</v>
      </c>
      <c r="J600" s="98" t="str">
        <f t="shared" si="133"/>
        <v>OverrideNamedEngramEntries=(EngramEntry_Egg_Megalania_Fertilized_Alpha_C,EngramHidden=true)</v>
      </c>
      <c r="K600" s="2"/>
    </row>
    <row r="601">
      <c r="A601" s="6"/>
      <c r="B601" s="6"/>
      <c r="C601" s="4">
        <f t="shared" si="129"/>
        <v>20</v>
      </c>
      <c r="D601" s="4" t="str">
        <f t="shared" si="130"/>
        <v>PrimalItemConsumable_Egg</v>
      </c>
      <c r="E601" s="20" t="s">
        <v>3391</v>
      </c>
      <c r="F601" s="20" t="s">
        <v>3392</v>
      </c>
      <c r="G601" s="21" t="str">
        <f t="shared" si="131"/>
        <v>cheat gfi PrimalItemConsumable_Egg_Megalania_Fertilized_Beta_C 1 100 0</v>
      </c>
      <c r="H601" s="20" t="s">
        <v>3393</v>
      </c>
      <c r="I601" s="70" t="str">
        <f t="shared" si="132"/>
        <v>EngramEntry_Egg_Megalania_Fertilized_Beta_C</v>
      </c>
      <c r="J601" s="99" t="str">
        <f t="shared" si="133"/>
        <v>OverrideNamedEngramEntries=(EngramEntry_Egg_Megalania_Fertilized_Beta_C,EngramHidden=true)</v>
      </c>
      <c r="K601" s="2"/>
    </row>
    <row r="602">
      <c r="A602" s="6"/>
      <c r="B602" s="6"/>
      <c r="C602" s="4">
        <f t="shared" si="129"/>
        <v>20</v>
      </c>
      <c r="D602" s="4" t="str">
        <f t="shared" si="130"/>
        <v>PrimalItemConsumable_Egg</v>
      </c>
      <c r="E602" s="22" t="s">
        <v>3394</v>
      </c>
      <c r="F602" s="22" t="s">
        <v>3395</v>
      </c>
      <c r="G602" s="23" t="str">
        <f t="shared" si="131"/>
        <v>cheat gfi PrimalItemConsumable_Egg_Megalosaurus_Fertilized_Alpha_C 1 100 0</v>
      </c>
      <c r="H602" s="22" t="s">
        <v>3396</v>
      </c>
      <c r="I602" s="71" t="str">
        <f t="shared" si="132"/>
        <v>EngramEntry_Egg_Megalosaurus_Fertilized_Alpha_C</v>
      </c>
      <c r="J602" s="98" t="str">
        <f t="shared" si="133"/>
        <v>OverrideNamedEngramEntries=(EngramEntry_Egg_Megalosaurus_Fertilized_Alpha_C,EngramHidden=true)</v>
      </c>
      <c r="K602" s="2"/>
    </row>
    <row r="603">
      <c r="A603" s="6"/>
      <c r="B603" s="6"/>
      <c r="C603" s="4">
        <f t="shared" si="129"/>
        <v>20</v>
      </c>
      <c r="D603" s="4" t="str">
        <f t="shared" si="130"/>
        <v>PrimalItemConsumable_Egg</v>
      </c>
      <c r="E603" s="20" t="s">
        <v>3397</v>
      </c>
      <c r="F603" s="20" t="s">
        <v>3398</v>
      </c>
      <c r="G603" s="21" t="str">
        <f t="shared" si="131"/>
        <v>cheat gfi PrimalItemConsumable_Egg_Megalosaurus_Fertilized_Beta_C 1 100 0</v>
      </c>
      <c r="H603" s="20" t="s">
        <v>3399</v>
      </c>
      <c r="I603" s="70" t="str">
        <f t="shared" si="132"/>
        <v>EngramEntry_Egg_Megalosaurus_Fertilized_Beta_C</v>
      </c>
      <c r="J603" s="99" t="str">
        <f t="shared" si="133"/>
        <v>OverrideNamedEngramEntries=(EngramEntry_Egg_Megalosaurus_Fertilized_Beta_C,EngramHidden=true)</v>
      </c>
      <c r="K603" s="2"/>
    </row>
    <row r="604">
      <c r="A604" s="6"/>
      <c r="B604" s="6"/>
      <c r="C604" s="4">
        <f t="shared" si="129"/>
        <v>20</v>
      </c>
      <c r="D604" s="4" t="str">
        <f t="shared" si="130"/>
        <v>PrimalItemConsumable_Egg</v>
      </c>
      <c r="E604" s="22" t="s">
        <v>3400</v>
      </c>
      <c r="F604" s="22" t="s">
        <v>3401</v>
      </c>
      <c r="G604" s="23" t="str">
        <f t="shared" si="131"/>
        <v>cheat gfi PrimalItemConsumable_Egg_Moschops_Fertilized_Alpha_C 1 100 0</v>
      </c>
      <c r="H604" s="22" t="s">
        <v>3402</v>
      </c>
      <c r="I604" s="71" t="str">
        <f t="shared" si="132"/>
        <v>EngramEntry_Egg_Moschops_Fertilized_Alpha_C</v>
      </c>
      <c r="J604" s="98" t="str">
        <f t="shared" si="133"/>
        <v>OverrideNamedEngramEntries=(EngramEntry_Egg_Moschops_Fertilized_Alpha_C,EngramHidden=true)</v>
      </c>
      <c r="K604" s="2"/>
    </row>
    <row r="605">
      <c r="A605" s="6"/>
      <c r="B605" s="6"/>
      <c r="C605" s="4">
        <f t="shared" si="129"/>
        <v>20</v>
      </c>
      <c r="D605" s="4" t="str">
        <f t="shared" si="130"/>
        <v>PrimalItemConsumable_Egg</v>
      </c>
      <c r="E605" s="20" t="s">
        <v>3403</v>
      </c>
      <c r="F605" s="20" t="s">
        <v>3404</v>
      </c>
      <c r="G605" s="21" t="str">
        <f t="shared" si="131"/>
        <v>cheat gfi PrimalItemConsumable_Egg_Moschops_Fertilized_Beta_C 1 100 0</v>
      </c>
      <c r="H605" s="20" t="s">
        <v>3405</v>
      </c>
      <c r="I605" s="70" t="str">
        <f t="shared" si="132"/>
        <v>EngramEntry_Egg_Moschops_Fertilized_Beta_C</v>
      </c>
      <c r="J605" s="99" t="str">
        <f t="shared" si="133"/>
        <v>OverrideNamedEngramEntries=(EngramEntry_Egg_Moschops_Fertilized_Beta_C,EngramHidden=true)</v>
      </c>
      <c r="K605" s="2"/>
    </row>
    <row r="606">
      <c r="A606" s="6"/>
      <c r="B606" s="6"/>
      <c r="C606" s="4">
        <f t="shared" si="129"/>
        <v>20</v>
      </c>
      <c r="D606" s="4" t="str">
        <f t="shared" si="130"/>
        <v>PrimalItemConsumable_Egg</v>
      </c>
      <c r="E606" s="22" t="s">
        <v>3406</v>
      </c>
      <c r="F606" s="22" t="s">
        <v>3407</v>
      </c>
      <c r="G606" s="23" t="str">
        <f t="shared" si="131"/>
        <v>cheat gfi PrimalItemConsumable_Egg_Oviraptor_Fertilized_Alpha_C 1 100 0</v>
      </c>
      <c r="H606" s="22" t="s">
        <v>3408</v>
      </c>
      <c r="I606" s="71" t="str">
        <f t="shared" si="132"/>
        <v>EngramEntry_Egg_Oviraptor_Fertilized_Alpha_C</v>
      </c>
      <c r="J606" s="98" t="str">
        <f t="shared" si="133"/>
        <v>OverrideNamedEngramEntries=(EngramEntry_Egg_Oviraptor_Fertilized_Alpha_C,EngramHidden=true)</v>
      </c>
      <c r="K606" s="2"/>
    </row>
    <row r="607">
      <c r="A607" s="6"/>
      <c r="B607" s="6"/>
      <c r="C607" s="4">
        <f t="shared" si="129"/>
        <v>20</v>
      </c>
      <c r="D607" s="4" t="str">
        <f t="shared" si="130"/>
        <v>PrimalItemConsumable_Egg</v>
      </c>
      <c r="E607" s="20" t="s">
        <v>3409</v>
      </c>
      <c r="F607" s="20" t="s">
        <v>3410</v>
      </c>
      <c r="G607" s="21" t="str">
        <f t="shared" si="131"/>
        <v>cheat gfi PrimalItemConsumable_Egg_Oviraptor_Fertilized_Beta_C 1 100 0</v>
      </c>
      <c r="H607" s="20" t="s">
        <v>3411</v>
      </c>
      <c r="I607" s="70" t="str">
        <f t="shared" si="132"/>
        <v>EngramEntry_Egg_Oviraptor_Fertilized_Beta_C</v>
      </c>
      <c r="J607" s="99" t="str">
        <f t="shared" si="133"/>
        <v>OverrideNamedEngramEntries=(EngramEntry_Egg_Oviraptor_Fertilized_Beta_C,EngramHidden=true)</v>
      </c>
      <c r="K607" s="2"/>
    </row>
    <row r="608">
      <c r="A608" s="6"/>
      <c r="B608" s="6"/>
      <c r="C608" s="4">
        <f t="shared" si="129"/>
        <v>20</v>
      </c>
      <c r="D608" s="4" t="str">
        <f t="shared" si="130"/>
        <v>PrimalItemConsumable_Egg</v>
      </c>
      <c r="E608" s="22" t="s">
        <v>3412</v>
      </c>
      <c r="F608" s="22" t="s">
        <v>3413</v>
      </c>
      <c r="G608" s="23" t="str">
        <f t="shared" si="131"/>
        <v>cheat gfi PrimalItemConsumable_Egg_Pachy_Fertilized_Alpha_C 1 100 0</v>
      </c>
      <c r="H608" s="22" t="s">
        <v>3414</v>
      </c>
      <c r="I608" s="71" t="str">
        <f t="shared" si="132"/>
        <v>EngramEntry_Egg_Pachy_Fertilized_Alpha_C</v>
      </c>
      <c r="J608" s="98" t="str">
        <f t="shared" si="133"/>
        <v>OverrideNamedEngramEntries=(EngramEntry_Egg_Pachy_Fertilized_Alpha_C,EngramHidden=true)</v>
      </c>
      <c r="K608" s="2"/>
    </row>
    <row r="609">
      <c r="A609" s="6"/>
      <c r="B609" s="6"/>
      <c r="C609" s="4">
        <f t="shared" si="129"/>
        <v>20</v>
      </c>
      <c r="D609" s="4" t="str">
        <f t="shared" si="130"/>
        <v>PrimalItemConsumable_Egg</v>
      </c>
      <c r="E609" s="20" t="s">
        <v>3415</v>
      </c>
      <c r="F609" s="20" t="s">
        <v>3416</v>
      </c>
      <c r="G609" s="21" t="str">
        <f t="shared" si="131"/>
        <v>cheat gfi PrimalItemConsumable_Egg_Pachy_Fertilized_Beta_C 1 100 0</v>
      </c>
      <c r="H609" s="20" t="s">
        <v>3417</v>
      </c>
      <c r="I609" s="70" t="str">
        <f t="shared" si="132"/>
        <v>EngramEntry_Egg_Pachy_Fertilized_Beta_C</v>
      </c>
      <c r="J609" s="99" t="str">
        <f t="shared" si="133"/>
        <v>OverrideNamedEngramEntries=(EngramEntry_Egg_Pachy_Fertilized_Beta_C,EngramHidden=true)</v>
      </c>
      <c r="K609" s="2"/>
    </row>
    <row r="610">
      <c r="A610" s="6"/>
      <c r="B610" s="6"/>
      <c r="C610" s="4">
        <f t="shared" si="129"/>
        <v>20</v>
      </c>
      <c r="D610" s="4" t="str">
        <f t="shared" si="130"/>
        <v>PrimalItemConsumable_Egg</v>
      </c>
      <c r="E610" s="22" t="s">
        <v>3418</v>
      </c>
      <c r="F610" s="22" t="s">
        <v>3419</v>
      </c>
      <c r="G610" s="23" t="str">
        <f t="shared" si="131"/>
        <v>cheat gfi PrimalItemConsumable_Egg_Pachy_Fertilized_Legendary_C 1 100 0</v>
      </c>
      <c r="H610" s="22" t="s">
        <v>3420</v>
      </c>
      <c r="I610" s="71" t="str">
        <f t="shared" si="132"/>
        <v>EngramEntry_Egg_Pachy_Fertilized_Legendary_C</v>
      </c>
      <c r="J610" s="98" t="str">
        <f t="shared" si="133"/>
        <v>OverrideNamedEngramEntries=(EngramEntry_Egg_Pachy_Fertilized_Legendary_C,EngramHidden=true)</v>
      </c>
      <c r="K610" s="2"/>
    </row>
    <row r="611">
      <c r="A611" s="6"/>
      <c r="B611" s="6"/>
      <c r="C611" s="4">
        <f t="shared" si="129"/>
        <v>20</v>
      </c>
      <c r="D611" s="4" t="str">
        <f t="shared" si="130"/>
        <v>PrimalItemConsumable_Egg</v>
      </c>
      <c r="E611" s="20" t="s">
        <v>3421</v>
      </c>
      <c r="F611" s="20" t="s">
        <v>3422</v>
      </c>
      <c r="G611" s="21" t="str">
        <f t="shared" si="131"/>
        <v>cheat gfi PrimalItemConsumable_Egg_PachyRhino_Fertilized_Alpha_C 1 100 0</v>
      </c>
      <c r="H611" s="20" t="s">
        <v>3423</v>
      </c>
      <c r="I611" s="70" t="str">
        <f t="shared" si="132"/>
        <v>EngramEntry_Egg_PachyRhino_Fertilized_Alpha_C</v>
      </c>
      <c r="J611" s="99" t="str">
        <f t="shared" si="133"/>
        <v>OverrideNamedEngramEntries=(EngramEntry_Egg_PachyRhino_Fertilized_Alpha_C,EngramHidden=true)</v>
      </c>
      <c r="K611" s="2"/>
    </row>
    <row r="612">
      <c r="A612" s="6"/>
      <c r="B612" s="6"/>
      <c r="C612" s="4">
        <f t="shared" si="129"/>
        <v>20</v>
      </c>
      <c r="D612" s="4" t="str">
        <f t="shared" si="130"/>
        <v>PrimalItemConsumable_Egg</v>
      </c>
      <c r="E612" s="22" t="s">
        <v>3424</v>
      </c>
      <c r="F612" s="22" t="s">
        <v>3425</v>
      </c>
      <c r="G612" s="23" t="str">
        <f t="shared" si="131"/>
        <v>cheat gfi PrimalItemConsumable_Egg_PachyRhino_Fertilized_Beta_C 1 100 0</v>
      </c>
      <c r="H612" s="22" t="s">
        <v>3426</v>
      </c>
      <c r="I612" s="71" t="str">
        <f t="shared" si="132"/>
        <v>EngramEntry_Egg_PachyRhino_Fertilized_Beta_C</v>
      </c>
      <c r="J612" s="98" t="str">
        <f t="shared" si="133"/>
        <v>OverrideNamedEngramEntries=(EngramEntry_Egg_PachyRhino_Fertilized_Beta_C,EngramHidden=true)</v>
      </c>
      <c r="K612" s="2"/>
    </row>
    <row r="613">
      <c r="A613" s="6"/>
      <c r="B613" s="6"/>
      <c r="C613" s="4">
        <f t="shared" si="129"/>
        <v>20</v>
      </c>
      <c r="D613" s="4" t="str">
        <f t="shared" si="130"/>
        <v>PrimalItemConsumable_Egg</v>
      </c>
      <c r="E613" s="20" t="s">
        <v>3427</v>
      </c>
      <c r="F613" s="20" t="s">
        <v>3428</v>
      </c>
      <c r="G613" s="21" t="str">
        <f t="shared" si="131"/>
        <v>cheat gfi PrimalItemConsumable_Egg_Para_Fertilized_Alpha_C 1 100 0</v>
      </c>
      <c r="H613" s="20" t="s">
        <v>3429</v>
      </c>
      <c r="I613" s="70" t="str">
        <f t="shared" si="132"/>
        <v>EngramEntry_Egg_Para_Fertilized_Alpha_C</v>
      </c>
      <c r="J613" s="99" t="str">
        <f t="shared" si="133"/>
        <v>OverrideNamedEngramEntries=(EngramEntry_Egg_Para_Fertilized_Alpha_C,EngramHidden=true)</v>
      </c>
      <c r="K613" s="2"/>
    </row>
    <row r="614">
      <c r="A614" s="6"/>
      <c r="B614" s="6"/>
      <c r="C614" s="4">
        <f t="shared" si="129"/>
        <v>20</v>
      </c>
      <c r="D614" s="4" t="str">
        <f t="shared" si="130"/>
        <v>PrimalItemConsumable_Egg</v>
      </c>
      <c r="E614" s="22" t="s">
        <v>3430</v>
      </c>
      <c r="F614" s="22" t="s">
        <v>3431</v>
      </c>
      <c r="G614" s="23" t="str">
        <f t="shared" si="131"/>
        <v>cheat gfi PrimalItemConsumable_Egg_Para_Fertilized_Beta_C 1 100 0</v>
      </c>
      <c r="H614" s="22" t="s">
        <v>3432</v>
      </c>
      <c r="I614" s="71" t="str">
        <f t="shared" si="132"/>
        <v>EngramEntry_Egg_Para_Fertilized_Beta_C</v>
      </c>
      <c r="J614" s="98" t="str">
        <f t="shared" si="133"/>
        <v>OverrideNamedEngramEntries=(EngramEntry_Egg_Para_Fertilized_Beta_C,EngramHidden=true)</v>
      </c>
      <c r="K614" s="2"/>
    </row>
    <row r="615">
      <c r="A615" s="6"/>
      <c r="B615" s="6"/>
      <c r="C615" s="4">
        <f t="shared" si="129"/>
        <v>20</v>
      </c>
      <c r="D615" s="4" t="str">
        <f t="shared" si="130"/>
        <v>PrimalItemConsumable_Egg</v>
      </c>
      <c r="E615" s="20" t="s">
        <v>3433</v>
      </c>
      <c r="F615" s="20" t="s">
        <v>3434</v>
      </c>
      <c r="G615" s="21" t="str">
        <f t="shared" si="131"/>
        <v>cheat gfi PrimalItemConsumable_Egg_Pegomastax_Fertilized_Alpha_C 1 100 0</v>
      </c>
      <c r="H615" s="20" t="s">
        <v>3435</v>
      </c>
      <c r="I615" s="70" t="str">
        <f t="shared" si="132"/>
        <v>EngramEntry_Egg_Pegomastax_Fertilized_Alpha_C</v>
      </c>
      <c r="J615" s="99" t="str">
        <f t="shared" si="133"/>
        <v>OverrideNamedEngramEntries=(EngramEntry_Egg_Pegomastax_Fertilized_Alpha_C,EngramHidden=true)</v>
      </c>
      <c r="K615" s="2"/>
    </row>
    <row r="616">
      <c r="A616" s="6"/>
      <c r="B616" s="6"/>
      <c r="C616" s="4">
        <f t="shared" si="129"/>
        <v>20</v>
      </c>
      <c r="D616" s="4" t="str">
        <f t="shared" si="130"/>
        <v>PrimalItemConsumable_Egg</v>
      </c>
      <c r="E616" s="22" t="s">
        <v>3436</v>
      </c>
      <c r="F616" s="22" t="s">
        <v>3437</v>
      </c>
      <c r="G616" s="23" t="str">
        <f t="shared" si="131"/>
        <v>cheat gfi PrimalItemConsumable_Egg_Pegomastax_Fertilized_Beta_C 1 100 0</v>
      </c>
      <c r="H616" s="22" t="s">
        <v>3438</v>
      </c>
      <c r="I616" s="71" t="str">
        <f t="shared" si="132"/>
        <v>EngramEntry_Egg_Pegomastax_Fertilized_Beta_C</v>
      </c>
      <c r="J616" s="98" t="str">
        <f t="shared" si="133"/>
        <v>OverrideNamedEngramEntries=(EngramEntry_Egg_Pegomastax_Fertilized_Beta_C,EngramHidden=true)</v>
      </c>
      <c r="K616" s="2"/>
    </row>
    <row r="617">
      <c r="A617" s="6"/>
      <c r="B617" s="6"/>
      <c r="C617" s="4">
        <f t="shared" si="129"/>
        <v>20</v>
      </c>
      <c r="D617" s="4" t="str">
        <f t="shared" si="130"/>
        <v>PrimalItemConsumable_Egg</v>
      </c>
      <c r="E617" s="20" t="s">
        <v>3439</v>
      </c>
      <c r="F617" s="20" t="s">
        <v>3440</v>
      </c>
      <c r="G617" s="21" t="str">
        <f t="shared" si="131"/>
        <v>cheat gfi PrimalItemConsumable_Egg_Pela_Fertilized_Alpha_C 1 100 0</v>
      </c>
      <c r="H617" s="20" t="s">
        <v>3441</v>
      </c>
      <c r="I617" s="70" t="str">
        <f t="shared" si="132"/>
        <v>EngramEntry_Egg_Pela_Fertilized_Alpha_C</v>
      </c>
      <c r="J617" s="99" t="str">
        <f t="shared" si="133"/>
        <v>OverrideNamedEngramEntries=(EngramEntry_Egg_Pela_Fertilized_Alpha_C,EngramHidden=true)</v>
      </c>
      <c r="K617" s="2"/>
    </row>
    <row r="618">
      <c r="A618" s="6"/>
      <c r="B618" s="6"/>
      <c r="C618" s="4">
        <f t="shared" si="129"/>
        <v>20</v>
      </c>
      <c r="D618" s="4" t="str">
        <f t="shared" si="130"/>
        <v>PrimalItemConsumable_Egg</v>
      </c>
      <c r="E618" s="22" t="s">
        <v>3442</v>
      </c>
      <c r="F618" s="22" t="s">
        <v>3443</v>
      </c>
      <c r="G618" s="23" t="str">
        <f t="shared" si="131"/>
        <v>cheat gfi PrimalItemConsumable_Egg_Pela_Fertilized_Beta_C 1 100 0</v>
      </c>
      <c r="H618" s="22" t="s">
        <v>3444</v>
      </c>
      <c r="I618" s="71" t="str">
        <f t="shared" si="132"/>
        <v>EngramEntry_Egg_Pela_Fertilized_Beta_C</v>
      </c>
      <c r="J618" s="98" t="str">
        <f t="shared" si="133"/>
        <v>OverrideNamedEngramEntries=(EngramEntry_Egg_Pela_Fertilized_Beta_C,EngramHidden=true)</v>
      </c>
      <c r="K618" s="2"/>
    </row>
    <row r="619">
      <c r="A619" s="6"/>
      <c r="B619" s="6"/>
      <c r="C619" s="4">
        <f t="shared" si="129"/>
        <v>20</v>
      </c>
      <c r="D619" s="4" t="str">
        <f t="shared" si="130"/>
        <v>PrimalItemConsumable_Egg</v>
      </c>
      <c r="E619" s="20" t="s">
        <v>3445</v>
      </c>
      <c r="F619" s="20" t="s">
        <v>3446</v>
      </c>
      <c r="G619" s="21" t="str">
        <f t="shared" si="131"/>
        <v>cheat gfi PrimalItemConsumable_Egg_Ptero_Fertilized_Alpha_C 1 100 0</v>
      </c>
      <c r="H619" s="20" t="s">
        <v>3447</v>
      </c>
      <c r="I619" s="70" t="str">
        <f t="shared" si="132"/>
        <v>EngramEntry_Egg_Ptero_Fertilized_Alpha_C</v>
      </c>
      <c r="J619" s="99" t="str">
        <f t="shared" si="133"/>
        <v>OverrideNamedEngramEntries=(EngramEntry_Egg_Ptero_Fertilized_Alpha_C,EngramHidden=true)</v>
      </c>
      <c r="K619" s="2"/>
    </row>
    <row r="620">
      <c r="A620" s="6"/>
      <c r="B620" s="6"/>
      <c r="C620" s="4">
        <f t="shared" si="129"/>
        <v>20</v>
      </c>
      <c r="D620" s="4" t="str">
        <f t="shared" si="130"/>
        <v>PrimalItemConsumable_Egg</v>
      </c>
      <c r="E620" s="22" t="s">
        <v>3448</v>
      </c>
      <c r="F620" s="22" t="s">
        <v>3449</v>
      </c>
      <c r="G620" s="23" t="str">
        <f t="shared" si="131"/>
        <v>cheat gfi PrimalItemConsumable_Egg_Ptero_Fertilized_Beta_C 1 100 0</v>
      </c>
      <c r="H620" s="22" t="s">
        <v>3450</v>
      </c>
      <c r="I620" s="71" t="str">
        <f t="shared" si="132"/>
        <v>EngramEntry_Egg_Ptero_Fertilized_Beta_C</v>
      </c>
      <c r="J620" s="98" t="str">
        <f t="shared" si="133"/>
        <v>OverrideNamedEngramEntries=(EngramEntry_Egg_Ptero_Fertilized_Beta_C,EngramHidden=true)</v>
      </c>
      <c r="K620" s="2"/>
    </row>
    <row r="621">
      <c r="A621" s="6"/>
      <c r="B621" s="6"/>
      <c r="C621" s="4">
        <f t="shared" si="129"/>
        <v>20</v>
      </c>
      <c r="D621" s="4" t="str">
        <f t="shared" si="130"/>
        <v>PrimalItemConsumable_Egg</v>
      </c>
      <c r="E621" s="20" t="s">
        <v>3451</v>
      </c>
      <c r="F621" s="20" t="s">
        <v>3452</v>
      </c>
      <c r="G621" s="21" t="str">
        <f t="shared" si="131"/>
        <v>cheat gfi PrimalItemConsumable_Egg_Ptero_Fertilized_Fabled_C 1 100 0</v>
      </c>
      <c r="H621" s="20" t="s">
        <v>3453</v>
      </c>
      <c r="I621" s="70" t="str">
        <f t="shared" si="132"/>
        <v>EngramEntry_Egg_Ptero_Fertilized_Fabled_C</v>
      </c>
      <c r="J621" s="99" t="str">
        <f t="shared" si="133"/>
        <v>OverrideNamedEngramEntries=(EngramEntry_Egg_Ptero_Fertilized_Fabled_C,EngramHidden=true)</v>
      </c>
      <c r="K621" s="2"/>
    </row>
    <row r="622">
      <c r="A622" s="6"/>
      <c r="B622" s="6"/>
      <c r="C622" s="4">
        <f t="shared" si="129"/>
        <v>20</v>
      </c>
      <c r="D622" s="4" t="str">
        <f t="shared" si="130"/>
        <v>PrimalItemConsumable_Egg</v>
      </c>
      <c r="E622" s="22" t="s">
        <v>3454</v>
      </c>
      <c r="F622" s="22" t="s">
        <v>3455</v>
      </c>
      <c r="G622" s="23" t="str">
        <f t="shared" si="131"/>
        <v>cheat gfi PrimalItemConsumable_Egg_Ptero_Fertilized_Legendary_C 1 100 0</v>
      </c>
      <c r="H622" s="22" t="s">
        <v>3456</v>
      </c>
      <c r="I622" s="71" t="str">
        <f t="shared" si="132"/>
        <v>EngramEntry_Egg_Ptero_Fertilized_Legendary_C</v>
      </c>
      <c r="J622" s="98" t="str">
        <f t="shared" si="133"/>
        <v>OverrideNamedEngramEntries=(EngramEntry_Egg_Ptero_Fertilized_Legendary_C,EngramHidden=true)</v>
      </c>
      <c r="K622" s="2"/>
    </row>
    <row r="623">
      <c r="A623" s="6"/>
      <c r="B623" s="6"/>
      <c r="C623" s="4">
        <f t="shared" si="129"/>
        <v>20</v>
      </c>
      <c r="D623" s="4" t="str">
        <f t="shared" si="130"/>
        <v>PrimalItemConsumable_Egg</v>
      </c>
      <c r="E623" s="20" t="s">
        <v>3457</v>
      </c>
      <c r="F623" s="20" t="s">
        <v>3458</v>
      </c>
      <c r="G623" s="21" t="str">
        <f t="shared" si="131"/>
        <v>cheat gfi PrimalItemConsumable_Egg_Ptero_Fertilized_Mythic_C 1 100 0</v>
      </c>
      <c r="H623" s="20" t="s">
        <v>3459</v>
      </c>
      <c r="I623" s="70" t="str">
        <f t="shared" si="132"/>
        <v>EngramEntry_Egg_Ptero_Fertilized_Mythic_C</v>
      </c>
      <c r="J623" s="99" t="str">
        <f t="shared" si="133"/>
        <v>OverrideNamedEngramEntries=(EngramEntry_Egg_Ptero_Fertilized_Mythic_C,EngramHidden=true)</v>
      </c>
      <c r="K623" s="2"/>
    </row>
    <row r="624">
      <c r="A624" s="6"/>
      <c r="B624" s="6"/>
      <c r="C624" s="4">
        <f t="shared" si="129"/>
        <v>20</v>
      </c>
      <c r="D624" s="4" t="str">
        <f t="shared" si="130"/>
        <v>PrimalItemConsumable_Egg</v>
      </c>
      <c r="E624" s="22" t="s">
        <v>3460</v>
      </c>
      <c r="F624" s="22" t="s">
        <v>3461</v>
      </c>
      <c r="G624" s="23" t="str">
        <f t="shared" si="131"/>
        <v>cheat gfi PrimalItemConsumable_Egg_Quetz_Fertilized_Alpha_C 1 100 0</v>
      </c>
      <c r="H624" s="22" t="s">
        <v>3462</v>
      </c>
      <c r="I624" s="71" t="str">
        <f t="shared" si="132"/>
        <v>EngramEntry_Egg_Quetz_Fertilized_Alpha_C</v>
      </c>
      <c r="J624" s="98" t="str">
        <f t="shared" si="133"/>
        <v>OverrideNamedEngramEntries=(EngramEntry_Egg_Quetz_Fertilized_Alpha_C,EngramHidden=true)</v>
      </c>
      <c r="K624" s="2"/>
    </row>
    <row r="625">
      <c r="A625" s="6"/>
      <c r="B625" s="6"/>
      <c r="C625" s="4">
        <f t="shared" si="129"/>
        <v>20</v>
      </c>
      <c r="D625" s="4" t="str">
        <f t="shared" si="130"/>
        <v>PrimalItemConsumable_Egg</v>
      </c>
      <c r="E625" s="20" t="s">
        <v>3463</v>
      </c>
      <c r="F625" s="20" t="s">
        <v>3464</v>
      </c>
      <c r="G625" s="21" t="str">
        <f t="shared" si="131"/>
        <v>cheat gfi PrimalItemConsumable_Egg_Quetz_Fertilized_Beta_C 1 100 0</v>
      </c>
      <c r="H625" s="20" t="s">
        <v>3465</v>
      </c>
      <c r="I625" s="70" t="str">
        <f t="shared" si="132"/>
        <v>EngramEntry_Egg_Quetz_Fertilized_Beta_C</v>
      </c>
      <c r="J625" s="99" t="str">
        <f t="shared" si="133"/>
        <v>OverrideNamedEngramEntries=(EngramEntry_Egg_Quetz_Fertilized_Beta_C,EngramHidden=true)</v>
      </c>
      <c r="K625" s="2"/>
    </row>
    <row r="626">
      <c r="A626" s="6"/>
      <c r="B626" s="6"/>
      <c r="C626" s="4">
        <f t="shared" si="129"/>
        <v>20</v>
      </c>
      <c r="D626" s="4" t="str">
        <f t="shared" si="130"/>
        <v>PrimalItemConsumable_Egg</v>
      </c>
      <c r="E626" s="22" t="s">
        <v>3466</v>
      </c>
      <c r="F626" s="22" t="s">
        <v>3467</v>
      </c>
      <c r="G626" s="23" t="str">
        <f t="shared" si="131"/>
        <v>cheat gfi PrimalItemConsumable_Egg_Quetz_Fertilized_Fabled_C 1 100 0</v>
      </c>
      <c r="H626" s="22" t="s">
        <v>3468</v>
      </c>
      <c r="I626" s="71" t="str">
        <f t="shared" si="132"/>
        <v>EngramEntry_Egg_Quetz_Fertilized_Fabled_C</v>
      </c>
      <c r="J626" s="98" t="str">
        <f t="shared" si="133"/>
        <v>OverrideNamedEngramEntries=(EngramEntry_Egg_Quetz_Fertilized_Fabled_C,EngramHidden=true)</v>
      </c>
      <c r="K626" s="2"/>
    </row>
    <row r="627">
      <c r="A627" s="6"/>
      <c r="B627" s="6"/>
      <c r="C627" s="4">
        <f t="shared" si="129"/>
        <v>20</v>
      </c>
      <c r="D627" s="4" t="str">
        <f t="shared" si="130"/>
        <v>PrimalItemConsumable_Egg</v>
      </c>
      <c r="E627" s="20" t="s">
        <v>3469</v>
      </c>
      <c r="F627" s="20" t="s">
        <v>3470</v>
      </c>
      <c r="G627" s="21" t="str">
        <f t="shared" si="131"/>
        <v>cheat gfi PrimalItemConsumable_Egg_Quetz_Fertilized_Mythic_C 1 100 0</v>
      </c>
      <c r="H627" s="20" t="s">
        <v>3471</v>
      </c>
      <c r="I627" s="70" t="str">
        <f t="shared" si="132"/>
        <v>EngramEntry_Egg_Quetz_Fertilized_Mythic_C</v>
      </c>
      <c r="J627" s="99" t="str">
        <f t="shared" si="133"/>
        <v>OverrideNamedEngramEntries=(EngramEntry_Egg_Quetz_Fertilized_Mythic_C,EngramHidden=true)</v>
      </c>
      <c r="K627" s="2"/>
    </row>
    <row r="628">
      <c r="A628" s="6"/>
      <c r="B628" s="6"/>
      <c r="C628" s="4">
        <f t="shared" si="129"/>
        <v>20</v>
      </c>
      <c r="D628" s="4" t="str">
        <f t="shared" si="130"/>
        <v>PrimalItemConsumable_Egg</v>
      </c>
      <c r="E628" s="22" t="s">
        <v>3472</v>
      </c>
      <c r="F628" s="22" t="s">
        <v>3473</v>
      </c>
      <c r="G628" s="23" t="str">
        <f t="shared" si="131"/>
        <v>cheat gfi PrimalItemConsumable_Egg_Raptor_Fertilized_Alpha_C 1 100 0</v>
      </c>
      <c r="H628" s="22" t="s">
        <v>3474</v>
      </c>
      <c r="I628" s="71" t="str">
        <f t="shared" si="132"/>
        <v>EngramEntry_Egg_Raptor_Fertilized_Alpha_C</v>
      </c>
      <c r="J628" s="98" t="str">
        <f t="shared" si="133"/>
        <v>OverrideNamedEngramEntries=(EngramEntry_Egg_Raptor_Fertilized_Alpha_C,EngramHidden=true)</v>
      </c>
      <c r="K628" s="2"/>
    </row>
    <row r="629">
      <c r="A629" s="6"/>
      <c r="B629" s="6"/>
      <c r="C629" s="4">
        <f t="shared" si="129"/>
        <v>20</v>
      </c>
      <c r="D629" s="4" t="str">
        <f t="shared" si="130"/>
        <v>PrimalItemConsumable_Egg</v>
      </c>
      <c r="E629" s="20" t="s">
        <v>3475</v>
      </c>
      <c r="F629" s="20" t="s">
        <v>3476</v>
      </c>
      <c r="G629" s="21" t="str">
        <f t="shared" si="131"/>
        <v>cheat gfi PrimalItemConsumable_Egg_Raptor_Fertilized_Beta_C 1 100 0</v>
      </c>
      <c r="H629" s="20" t="s">
        <v>3477</v>
      </c>
      <c r="I629" s="70" t="str">
        <f t="shared" si="132"/>
        <v>EngramEntry_Egg_Raptor_Fertilized_Beta_C</v>
      </c>
      <c r="J629" s="99" t="str">
        <f t="shared" si="133"/>
        <v>OverrideNamedEngramEntries=(EngramEntry_Egg_Raptor_Fertilized_Beta_C,EngramHidden=true)</v>
      </c>
      <c r="K629" s="2"/>
    </row>
    <row r="630">
      <c r="A630" s="6"/>
      <c r="B630" s="6"/>
      <c r="C630" s="4">
        <f t="shared" si="129"/>
        <v>20</v>
      </c>
      <c r="D630" s="4" t="str">
        <f t="shared" si="130"/>
        <v>PrimalItemConsumable_Egg</v>
      </c>
      <c r="E630" s="22" t="s">
        <v>3478</v>
      </c>
      <c r="F630" s="22" t="s">
        <v>3479</v>
      </c>
      <c r="G630" s="23" t="str">
        <f t="shared" si="131"/>
        <v>cheat gfi PrimalItemConsumable_Egg_Raptor_Fertilized_Legendary_C 1 100 0</v>
      </c>
      <c r="H630" s="22" t="s">
        <v>3480</v>
      </c>
      <c r="I630" s="71" t="str">
        <f t="shared" si="132"/>
        <v>EngramEntry_Egg_Raptor_Fertilized_Legendary_C</v>
      </c>
      <c r="J630" s="98" t="str">
        <f t="shared" si="133"/>
        <v>OverrideNamedEngramEntries=(EngramEntry_Egg_Raptor_Fertilized_Legendary_C,EngramHidden=true)</v>
      </c>
      <c r="K630" s="2"/>
    </row>
    <row r="631">
      <c r="A631" s="6"/>
      <c r="B631" s="6"/>
      <c r="C631" s="4">
        <f t="shared" si="129"/>
        <v>20</v>
      </c>
      <c r="D631" s="4" t="str">
        <f t="shared" si="130"/>
        <v>PrimalItemConsumable_Egg</v>
      </c>
      <c r="E631" s="20" t="s">
        <v>3481</v>
      </c>
      <c r="F631" s="20" t="s">
        <v>3482</v>
      </c>
      <c r="G631" s="21" t="str">
        <f t="shared" si="131"/>
        <v>cheat gfi PrimalItemConsumable_Egg_Raptor_Fertilized_Omega_C 1 100 0</v>
      </c>
      <c r="H631" s="20" t="s">
        <v>3483</v>
      </c>
      <c r="I631" s="70" t="str">
        <f t="shared" si="132"/>
        <v>EngramEntry_Egg_Raptor_Fertilized_Omega_C</v>
      </c>
      <c r="J631" s="99" t="str">
        <f t="shared" si="133"/>
        <v>OverrideNamedEngramEntries=(EngramEntry_Egg_Raptor_Fertilized_Omega_C,EngramHidden=true)</v>
      </c>
      <c r="K631" s="2"/>
    </row>
    <row r="632">
      <c r="A632" s="6"/>
      <c r="B632" s="6"/>
      <c r="C632" s="4">
        <f t="shared" si="129"/>
        <v>20</v>
      </c>
      <c r="D632" s="4" t="str">
        <f t="shared" si="130"/>
        <v>PrimalItemConsumable_Egg</v>
      </c>
      <c r="E632" s="22" t="s">
        <v>3484</v>
      </c>
      <c r="F632" s="22" t="s">
        <v>3485</v>
      </c>
      <c r="G632" s="23" t="str">
        <f t="shared" si="131"/>
        <v>cheat gfi PrimalItemConsumable_Egg_Raptor_Fertilized_Volcanic_C 1 100 0</v>
      </c>
      <c r="H632" s="22" t="s">
        <v>3486</v>
      </c>
      <c r="I632" s="71" t="str">
        <f t="shared" si="132"/>
        <v>EngramEntry_Egg_Raptor_Fertilized_Volcanic_C</v>
      </c>
      <c r="J632" s="98" t="str">
        <f t="shared" si="133"/>
        <v>OverrideNamedEngramEntries=(EngramEntry_Egg_Raptor_Fertilized_Volcanic_C,EngramHidden=true)</v>
      </c>
      <c r="K632" s="2"/>
    </row>
    <row r="633">
      <c r="A633" s="6"/>
      <c r="B633" s="6"/>
      <c r="C633" s="4">
        <f t="shared" si="129"/>
        <v>20</v>
      </c>
      <c r="D633" s="4" t="str">
        <f t="shared" si="130"/>
        <v>PrimalItemConsumable_Egg</v>
      </c>
      <c r="E633" s="20" t="s">
        <v>3487</v>
      </c>
      <c r="F633" s="20" t="s">
        <v>3488</v>
      </c>
      <c r="G633" s="21" t="str">
        <f t="shared" si="131"/>
        <v>cheat gfi PrimalItemConsumable_Egg_Reaper_Fertilized_Demonic_C 1 100 0</v>
      </c>
      <c r="H633" s="20" t="s">
        <v>3489</v>
      </c>
      <c r="I633" s="70" t="str">
        <f t="shared" si="132"/>
        <v>EngramEntry_Egg_Reaper_Fertilized_Demonic_C</v>
      </c>
      <c r="J633" s="99" t="str">
        <f t="shared" si="133"/>
        <v>OverrideNamedEngramEntries=(EngramEntry_Egg_Reaper_Fertilized_Demonic_C,EngramHidden=true)</v>
      </c>
      <c r="K633" s="2"/>
    </row>
    <row r="634">
      <c r="A634" s="6"/>
      <c r="B634" s="6"/>
      <c r="C634" s="4">
        <f t="shared" si="129"/>
        <v>20</v>
      </c>
      <c r="D634" s="4" t="str">
        <f t="shared" si="130"/>
        <v>PrimalItemConsumable_Egg</v>
      </c>
      <c r="E634" s="22" t="s">
        <v>3490</v>
      </c>
      <c r="F634" s="22" t="s">
        <v>3491</v>
      </c>
      <c r="G634" s="23" t="str">
        <f t="shared" si="131"/>
        <v>cheat gfi PrimalItemConsumable_Egg_Rex_Fertilized_Alpha_C 1 100 0</v>
      </c>
      <c r="H634" s="22" t="s">
        <v>3492</v>
      </c>
      <c r="I634" s="71" t="str">
        <f t="shared" si="132"/>
        <v>EngramEntry_Egg_Rex_Fertilized_Alpha_C</v>
      </c>
      <c r="J634" s="98" t="str">
        <f t="shared" si="133"/>
        <v>OverrideNamedEngramEntries=(EngramEntry_Egg_Rex_Fertilized_Alpha_C,EngramHidden=true)</v>
      </c>
      <c r="K634" s="2"/>
    </row>
    <row r="635">
      <c r="A635" s="6"/>
      <c r="B635" s="6"/>
      <c r="C635" s="4">
        <f t="shared" si="129"/>
        <v>20</v>
      </c>
      <c r="D635" s="4" t="str">
        <f t="shared" si="130"/>
        <v>PrimalItemConsumable_Egg</v>
      </c>
      <c r="E635" s="20" t="s">
        <v>3493</v>
      </c>
      <c r="F635" s="20" t="s">
        <v>3494</v>
      </c>
      <c r="G635" s="21" t="str">
        <f t="shared" si="131"/>
        <v>cheat gfi PrimalItemConsumable_Egg_Rex_Fertilized_Beta_C 1 100 0</v>
      </c>
      <c r="H635" s="20" t="s">
        <v>3495</v>
      </c>
      <c r="I635" s="70" t="str">
        <f t="shared" si="132"/>
        <v>EngramEntry_Egg_Rex_Fertilized_Beta_C</v>
      </c>
      <c r="J635" s="99" t="str">
        <f t="shared" si="133"/>
        <v>OverrideNamedEngramEntries=(EngramEntry_Egg_Rex_Fertilized_Beta_C,EngramHidden=true)</v>
      </c>
      <c r="K635" s="2"/>
    </row>
    <row r="636">
      <c r="A636" s="6"/>
      <c r="B636" s="6"/>
      <c r="C636" s="4">
        <f t="shared" si="129"/>
        <v>20</v>
      </c>
      <c r="D636" s="4" t="str">
        <f t="shared" si="130"/>
        <v>PrimalItemConsumable_Egg</v>
      </c>
      <c r="E636" s="22" t="s">
        <v>3496</v>
      </c>
      <c r="F636" s="22" t="s">
        <v>3497</v>
      </c>
      <c r="G636" s="23" t="str">
        <f t="shared" si="131"/>
        <v>cheat gfi PrimalItemConsumable_Egg_Rex_Fertilized_Electric_C 1 100 0</v>
      </c>
      <c r="H636" s="22" t="s">
        <v>3498</v>
      </c>
      <c r="I636" s="71" t="str">
        <f t="shared" si="132"/>
        <v>EngramEntry_Egg_Rex_Fertilized_Electric_C</v>
      </c>
      <c r="J636" s="98" t="str">
        <f t="shared" si="133"/>
        <v>OverrideNamedEngramEntries=(EngramEntry_Egg_Rex_Fertilized_Electric_C,EngramHidden=true)</v>
      </c>
      <c r="K636" s="2"/>
    </row>
    <row r="637">
      <c r="A637" s="6"/>
      <c r="B637" s="6"/>
      <c r="C637" s="4">
        <f t="shared" si="129"/>
        <v>20</v>
      </c>
      <c r="D637" s="4" t="str">
        <f t="shared" si="130"/>
        <v>PrimalItemConsumable_Egg</v>
      </c>
      <c r="E637" s="20" t="s">
        <v>3499</v>
      </c>
      <c r="F637" s="20" t="s">
        <v>3500</v>
      </c>
      <c r="G637" s="21" t="str">
        <f t="shared" si="131"/>
        <v>cheat gfi PrimalItemConsumable_Egg_Rex_Fertilized_Hydro_C 1 100 0</v>
      </c>
      <c r="H637" s="20" t="s">
        <v>3501</v>
      </c>
      <c r="I637" s="70" t="str">
        <f t="shared" si="132"/>
        <v>EngramEntry_Egg_Rex_Fertilized_Hydro_C</v>
      </c>
      <c r="J637" s="99" t="str">
        <f t="shared" si="133"/>
        <v>OverrideNamedEngramEntries=(EngramEntry_Egg_Rex_Fertilized_Hydro_C,EngramHidden=true)</v>
      </c>
      <c r="K637" s="2"/>
    </row>
    <row r="638">
      <c r="A638" s="6"/>
      <c r="B638" s="6"/>
      <c r="C638" s="4">
        <f t="shared" si="129"/>
        <v>20</v>
      </c>
      <c r="D638" s="4" t="str">
        <f t="shared" si="130"/>
        <v>PrimalItemConsumable_Egg</v>
      </c>
      <c r="E638" s="22" t="s">
        <v>3502</v>
      </c>
      <c r="F638" s="22" t="s">
        <v>3503</v>
      </c>
      <c r="G638" s="23" t="str">
        <f t="shared" si="131"/>
        <v>cheat gfi PrimalItemConsumable_Egg_Rex_Fertilized_Omega_C 1 100 0</v>
      </c>
      <c r="H638" s="22" t="s">
        <v>3504</v>
      </c>
      <c r="I638" s="71" t="str">
        <f t="shared" si="132"/>
        <v>EngramEntry_Egg_Rex_Fertilized_Omega_C</v>
      </c>
      <c r="J638" s="98" t="str">
        <f t="shared" si="133"/>
        <v>OverrideNamedEngramEntries=(EngramEntry_Egg_Rex_Fertilized_Omega_C,EngramHidden=true)</v>
      </c>
      <c r="K638" s="2"/>
    </row>
    <row r="639">
      <c r="A639" s="6"/>
      <c r="B639" s="6"/>
      <c r="C639" s="4">
        <f t="shared" si="129"/>
        <v>20</v>
      </c>
      <c r="D639" s="4" t="str">
        <f t="shared" si="130"/>
        <v>PrimalItemConsumable_Egg</v>
      </c>
      <c r="E639" s="20" t="s">
        <v>3505</v>
      </c>
      <c r="F639" s="20" t="s">
        <v>3506</v>
      </c>
      <c r="G639" s="21" t="str">
        <f t="shared" si="131"/>
        <v>cheat gfi PrimalItemConsumable_Egg_Rex_Fertilized_Volcanic_C 1 100 0</v>
      </c>
      <c r="H639" s="20" t="s">
        <v>3507</v>
      </c>
      <c r="I639" s="70" t="str">
        <f t="shared" si="132"/>
        <v>EngramEntry_Egg_Rex_Fertilized_Volcanic_C</v>
      </c>
      <c r="J639" s="99" t="str">
        <f t="shared" si="133"/>
        <v>OverrideNamedEngramEntries=(EngramEntry_Egg_Rex_Fertilized_Volcanic_C,EngramHidden=true)</v>
      </c>
      <c r="K639" s="2"/>
    </row>
    <row r="640">
      <c r="A640" s="6"/>
      <c r="B640" s="6"/>
      <c r="C640" s="4">
        <f t="shared" si="129"/>
        <v>20</v>
      </c>
      <c r="D640" s="4" t="str">
        <f t="shared" si="130"/>
        <v>PrimalItemConsumable_Egg</v>
      </c>
      <c r="E640" s="22" t="s">
        <v>3508</v>
      </c>
      <c r="F640" s="22" t="s">
        <v>3509</v>
      </c>
      <c r="G640" s="23" t="str">
        <f t="shared" si="131"/>
        <v>cheat gfi PrimalItemConsumable_Egg_Sarco_Fertilized_Alpha_C 1 100 0</v>
      </c>
      <c r="H640" s="22" t="s">
        <v>3510</v>
      </c>
      <c r="I640" s="71" t="str">
        <f t="shared" si="132"/>
        <v>EngramEntry_Egg_Sarco_Fertilized_Alpha_C</v>
      </c>
      <c r="J640" s="98" t="str">
        <f t="shared" si="133"/>
        <v>OverrideNamedEngramEntries=(EngramEntry_Egg_Sarco_Fertilized_Alpha_C,EngramHidden=true)</v>
      </c>
      <c r="K640" s="2"/>
    </row>
    <row r="641">
      <c r="A641" s="6"/>
      <c r="B641" s="6"/>
      <c r="C641" s="4">
        <f t="shared" si="129"/>
        <v>20</v>
      </c>
      <c r="D641" s="4" t="str">
        <f t="shared" si="130"/>
        <v>PrimalItemConsumable_Egg</v>
      </c>
      <c r="E641" s="20" t="s">
        <v>3511</v>
      </c>
      <c r="F641" s="20" t="s">
        <v>3512</v>
      </c>
      <c r="G641" s="21" t="str">
        <f t="shared" si="131"/>
        <v>cheat gfi PrimalItemConsumable_Egg_Sarco_Fertilized_Beta_C 1 100 0</v>
      </c>
      <c r="H641" s="20" t="s">
        <v>3513</v>
      </c>
      <c r="I641" s="70" t="str">
        <f t="shared" si="132"/>
        <v>EngramEntry_Egg_Sarco_Fertilized_Beta_C</v>
      </c>
      <c r="J641" s="99" t="str">
        <f t="shared" si="133"/>
        <v>OverrideNamedEngramEntries=(EngramEntry_Egg_Sarco_Fertilized_Beta_C,EngramHidden=true)</v>
      </c>
      <c r="K641" s="2"/>
    </row>
    <row r="642">
      <c r="A642" s="6"/>
      <c r="B642" s="6"/>
      <c r="C642" s="4">
        <f t="shared" si="129"/>
        <v>20</v>
      </c>
      <c r="D642" s="4" t="str">
        <f t="shared" si="130"/>
        <v>PrimalItemConsumable_Egg</v>
      </c>
      <c r="E642" s="22" t="s">
        <v>3514</v>
      </c>
      <c r="F642" s="22" t="s">
        <v>3515</v>
      </c>
      <c r="G642" s="23" t="str">
        <f t="shared" si="131"/>
        <v>cheat gfi PrimalItemConsumable_Egg_Sarco_Fertilized_Hydro_C 1 100 0</v>
      </c>
      <c r="H642" s="22" t="s">
        <v>3516</v>
      </c>
      <c r="I642" s="71" t="str">
        <f t="shared" si="132"/>
        <v>EngramEntry_Egg_Sarco_Fertilized_Hydro_C</v>
      </c>
      <c r="J642" s="98" t="str">
        <f t="shared" si="133"/>
        <v>OverrideNamedEngramEntries=(EngramEntry_Egg_Sarco_Fertilized_Hydro_C,EngramHidden=true)</v>
      </c>
      <c r="K642" s="2"/>
    </row>
    <row r="643">
      <c r="A643" s="6"/>
      <c r="B643" s="6"/>
      <c r="C643" s="4">
        <f t="shared" si="129"/>
        <v>20</v>
      </c>
      <c r="D643" s="4" t="str">
        <f t="shared" si="130"/>
        <v>PrimalItemConsumable_Egg</v>
      </c>
      <c r="E643" s="20" t="s">
        <v>3517</v>
      </c>
      <c r="F643" s="20" t="s">
        <v>3518</v>
      </c>
      <c r="G643" s="21" t="str">
        <f t="shared" si="131"/>
        <v>cheat gfi PrimalItemConsumable_Egg_Sarco_Fertilized_Legendary_C 1 100 0</v>
      </c>
      <c r="H643" s="20" t="s">
        <v>3519</v>
      </c>
      <c r="I643" s="70" t="str">
        <f t="shared" si="132"/>
        <v>EngramEntry_Egg_Sarco_Fertilized_Legendary_C</v>
      </c>
      <c r="J643" s="99" t="str">
        <f t="shared" si="133"/>
        <v>OverrideNamedEngramEntries=(EngramEntry_Egg_Sarco_Fertilized_Legendary_C,EngramHidden=true)</v>
      </c>
      <c r="K643" s="2"/>
    </row>
    <row r="644">
      <c r="A644" s="6"/>
      <c r="B644" s="6"/>
      <c r="C644" s="4">
        <f t="shared" si="129"/>
        <v>20</v>
      </c>
      <c r="D644" s="4" t="str">
        <f t="shared" si="130"/>
        <v>PrimalItemConsumable_Egg</v>
      </c>
      <c r="E644" s="22" t="s">
        <v>3520</v>
      </c>
      <c r="F644" s="22" t="s">
        <v>3521</v>
      </c>
      <c r="G644" s="23" t="str">
        <f t="shared" si="131"/>
        <v>cheat gfi PrimalItemConsumable_Egg_Sarco_Fertilized_Omega_C 1 100 0</v>
      </c>
      <c r="H644" s="22" t="s">
        <v>3522</v>
      </c>
      <c r="I644" s="71" t="str">
        <f t="shared" si="132"/>
        <v>EngramEntry_Egg_Sarco_Fertilized_Omega_C</v>
      </c>
      <c r="J644" s="98" t="str">
        <f t="shared" si="133"/>
        <v>OverrideNamedEngramEntries=(EngramEntry_Egg_Sarco_Fertilized_Omega_C,EngramHidden=true)</v>
      </c>
      <c r="K644" s="2"/>
    </row>
    <row r="645">
      <c r="A645" s="6"/>
      <c r="B645" s="6"/>
      <c r="C645" s="4">
        <f t="shared" si="129"/>
        <v>20</v>
      </c>
      <c r="D645" s="4" t="str">
        <f t="shared" si="130"/>
        <v>PrimalItemConsumable_Egg</v>
      </c>
      <c r="E645" s="20" t="s">
        <v>3523</v>
      </c>
      <c r="F645" s="20" t="s">
        <v>3524</v>
      </c>
      <c r="G645" s="21" t="str">
        <f t="shared" si="131"/>
        <v>cheat gfi PrimalItemConsumable_Egg_Scorpion_Fertilized_Alpha_C 1 100 0</v>
      </c>
      <c r="H645" s="20" t="s">
        <v>3525</v>
      </c>
      <c r="I645" s="70" t="str">
        <f t="shared" si="132"/>
        <v>EngramEntry_Egg_Scorpion_Fertilized_Alpha_C</v>
      </c>
      <c r="J645" s="99" t="str">
        <f t="shared" si="133"/>
        <v>OverrideNamedEngramEntries=(EngramEntry_Egg_Scorpion_Fertilized_Alpha_C,EngramHidden=true)</v>
      </c>
      <c r="K645" s="2"/>
    </row>
    <row r="646">
      <c r="A646" s="6"/>
      <c r="B646" s="6"/>
      <c r="C646" s="4">
        <f t="shared" si="129"/>
        <v>20</v>
      </c>
      <c r="D646" s="4" t="str">
        <f t="shared" si="130"/>
        <v>PrimalItemConsumable_Egg</v>
      </c>
      <c r="E646" s="22" t="s">
        <v>3526</v>
      </c>
      <c r="F646" s="22" t="s">
        <v>3527</v>
      </c>
      <c r="G646" s="23" t="str">
        <f t="shared" si="131"/>
        <v>cheat gfi PrimalItemConsumable_Egg_Scorpion_Fertilized_Beta_C 1 100 0</v>
      </c>
      <c r="H646" s="22" t="s">
        <v>3528</v>
      </c>
      <c r="I646" s="71" t="str">
        <f t="shared" si="132"/>
        <v>EngramEntry_Egg_Scorpion_Fertilized_Beta_C</v>
      </c>
      <c r="J646" s="98" t="str">
        <f t="shared" si="133"/>
        <v>OverrideNamedEngramEntries=(EngramEntry_Egg_Scorpion_Fertilized_Beta_C,EngramHidden=true)</v>
      </c>
      <c r="K646" s="2"/>
    </row>
    <row r="647">
      <c r="A647" s="6"/>
      <c r="B647" s="6"/>
      <c r="C647" s="4">
        <f t="shared" si="129"/>
        <v>20</v>
      </c>
      <c r="D647" s="4" t="str">
        <f t="shared" si="130"/>
        <v>PrimalItemConsumable_Egg</v>
      </c>
      <c r="E647" s="20" t="s">
        <v>3529</v>
      </c>
      <c r="F647" s="20" t="s">
        <v>3530</v>
      </c>
      <c r="G647" s="21" t="str">
        <f t="shared" si="131"/>
        <v>cheat gfi PrimalItemConsumable_Egg_Scorpion_Fertilized_Legendary_C 1 100 0</v>
      </c>
      <c r="H647" s="20" t="s">
        <v>3531</v>
      </c>
      <c r="I647" s="70" t="str">
        <f t="shared" si="132"/>
        <v>EngramEntry_Egg_Scorpion_Fertilized_Legendary_C</v>
      </c>
      <c r="J647" s="99" t="str">
        <f t="shared" si="133"/>
        <v>OverrideNamedEngramEntries=(EngramEntry_Egg_Scorpion_Fertilized_Legendary_C,EngramHidden=true)</v>
      </c>
      <c r="K647" s="2"/>
    </row>
    <row r="648">
      <c r="A648" s="6"/>
      <c r="B648" s="6"/>
      <c r="C648" s="4">
        <f t="shared" si="129"/>
        <v>20</v>
      </c>
      <c r="D648" s="4" t="str">
        <f t="shared" si="130"/>
        <v>PrimalItemConsumable_Egg</v>
      </c>
      <c r="E648" s="22" t="s">
        <v>3532</v>
      </c>
      <c r="F648" s="22" t="s">
        <v>3533</v>
      </c>
      <c r="G648" s="23" t="str">
        <f t="shared" si="131"/>
        <v>cheat gfi PrimalItemConsumable_Egg_Spider_Fertilized_Alpha_C 1 100 0</v>
      </c>
      <c r="H648" s="22" t="s">
        <v>3534</v>
      </c>
      <c r="I648" s="71" t="str">
        <f t="shared" si="132"/>
        <v>EngramEntry_Egg_Spider_Fertilized_Alpha_C</v>
      </c>
      <c r="J648" s="98" t="str">
        <f t="shared" si="133"/>
        <v>OverrideNamedEngramEntries=(EngramEntry_Egg_Spider_Fertilized_Alpha_C,EngramHidden=true)</v>
      </c>
      <c r="K648" s="2"/>
    </row>
    <row r="649">
      <c r="A649" s="6"/>
      <c r="B649" s="6"/>
      <c r="C649" s="4">
        <f t="shared" si="129"/>
        <v>20</v>
      </c>
      <c r="D649" s="4" t="str">
        <f t="shared" si="130"/>
        <v>PrimalItemConsumable_Egg</v>
      </c>
      <c r="E649" s="20" t="s">
        <v>3535</v>
      </c>
      <c r="F649" s="20" t="s">
        <v>3536</v>
      </c>
      <c r="G649" s="21" t="str">
        <f t="shared" si="131"/>
        <v>cheat gfi PrimalItemConsumable_Egg_Spider_Fertilized_Beta_C 1 100 0</v>
      </c>
      <c r="H649" s="20" t="s">
        <v>3537</v>
      </c>
      <c r="I649" s="70" t="str">
        <f t="shared" si="132"/>
        <v>EngramEntry_Egg_Spider_Fertilized_Beta_C</v>
      </c>
      <c r="J649" s="99" t="str">
        <f t="shared" si="133"/>
        <v>OverrideNamedEngramEntries=(EngramEntry_Egg_Spider_Fertilized_Beta_C,EngramHidden=true)</v>
      </c>
      <c r="K649" s="2"/>
    </row>
    <row r="650">
      <c r="A650" s="6"/>
      <c r="B650" s="6"/>
      <c r="C650" s="4"/>
      <c r="D650" s="4"/>
      <c r="E650" s="22" t="s">
        <v>3538</v>
      </c>
      <c r="F650" s="22" t="s">
        <v>3539</v>
      </c>
      <c r="G650" s="23" t="str">
        <f t="shared" si="131"/>
        <v>cheat gfi PrimalItemConsumable_Egg_Spider_Fertilized_Legendary_C 1 100 0</v>
      </c>
      <c r="H650" s="22" t="s">
        <v>3540</v>
      </c>
      <c r="I650" s="71" t="str">
        <f t="shared" si="132"/>
        <v>EngramEntry_Egg_Spider_Fertilized_Legendary_C</v>
      </c>
      <c r="J650" s="98" t="str">
        <f t="shared" si="133"/>
        <v>OverrideNamedEngramEntries=(EngramEntry_Egg_Spider_Fertilized_Legendary_C,EngramHidden=true)</v>
      </c>
      <c r="K650" s="2"/>
    </row>
    <row r="651">
      <c r="A651" s="6"/>
      <c r="B651" s="6"/>
      <c r="C651" s="4"/>
      <c r="D651" s="4"/>
      <c r="E651" s="20" t="s">
        <v>3541</v>
      </c>
      <c r="F651" s="20" t="s">
        <v>3542</v>
      </c>
      <c r="G651" s="21" t="str">
        <f t="shared" si="131"/>
        <v>cheat gfi PrimalItemConsumable_Egg_SpineyLizard_Fertilized_Legendary_C 1 100 0</v>
      </c>
      <c r="H651" s="20" t="s">
        <v>3543</v>
      </c>
      <c r="I651" s="70" t="str">
        <f t="shared" si="132"/>
        <v>EngramEntry_Egg_SpineyLizard_Fertilized_Legendary_C</v>
      </c>
      <c r="J651" s="99" t="str">
        <f t="shared" si="133"/>
        <v>OverrideNamedEngramEntries=(EngramEntry_Egg_SpineyLizard_Fertilized_Legendary_C,EngramHidden=true)</v>
      </c>
      <c r="K651" s="2"/>
    </row>
    <row r="652">
      <c r="A652" s="6"/>
      <c r="B652" s="6"/>
      <c r="C652" s="4"/>
      <c r="D652" s="4"/>
      <c r="E652" s="22" t="s">
        <v>3544</v>
      </c>
      <c r="F652" s="22" t="s">
        <v>3545</v>
      </c>
      <c r="G652" s="23" t="str">
        <f t="shared" si="131"/>
        <v>cheat gfi PrimalItemConsumable_Egg_Spino_Fertilized_Alpha_C 1 100 0</v>
      </c>
      <c r="H652" s="22" t="s">
        <v>3546</v>
      </c>
      <c r="I652" s="71" t="str">
        <f t="shared" si="132"/>
        <v>EngramEntry_Egg_Spino_Fertilized_Alpha_C</v>
      </c>
      <c r="J652" s="98" t="str">
        <f t="shared" si="133"/>
        <v>OverrideNamedEngramEntries=(EngramEntry_Egg_Spino_Fertilized_Alpha_C,EngramHidden=true)</v>
      </c>
      <c r="K652" s="2"/>
    </row>
    <row r="653">
      <c r="A653" s="6"/>
      <c r="B653" s="6"/>
      <c r="C653" s="4"/>
      <c r="D653" s="4"/>
      <c r="E653" s="20" t="s">
        <v>3547</v>
      </c>
      <c r="F653" s="20" t="s">
        <v>3548</v>
      </c>
      <c r="G653" s="21" t="str">
        <f t="shared" si="131"/>
        <v>cheat gfi PrimalItemConsumable_Egg_Spino_Fertilized_Beta_C 1 100 0</v>
      </c>
      <c r="H653" s="20" t="s">
        <v>3549</v>
      </c>
      <c r="I653" s="70" t="str">
        <f t="shared" si="132"/>
        <v>EngramEntry_Egg_Spino_Fertilized_Beta_C</v>
      </c>
      <c r="J653" s="99" t="str">
        <f t="shared" si="133"/>
        <v>OverrideNamedEngramEntries=(EngramEntry_Egg_Spino_Fertilized_Beta_C,EngramHidden=true)</v>
      </c>
      <c r="K653" s="2"/>
    </row>
    <row r="654">
      <c r="A654" s="6"/>
      <c r="B654" s="6"/>
      <c r="C654" s="4"/>
      <c r="D654" s="4"/>
      <c r="E654" s="22" t="s">
        <v>3550</v>
      </c>
      <c r="F654" s="22" t="s">
        <v>3551</v>
      </c>
      <c r="G654" s="23" t="str">
        <f t="shared" si="131"/>
        <v>cheat gfi PrimalItemConsumable_Egg_Spino_Fertilized_Hydro_C 1 100 0</v>
      </c>
      <c r="H654" s="22" t="s">
        <v>3552</v>
      </c>
      <c r="I654" s="71" t="str">
        <f t="shared" si="132"/>
        <v>EngramEntry_Egg_Spino_Fertilized_Hydro_C</v>
      </c>
      <c r="J654" s="98" t="str">
        <f t="shared" si="133"/>
        <v>OverrideNamedEngramEntries=(EngramEntry_Egg_Spino_Fertilized_Hydro_C,EngramHidden=true)</v>
      </c>
      <c r="K654" s="2"/>
    </row>
    <row r="655">
      <c r="A655" s="6"/>
      <c r="B655" s="6"/>
      <c r="C655" s="4"/>
      <c r="D655" s="4"/>
      <c r="E655" s="20" t="s">
        <v>3553</v>
      </c>
      <c r="F655" s="20" t="s">
        <v>3554</v>
      </c>
      <c r="G655" s="21" t="str">
        <f t="shared" si="131"/>
        <v>cheat gfi PrimalItemConsumable_Egg_Spino_Fertilized_Legendary_C 1 100 0</v>
      </c>
      <c r="H655" s="20" t="s">
        <v>3555</v>
      </c>
      <c r="I655" s="70" t="str">
        <f t="shared" si="132"/>
        <v>EngramEntry_Egg_Spino_Fertilized_Legendary_C</v>
      </c>
      <c r="J655" s="99" t="str">
        <f t="shared" si="133"/>
        <v>OverrideNamedEngramEntries=(EngramEntry_Egg_Spino_Fertilized_Legendary_C,EngramHidden=true)</v>
      </c>
      <c r="K655" s="2"/>
    </row>
    <row r="656">
      <c r="A656" s="6"/>
      <c r="B656" s="6"/>
      <c r="C656" s="4"/>
      <c r="D656" s="4"/>
      <c r="E656" s="22" t="s">
        <v>3556</v>
      </c>
      <c r="F656" s="22" t="s">
        <v>3557</v>
      </c>
      <c r="G656" s="23" t="str">
        <f t="shared" si="131"/>
        <v>cheat gfi PrimalItemConsumable_Egg_Spino_Fertilized_Omega_C 1 100 0</v>
      </c>
      <c r="H656" s="22" t="s">
        <v>3558</v>
      </c>
      <c r="I656" s="71" t="str">
        <f t="shared" si="132"/>
        <v>EngramEntry_Egg_Spino_Fertilized_Omega_C</v>
      </c>
      <c r="J656" s="98" t="str">
        <f t="shared" si="133"/>
        <v>OverrideNamedEngramEntries=(EngramEntry_Egg_Spino_Fertilized_Omega_C,EngramHidden=true)</v>
      </c>
      <c r="K656" s="2"/>
    </row>
    <row r="657">
      <c r="A657" s="6"/>
      <c r="B657" s="6"/>
      <c r="C657" s="4"/>
      <c r="D657" s="4"/>
      <c r="E657" s="20" t="s">
        <v>3559</v>
      </c>
      <c r="F657" s="20" t="s">
        <v>3560</v>
      </c>
      <c r="G657" s="21" t="str">
        <f t="shared" si="131"/>
        <v>cheat gfi PrimalItemConsumable_Egg_Spino_Fertilized_Volcanic_C 1 100 0</v>
      </c>
      <c r="H657" s="20" t="s">
        <v>3561</v>
      </c>
      <c r="I657" s="70" t="str">
        <f t="shared" si="132"/>
        <v>EngramEntry_Egg_Spino_Fertilized_Volcanic_C</v>
      </c>
      <c r="J657" s="99" t="str">
        <f t="shared" si="133"/>
        <v>OverrideNamedEngramEntries=(EngramEntry_Egg_Spino_Fertilized_Volcanic_C,EngramHidden=true)</v>
      </c>
      <c r="K657" s="2"/>
    </row>
    <row r="658">
      <c r="A658" s="6"/>
      <c r="B658" s="6"/>
      <c r="C658" s="4"/>
      <c r="D658" s="4"/>
      <c r="E658" s="22" t="s">
        <v>3562</v>
      </c>
      <c r="F658" s="22" t="s">
        <v>3563</v>
      </c>
      <c r="G658" s="23" t="str">
        <f t="shared" si="131"/>
        <v>cheat gfi PrimalItemConsumable_Egg_Stego_Fertilized_Alpha_C 1 100 0</v>
      </c>
      <c r="H658" s="22" t="s">
        <v>3564</v>
      </c>
      <c r="I658" s="71" t="str">
        <f t="shared" si="132"/>
        <v>EngramEntry_Egg_Stego_Fertilized_Alpha_C</v>
      </c>
      <c r="J658" s="98" t="str">
        <f t="shared" si="133"/>
        <v>OverrideNamedEngramEntries=(EngramEntry_Egg_Stego_Fertilized_Alpha_C,EngramHidden=true)</v>
      </c>
      <c r="K658" s="2"/>
    </row>
    <row r="659">
      <c r="A659" s="6"/>
      <c r="B659" s="6"/>
      <c r="C659" s="4"/>
      <c r="D659" s="4"/>
      <c r="E659" s="20" t="s">
        <v>3565</v>
      </c>
      <c r="F659" s="20" t="s">
        <v>3566</v>
      </c>
      <c r="G659" s="21" t="str">
        <f t="shared" si="131"/>
        <v>cheat gfi PrimalItemConsumable_Egg_Stego_Fertilized_Beta_C 1 100 0</v>
      </c>
      <c r="H659" s="20" t="s">
        <v>3567</v>
      </c>
      <c r="I659" s="70" t="str">
        <f t="shared" si="132"/>
        <v>EngramEntry_Egg_Stego_Fertilized_Beta_C</v>
      </c>
      <c r="J659" s="99" t="str">
        <f t="shared" si="133"/>
        <v>OverrideNamedEngramEntries=(EngramEntry_Egg_Stego_Fertilized_Beta_C,EngramHidden=true)</v>
      </c>
      <c r="K659" s="2"/>
    </row>
    <row r="660">
      <c r="A660" s="6"/>
      <c r="B660" s="6"/>
      <c r="C660" s="4"/>
      <c r="D660" s="4"/>
      <c r="E660" s="22" t="s">
        <v>3568</v>
      </c>
      <c r="F660" s="22" t="s">
        <v>3569</v>
      </c>
      <c r="G660" s="23" t="str">
        <f t="shared" si="131"/>
        <v>cheat gfi PrimalItemConsumable_Egg_Stego_Fertilized_Fabled_C 1 100 0</v>
      </c>
      <c r="H660" s="22" t="s">
        <v>3570</v>
      </c>
      <c r="I660" s="71" t="str">
        <f t="shared" si="132"/>
        <v>EngramEntry_Egg_Stego_Fertilized_Fabled_C</v>
      </c>
      <c r="J660" s="98" t="str">
        <f t="shared" si="133"/>
        <v>OverrideNamedEngramEntries=(EngramEntry_Egg_Stego_Fertilized_Fabled_C,EngramHidden=true)</v>
      </c>
      <c r="K660" s="2"/>
    </row>
    <row r="661">
      <c r="A661" s="6"/>
      <c r="B661" s="6"/>
      <c r="C661" s="4"/>
      <c r="D661" s="4"/>
      <c r="E661" s="20" t="s">
        <v>3571</v>
      </c>
      <c r="F661" s="20" t="s">
        <v>3572</v>
      </c>
      <c r="G661" s="21" t="str">
        <f t="shared" si="131"/>
        <v>cheat gfi PrimalItemConsumable_Egg_Stego_Fertilized_Legendary_C 1 100 0</v>
      </c>
      <c r="H661" s="20" t="s">
        <v>3573</v>
      </c>
      <c r="I661" s="70" t="str">
        <f t="shared" si="132"/>
        <v>EngramEntry_Egg_Stego_Fertilized_Legendary_C</v>
      </c>
      <c r="J661" s="99" t="str">
        <f t="shared" si="133"/>
        <v>OverrideNamedEngramEntries=(EngramEntry_Egg_Stego_Fertilized_Legendary_C,EngramHidden=true)</v>
      </c>
      <c r="K661" s="2"/>
    </row>
    <row r="662">
      <c r="A662" s="6"/>
      <c r="B662" s="6"/>
      <c r="C662" s="4"/>
      <c r="D662" s="4"/>
      <c r="E662" s="22" t="s">
        <v>3574</v>
      </c>
      <c r="F662" s="22" t="s">
        <v>3575</v>
      </c>
      <c r="G662" s="23" t="str">
        <f t="shared" si="131"/>
        <v>cheat gfi PrimalItemConsumable_Egg_Stego_Fertilized_Mythic_C 1 100 0</v>
      </c>
      <c r="H662" s="22" t="s">
        <v>3576</v>
      </c>
      <c r="I662" s="71" t="str">
        <f t="shared" si="132"/>
        <v>EngramEntry_Egg_Stego_Fertilized_Mythic_C</v>
      </c>
      <c r="J662" s="98" t="str">
        <f t="shared" si="133"/>
        <v>OverrideNamedEngramEntries=(EngramEntry_Egg_Stego_Fertilized_Mythic_C,EngramHidden=true)</v>
      </c>
      <c r="K662" s="2"/>
    </row>
    <row r="663">
      <c r="A663" s="6"/>
      <c r="B663" s="6"/>
      <c r="C663" s="4"/>
      <c r="D663" s="4"/>
      <c r="E663" s="20" t="s">
        <v>3577</v>
      </c>
      <c r="F663" s="20" t="s">
        <v>3578</v>
      </c>
      <c r="G663" s="21" t="str">
        <f t="shared" si="131"/>
        <v>cheat gfi PrimalItemConsumable_Egg_Tapejara_Fertilized_Alpha_C 1 100 0</v>
      </c>
      <c r="H663" s="20" t="s">
        <v>3579</v>
      </c>
      <c r="I663" s="70" t="str">
        <f t="shared" si="132"/>
        <v>EngramEntry_Egg_Tapejara_Fertilized_Alpha_C</v>
      </c>
      <c r="J663" s="99" t="str">
        <f t="shared" si="133"/>
        <v>OverrideNamedEngramEntries=(EngramEntry_Egg_Tapejara_Fertilized_Alpha_C,EngramHidden=true)</v>
      </c>
      <c r="K663" s="2"/>
    </row>
    <row r="664">
      <c r="A664" s="6"/>
      <c r="B664" s="6"/>
      <c r="C664" s="4"/>
      <c r="D664" s="4"/>
      <c r="E664" s="22" t="s">
        <v>3580</v>
      </c>
      <c r="F664" s="22" t="s">
        <v>3581</v>
      </c>
      <c r="G664" s="23" t="str">
        <f t="shared" si="131"/>
        <v>cheat gfi PrimalItemConsumable_Egg_Tapejara_Fertilized_Beta_C 1 100 0</v>
      </c>
      <c r="H664" s="22" t="s">
        <v>3582</v>
      </c>
      <c r="I664" s="71" t="str">
        <f t="shared" si="132"/>
        <v>EngramEntry_Egg_Tapejara_Fertilized_Beta_C</v>
      </c>
      <c r="J664" s="98" t="str">
        <f t="shared" si="133"/>
        <v>OverrideNamedEngramEntries=(EngramEntry_Egg_Tapejara_Fertilized_Beta_C,EngramHidden=true)</v>
      </c>
      <c r="K664" s="2"/>
    </row>
    <row r="665">
      <c r="A665" s="6"/>
      <c r="B665" s="6"/>
      <c r="C665" s="4"/>
      <c r="D665" s="4"/>
      <c r="E665" s="20" t="s">
        <v>3583</v>
      </c>
      <c r="F665" s="20" t="s">
        <v>3584</v>
      </c>
      <c r="G665" s="21" t="str">
        <f t="shared" si="131"/>
        <v>cheat gfi PrimalItemConsumable_Egg_Tapejara_Fertilized_Fabled_C 1 100 0</v>
      </c>
      <c r="H665" s="20" t="s">
        <v>3585</v>
      </c>
      <c r="I665" s="70" t="str">
        <f t="shared" si="132"/>
        <v>EngramEntry_Egg_Tapejara_Fertilized_Fabled_C</v>
      </c>
      <c r="J665" s="99" t="str">
        <f t="shared" si="133"/>
        <v>OverrideNamedEngramEntries=(EngramEntry_Egg_Tapejara_Fertilized_Fabled_C,EngramHidden=true)</v>
      </c>
      <c r="K665" s="2"/>
    </row>
    <row r="666">
      <c r="A666" s="6"/>
      <c r="B666" s="6"/>
      <c r="C666" s="4"/>
      <c r="D666" s="4"/>
      <c r="E666" s="22" t="s">
        <v>3586</v>
      </c>
      <c r="F666" s="22" t="s">
        <v>3587</v>
      </c>
      <c r="G666" s="23" t="str">
        <f t="shared" si="131"/>
        <v>cheat gfi PrimalItemConsumable_Egg_Tapejara_Fertilized_Mythic_C 1 100 0</v>
      </c>
      <c r="H666" s="22" t="s">
        <v>3588</v>
      </c>
      <c r="I666" s="71" t="str">
        <f t="shared" si="132"/>
        <v>EngramEntry_Egg_Tapejara_Fertilized_Mythic_C</v>
      </c>
      <c r="J666" s="98" t="str">
        <f t="shared" si="133"/>
        <v>OverrideNamedEngramEntries=(EngramEntry_Egg_Tapejara_Fertilized_Mythic_C,EngramHidden=true)</v>
      </c>
      <c r="K666" s="2"/>
    </row>
    <row r="667">
      <c r="A667" s="6"/>
      <c r="B667" s="6"/>
      <c r="C667" s="4"/>
      <c r="D667" s="4"/>
      <c r="E667" s="20" t="s">
        <v>3589</v>
      </c>
      <c r="F667" s="20" t="s">
        <v>3590</v>
      </c>
      <c r="G667" s="21" t="str">
        <f t="shared" si="131"/>
        <v>cheat gfi PrimalItemConsumable_Egg_Tapejara_Fertilized_Volcanic_C 1 100 0</v>
      </c>
      <c r="H667" s="20" t="s">
        <v>3591</v>
      </c>
      <c r="I667" s="70" t="str">
        <f t="shared" si="132"/>
        <v>EngramEntry_Egg_Tapejara_Fertilized_Volcanic_C</v>
      </c>
      <c r="J667" s="99" t="str">
        <f t="shared" si="133"/>
        <v>OverrideNamedEngramEntries=(EngramEntry_Egg_Tapejara_Fertilized_Volcanic_C,EngramHidden=true)</v>
      </c>
      <c r="K667" s="2"/>
    </row>
    <row r="668">
      <c r="A668" s="6"/>
      <c r="B668" s="6"/>
      <c r="C668" s="4"/>
      <c r="D668" s="4"/>
      <c r="E668" s="22" t="s">
        <v>3592</v>
      </c>
      <c r="F668" s="22" t="s">
        <v>3593</v>
      </c>
      <c r="G668" s="23" t="str">
        <f t="shared" si="131"/>
        <v>cheat gfi PrimalItemConsumable_Egg_TerrorBird_Fertilized_Alpha_C 1 100 0</v>
      </c>
      <c r="H668" s="22" t="s">
        <v>3594</v>
      </c>
      <c r="I668" s="71" t="str">
        <f t="shared" si="132"/>
        <v>EngramEntry_Egg_TerrorBird_Fertilized_Alpha_C</v>
      </c>
      <c r="J668" s="98" t="str">
        <f t="shared" si="133"/>
        <v>OverrideNamedEngramEntries=(EngramEntry_Egg_TerrorBird_Fertilized_Alpha_C,EngramHidden=true)</v>
      </c>
      <c r="K668" s="2"/>
    </row>
    <row r="669">
      <c r="A669" s="6"/>
      <c r="B669" s="6"/>
      <c r="C669" s="4"/>
      <c r="D669" s="4"/>
      <c r="E669" s="20" t="s">
        <v>3595</v>
      </c>
      <c r="F669" s="20" t="s">
        <v>3596</v>
      </c>
      <c r="G669" s="21" t="str">
        <f t="shared" si="131"/>
        <v>cheat gfi PrimalItemConsumable_Egg_TerrorBird_Fertilized_Beta_C 1 100 0</v>
      </c>
      <c r="H669" s="20" t="s">
        <v>3597</v>
      </c>
      <c r="I669" s="70" t="str">
        <f t="shared" si="132"/>
        <v>EngramEntry_Egg_TerrorBird_Fertilized_Beta_C</v>
      </c>
      <c r="J669" s="99" t="str">
        <f t="shared" si="133"/>
        <v>OverrideNamedEngramEntries=(EngramEntry_Egg_TerrorBird_Fertilized_Beta_C,EngramHidden=true)</v>
      </c>
      <c r="K669" s="2"/>
    </row>
    <row r="670">
      <c r="A670" s="6"/>
      <c r="B670" s="6"/>
      <c r="C670" s="4">
        <f t="shared" ref="C670:C689" si="134">IF(D670="PrimalItemConsumable_Blood",1)+IF(D670="PrimalItemConsumable_Narcotic",2)+IF(D670="PrimalItemConsumable_Seed",3)+IF(D670="PrimalItemConsumable_Fruit",4)+IF(D670="PrimalItemConsumable_Egg_Unfertilized",5)+IF(D670="PrimalItemConsumable_Kibble",6)+IF(D670="PrimalItemConsumable_Potion",7)+IF(D670="PrimalItemConsumable_XP",8)+IF(D670="PrimalItemConsumable_Food",9)+IF(D670="PrimalItemResource",10)+IF(D670="PrimalItemResource_Hide",11)+IF(D670="PrimalItemResource_MetalIngot",12)+IF(D670="PrimalItemConsumable_Summon",13)+IF(D670="PrimalItemStructure",14)+IF(D670="PrimalItem_Weapon",15)+IF(D670="PrimalItemAmmo",16)+IF(D670="PrimalItemArmor",17)+IF(D670="PrimalItemSaddle",18)+IF(D670="PrimalItemConsumable_UnderwaterEgg",19)+IF(D670="PrimalItemConsumable_Egg",20)</f>
        <v>20</v>
      </c>
      <c r="D670" s="4" t="str">
        <f t="shared" ref="D670:D689" si="135">Left(F670,find("Egg",F670)+2)</f>
        <v>PrimalItemConsumable_Egg</v>
      </c>
      <c r="E670" s="22" t="s">
        <v>3598</v>
      </c>
      <c r="F670" s="22" t="s">
        <v>3599</v>
      </c>
      <c r="G670" s="23" t="str">
        <f t="shared" si="131"/>
        <v>cheat gfi PrimalItemConsumable_Egg_Therizino_Fertilized_Alpha_C 1 100 0</v>
      </c>
      <c r="H670" s="22" t="s">
        <v>3600</v>
      </c>
      <c r="I670" s="71" t="str">
        <f t="shared" si="132"/>
        <v>EngramEntry_Egg_Therizino_Fertilized_Alpha_C</v>
      </c>
      <c r="J670" s="98" t="str">
        <f t="shared" si="133"/>
        <v>OverrideNamedEngramEntries=(EngramEntry_Egg_Therizino_Fertilized_Alpha_C,EngramHidden=true)</v>
      </c>
      <c r="K670" s="2"/>
    </row>
    <row r="671">
      <c r="A671" s="6"/>
      <c r="B671" s="6"/>
      <c r="C671" s="4">
        <f t="shared" si="134"/>
        <v>20</v>
      </c>
      <c r="D671" s="4" t="str">
        <f t="shared" si="135"/>
        <v>PrimalItemConsumable_Egg</v>
      </c>
      <c r="E671" s="20" t="s">
        <v>3601</v>
      </c>
      <c r="F671" s="20" t="s">
        <v>3602</v>
      </c>
      <c r="G671" s="21" t="str">
        <f t="shared" si="131"/>
        <v>cheat gfi PrimalItemConsumable_Egg_Therizino_Fertilized_Beta_C 1 100 0</v>
      </c>
      <c r="H671" s="20" t="s">
        <v>3603</v>
      </c>
      <c r="I671" s="70" t="str">
        <f t="shared" si="132"/>
        <v>EngramEntry_Egg_Therizino_Fertilized_Beta_C</v>
      </c>
      <c r="J671" s="99" t="str">
        <f t="shared" si="133"/>
        <v>OverrideNamedEngramEntries=(EngramEntry_Egg_Therizino_Fertilized_Beta_C,EngramHidden=true)</v>
      </c>
      <c r="K671" s="2"/>
    </row>
    <row r="672">
      <c r="A672" s="6"/>
      <c r="B672" s="6"/>
      <c r="C672" s="4">
        <f t="shared" si="134"/>
        <v>20</v>
      </c>
      <c r="D672" s="4" t="str">
        <f t="shared" si="135"/>
        <v>PrimalItemConsumable_Egg</v>
      </c>
      <c r="E672" s="22" t="s">
        <v>3604</v>
      </c>
      <c r="F672" s="22" t="s">
        <v>3605</v>
      </c>
      <c r="G672" s="23" t="str">
        <f t="shared" si="131"/>
        <v>cheat gfi PrimalItemConsumable_Egg_Therizino_Fertilized_Fabled_C 1 100 0</v>
      </c>
      <c r="H672" s="22" t="s">
        <v>3606</v>
      </c>
      <c r="I672" s="71" t="str">
        <f t="shared" si="132"/>
        <v>EngramEntry_Egg_Therizino_Fertilized_Fabled_C</v>
      </c>
      <c r="J672" s="98" t="str">
        <f t="shared" si="133"/>
        <v>OverrideNamedEngramEntries=(EngramEntry_Egg_Therizino_Fertilized_Fabled_C,EngramHidden=true)</v>
      </c>
      <c r="K672" s="2"/>
    </row>
    <row r="673">
      <c r="A673" s="6"/>
      <c r="B673" s="6"/>
      <c r="C673" s="4">
        <f t="shared" si="134"/>
        <v>20</v>
      </c>
      <c r="D673" s="4" t="str">
        <f t="shared" si="135"/>
        <v>PrimalItemConsumable_Egg</v>
      </c>
      <c r="E673" s="20" t="s">
        <v>3607</v>
      </c>
      <c r="F673" s="20" t="s">
        <v>3608</v>
      </c>
      <c r="G673" s="21" t="str">
        <f t="shared" si="131"/>
        <v>cheat gfi PrimalItemConsumable_Egg_Therizino_Fertilized_Mythic_C 1 100 0</v>
      </c>
      <c r="H673" s="20" t="s">
        <v>3609</v>
      </c>
      <c r="I673" s="70" t="str">
        <f t="shared" si="132"/>
        <v>EngramEntry_Egg_Therizino_Fertilized_Mythic_C</v>
      </c>
      <c r="J673" s="99" t="str">
        <f t="shared" si="133"/>
        <v>OverrideNamedEngramEntries=(EngramEntry_Egg_Therizino_Fertilized_Mythic_C,EngramHidden=true)</v>
      </c>
      <c r="K673" s="2"/>
    </row>
    <row r="674">
      <c r="A674" s="6"/>
      <c r="B674" s="6"/>
      <c r="C674" s="4">
        <f t="shared" si="134"/>
        <v>20</v>
      </c>
      <c r="D674" s="4" t="str">
        <f t="shared" si="135"/>
        <v>PrimalItemConsumable_Egg</v>
      </c>
      <c r="E674" s="22" t="s">
        <v>3610</v>
      </c>
      <c r="F674" s="22" t="s">
        <v>3611</v>
      </c>
      <c r="G674" s="23" t="str">
        <f t="shared" si="131"/>
        <v>cheat gfi PrimalItemConsumable_Egg_Thorny_Fertilized_Demonic_C 1 100 0</v>
      </c>
      <c r="H674" s="22" t="s">
        <v>3612</v>
      </c>
      <c r="I674" s="71" t="str">
        <f t="shared" si="132"/>
        <v>EngramEntry_Egg_Thorny_Fertilized_Demonic_C</v>
      </c>
      <c r="J674" s="98" t="str">
        <f t="shared" si="133"/>
        <v>OverrideNamedEngramEntries=(EngramEntry_Egg_Thorny_Fertilized_Demonic_C,EngramHidden=true)</v>
      </c>
      <c r="K674" s="2"/>
    </row>
    <row r="675">
      <c r="A675" s="6"/>
      <c r="B675" s="6"/>
      <c r="C675" s="4">
        <f t="shared" si="134"/>
        <v>20</v>
      </c>
      <c r="D675" s="4" t="str">
        <f t="shared" si="135"/>
        <v>PrimalItemConsumable_Egg</v>
      </c>
      <c r="E675" s="20" t="s">
        <v>3613</v>
      </c>
      <c r="F675" s="20" t="s">
        <v>3614</v>
      </c>
      <c r="G675" s="21" t="str">
        <f t="shared" si="131"/>
        <v>cheat gfi PrimalItemConsumable_Egg_Trike_Fertilized_Alpha_C 1 100 0</v>
      </c>
      <c r="H675" s="20" t="s">
        <v>3615</v>
      </c>
      <c r="I675" s="70" t="str">
        <f t="shared" si="132"/>
        <v>EngramEntry_Egg_Trike_Fertilized_Alpha_C</v>
      </c>
      <c r="J675" s="99" t="str">
        <f t="shared" si="133"/>
        <v>OverrideNamedEngramEntries=(EngramEntry_Egg_Trike_Fertilized_Alpha_C,EngramHidden=true)</v>
      </c>
      <c r="K675" s="2"/>
    </row>
    <row r="676">
      <c r="A676" s="6"/>
      <c r="B676" s="6"/>
      <c r="C676" s="4">
        <f t="shared" si="134"/>
        <v>20</v>
      </c>
      <c r="D676" s="4" t="str">
        <f t="shared" si="135"/>
        <v>PrimalItemConsumable_Egg</v>
      </c>
      <c r="E676" s="22" t="s">
        <v>3616</v>
      </c>
      <c r="F676" s="22" t="s">
        <v>3617</v>
      </c>
      <c r="G676" s="23" t="str">
        <f t="shared" si="131"/>
        <v>cheat gfi PrimalItemConsumable_Egg_Trike_Fertilized_Beta_C 1 100 0</v>
      </c>
      <c r="H676" s="22" t="s">
        <v>3618</v>
      </c>
      <c r="I676" s="71" t="str">
        <f t="shared" si="132"/>
        <v>EngramEntry_Egg_Trike_Fertilized_Beta_C</v>
      </c>
      <c r="J676" s="98" t="str">
        <f t="shared" si="133"/>
        <v>OverrideNamedEngramEntries=(EngramEntry_Egg_Trike_Fertilized_Beta_C,EngramHidden=true)</v>
      </c>
      <c r="K676" s="2"/>
    </row>
    <row r="677">
      <c r="A677" s="6"/>
      <c r="B677" s="6"/>
      <c r="C677" s="4">
        <f t="shared" si="134"/>
        <v>20</v>
      </c>
      <c r="D677" s="4" t="str">
        <f t="shared" si="135"/>
        <v>PrimalItemConsumable_Egg</v>
      </c>
      <c r="E677" s="20" t="s">
        <v>3619</v>
      </c>
      <c r="F677" s="20" t="s">
        <v>3620</v>
      </c>
      <c r="G677" s="21" t="str">
        <f t="shared" si="131"/>
        <v>cheat gfi PrimalItemConsumable_Egg_Trike_Fertilized_Fabled_C 1 100 0</v>
      </c>
      <c r="H677" s="20" t="s">
        <v>3621</v>
      </c>
      <c r="I677" s="70" t="str">
        <f t="shared" si="132"/>
        <v>EngramEntry_Egg_Trike_Fertilized_Fabled_C</v>
      </c>
      <c r="J677" s="99" t="str">
        <f t="shared" si="133"/>
        <v>OverrideNamedEngramEntries=(EngramEntry_Egg_Trike_Fertilized_Fabled_C,EngramHidden=true)</v>
      </c>
      <c r="K677" s="2"/>
    </row>
    <row r="678">
      <c r="A678" s="6"/>
      <c r="B678" s="6"/>
      <c r="C678" s="4">
        <f t="shared" si="134"/>
        <v>20</v>
      </c>
      <c r="D678" s="4" t="str">
        <f t="shared" si="135"/>
        <v>PrimalItemConsumable_Egg</v>
      </c>
      <c r="E678" s="22" t="s">
        <v>3622</v>
      </c>
      <c r="F678" s="22" t="s">
        <v>3623</v>
      </c>
      <c r="G678" s="23" t="str">
        <f t="shared" si="131"/>
        <v>cheat gfi PrimalItemConsumable_Egg_Trike_Fertilized_Legendary_C 1 100 0</v>
      </c>
      <c r="H678" s="22" t="s">
        <v>3624</v>
      </c>
      <c r="I678" s="71" t="str">
        <f t="shared" si="132"/>
        <v>EngramEntry_Egg_Trike_Fertilized_Legendary_C</v>
      </c>
      <c r="J678" s="98" t="str">
        <f t="shared" si="133"/>
        <v>OverrideNamedEngramEntries=(EngramEntry_Egg_Trike_Fertilized_Legendary_C,EngramHidden=true)</v>
      </c>
      <c r="K678" s="2"/>
    </row>
    <row r="679">
      <c r="A679" s="6"/>
      <c r="B679" s="6"/>
      <c r="C679" s="4">
        <f t="shared" si="134"/>
        <v>20</v>
      </c>
      <c r="D679" s="4" t="str">
        <f t="shared" si="135"/>
        <v>PrimalItemConsumable_Egg</v>
      </c>
      <c r="E679" s="20" t="s">
        <v>3625</v>
      </c>
      <c r="F679" s="20" t="s">
        <v>3626</v>
      </c>
      <c r="G679" s="21" t="str">
        <f t="shared" si="131"/>
        <v>cheat gfi PrimalItemConsumable_Egg_Trike_Fertilized_Mythic_C 1 100 0</v>
      </c>
      <c r="H679" s="20" t="s">
        <v>3627</v>
      </c>
      <c r="I679" s="70" t="str">
        <f t="shared" si="132"/>
        <v>EngramEntry_Egg_Trike_Fertilized_Mythic_C</v>
      </c>
      <c r="J679" s="99" t="str">
        <f t="shared" si="133"/>
        <v>OverrideNamedEngramEntries=(EngramEntry_Egg_Trike_Fertilized_Mythic_C,EngramHidden=true)</v>
      </c>
      <c r="K679" s="2"/>
    </row>
    <row r="680">
      <c r="A680" s="6"/>
      <c r="B680" s="6"/>
      <c r="C680" s="4">
        <f t="shared" si="134"/>
        <v>20</v>
      </c>
      <c r="D680" s="4" t="str">
        <f t="shared" si="135"/>
        <v>PrimalItemConsumable_Egg</v>
      </c>
      <c r="E680" s="22" t="s">
        <v>3628</v>
      </c>
      <c r="F680" s="22" t="s">
        <v>3629</v>
      </c>
      <c r="G680" s="23" t="str">
        <f t="shared" si="131"/>
        <v>cheat gfi PrimalItemConsumable_Egg_Troodon_Fertilized_Alpha_C 1 100 0</v>
      </c>
      <c r="H680" s="22" t="s">
        <v>3630</v>
      </c>
      <c r="I680" s="71" t="str">
        <f t="shared" si="132"/>
        <v>EngramEntry_Egg_Troodon_Fertilized_Alpha_C</v>
      </c>
      <c r="J680" s="98" t="str">
        <f t="shared" si="133"/>
        <v>OverrideNamedEngramEntries=(EngramEntry_Egg_Troodon_Fertilized_Alpha_C,EngramHidden=true)</v>
      </c>
      <c r="K680" s="2"/>
    </row>
    <row r="681">
      <c r="A681" s="6"/>
      <c r="B681" s="6"/>
      <c r="C681" s="4">
        <f t="shared" si="134"/>
        <v>20</v>
      </c>
      <c r="D681" s="4" t="str">
        <f t="shared" si="135"/>
        <v>PrimalItemConsumable_Egg</v>
      </c>
      <c r="E681" s="20" t="s">
        <v>3631</v>
      </c>
      <c r="F681" s="20" t="s">
        <v>3632</v>
      </c>
      <c r="G681" s="21" t="str">
        <f t="shared" si="131"/>
        <v>cheat gfi PrimalItemConsumable_Egg_Troodon_Fertilized_Beta_C 1 100 0</v>
      </c>
      <c r="H681" s="20" t="s">
        <v>3633</v>
      </c>
      <c r="I681" s="70" t="str">
        <f t="shared" si="132"/>
        <v>EngramEntry_Egg_Troodon_Fertilized_Beta_C</v>
      </c>
      <c r="J681" s="99" t="str">
        <f t="shared" si="133"/>
        <v>OverrideNamedEngramEntries=(EngramEntry_Egg_Troodon_Fertilized_Beta_C,EngramHidden=true)</v>
      </c>
      <c r="K681" s="2"/>
    </row>
    <row r="682">
      <c r="A682" s="6"/>
      <c r="B682" s="6"/>
      <c r="C682" s="4">
        <f t="shared" si="134"/>
        <v>20</v>
      </c>
      <c r="D682" s="4" t="str">
        <f t="shared" si="135"/>
        <v>PrimalItemConsumable_Egg</v>
      </c>
      <c r="E682" s="22" t="s">
        <v>3634</v>
      </c>
      <c r="F682" s="22" t="s">
        <v>3635</v>
      </c>
      <c r="G682" s="23" t="str">
        <f t="shared" si="131"/>
        <v>cheat gfi PrimalItemConsumable_Egg_Turkey_Fertilized_Shadow_C 1 100 0</v>
      </c>
      <c r="H682" s="22" t="s">
        <v>3636</v>
      </c>
      <c r="I682" s="71" t="str">
        <f t="shared" si="132"/>
        <v>EngramEntry_Egg_Turkey_Fertilized_Shadow_C</v>
      </c>
      <c r="J682" s="98" t="str">
        <f t="shared" si="133"/>
        <v>OverrideNamedEngramEntries=(EngramEntry_Egg_Turkey_Fertilized_Shadow_C,EngramHidden=true)</v>
      </c>
      <c r="K682" s="2"/>
    </row>
    <row r="683">
      <c r="A683" s="6"/>
      <c r="B683" s="6"/>
      <c r="C683" s="4">
        <f t="shared" si="134"/>
        <v>20</v>
      </c>
      <c r="D683" s="4" t="str">
        <f t="shared" si="135"/>
        <v>PrimalItemConsumable_Egg</v>
      </c>
      <c r="E683" s="20" t="s">
        <v>3637</v>
      </c>
      <c r="F683" s="20" t="s">
        <v>3638</v>
      </c>
      <c r="G683" s="21" t="str">
        <f t="shared" si="131"/>
        <v>cheat gfi PrimalItemConsumable_Egg_Turtle_Fertilized_Alpha_C 1 100 0</v>
      </c>
      <c r="H683" s="20" t="s">
        <v>3639</v>
      </c>
      <c r="I683" s="70" t="str">
        <f t="shared" si="132"/>
        <v>EngramEntry_Egg_Turtle_Fertilized_Alpha_C</v>
      </c>
      <c r="J683" s="99" t="str">
        <f t="shared" si="133"/>
        <v>OverrideNamedEngramEntries=(EngramEntry_Egg_Turtle_Fertilized_Alpha_C,EngramHidden=true)</v>
      </c>
      <c r="K683" s="2"/>
    </row>
    <row r="684">
      <c r="A684" s="6"/>
      <c r="B684" s="6"/>
      <c r="C684" s="4">
        <f t="shared" si="134"/>
        <v>20</v>
      </c>
      <c r="D684" s="4" t="str">
        <f t="shared" si="135"/>
        <v>PrimalItemConsumable_Egg</v>
      </c>
      <c r="E684" s="22" t="s">
        <v>3640</v>
      </c>
      <c r="F684" s="22" t="s">
        <v>3641</v>
      </c>
      <c r="G684" s="23" t="str">
        <f t="shared" si="131"/>
        <v>cheat gfi PrimalItemConsumable_Egg_Turtle_Fertilized_Beta_C 1 100 0</v>
      </c>
      <c r="H684" s="22" t="s">
        <v>3642</v>
      </c>
      <c r="I684" s="71" t="str">
        <f t="shared" si="132"/>
        <v>EngramEntry_Egg_Turtle_Fertilized_Beta_C</v>
      </c>
      <c r="J684" s="98" t="str">
        <f t="shared" si="133"/>
        <v>OverrideNamedEngramEntries=(EngramEntry_Egg_Turtle_Fertilized_Beta_C,EngramHidden=true)</v>
      </c>
      <c r="K684" s="2"/>
    </row>
    <row r="685">
      <c r="A685" s="6"/>
      <c r="B685" s="6"/>
      <c r="C685" s="4">
        <f t="shared" si="134"/>
        <v>20</v>
      </c>
      <c r="D685" s="4" t="str">
        <f t="shared" si="135"/>
        <v>PrimalItemConsumable_Egg</v>
      </c>
      <c r="E685" s="20" t="s">
        <v>3643</v>
      </c>
      <c r="F685" s="20" t="s">
        <v>3644</v>
      </c>
      <c r="G685" s="21" t="str">
        <f t="shared" si="131"/>
        <v>cheat gfi PrimalItemConsumable_Egg_Turtle_Fertilized_Hydro_C 1 100 0</v>
      </c>
      <c r="H685" s="20" t="s">
        <v>3645</v>
      </c>
      <c r="I685" s="70" t="str">
        <f t="shared" si="132"/>
        <v>EngramEntry_Egg_Turtle_Fertilized_Hydro_C</v>
      </c>
      <c r="J685" s="99" t="str">
        <f t="shared" si="133"/>
        <v>OverrideNamedEngramEntries=(EngramEntry_Egg_Turtle_Fertilized_Hydro_C,EngramHidden=true)</v>
      </c>
      <c r="K685" s="2"/>
    </row>
    <row r="686">
      <c r="A686" s="6"/>
      <c r="B686" s="6"/>
      <c r="C686" s="4">
        <f t="shared" si="134"/>
        <v>20</v>
      </c>
      <c r="D686" s="4" t="str">
        <f t="shared" si="135"/>
        <v>PrimalItemConsumable_Egg</v>
      </c>
      <c r="E686" s="22" t="s">
        <v>3646</v>
      </c>
      <c r="F686" s="22" t="s">
        <v>3647</v>
      </c>
      <c r="G686" s="23" t="str">
        <f t="shared" si="131"/>
        <v>cheat gfi PrimalItemConsumable_Egg_Wyvern_Fertilized_Fire_Fairy_C 1 100 0</v>
      </c>
      <c r="H686" s="22" t="s">
        <v>3648</v>
      </c>
      <c r="I686" s="71" t="str">
        <f t="shared" si="132"/>
        <v>EngramEntry_Egg_Wyvern_Fertilized_Fire_Fairy_C</v>
      </c>
      <c r="J686" s="98" t="str">
        <f t="shared" si="133"/>
        <v>OverrideNamedEngramEntries=(EngramEntry_Egg_Wyvern_Fertilized_Fire_Fairy_C,EngramHidden=true)</v>
      </c>
      <c r="K686" s="2"/>
    </row>
    <row r="687">
      <c r="A687" s="6"/>
      <c r="B687" s="6"/>
      <c r="C687" s="4">
        <f t="shared" si="134"/>
        <v>20</v>
      </c>
      <c r="D687" s="4" t="str">
        <f t="shared" si="135"/>
        <v>PrimalItemConsumable_Egg</v>
      </c>
      <c r="E687" s="20" t="s">
        <v>3649</v>
      </c>
      <c r="F687" s="20" t="s">
        <v>3650</v>
      </c>
      <c r="G687" s="21" t="str">
        <f t="shared" si="131"/>
        <v>cheat gfi PrimalItemConsumable_Egg_Wyvern_Fertilized_Fire_Legendary_C 1 100 0</v>
      </c>
      <c r="H687" s="20" t="s">
        <v>3651</v>
      </c>
      <c r="I687" s="70" t="str">
        <f t="shared" si="132"/>
        <v>EngramEntry_Egg_Wyvern_Fertilized_Fire_Legendary_C</v>
      </c>
      <c r="J687" s="99" t="str">
        <f t="shared" si="133"/>
        <v>OverrideNamedEngramEntries=(EngramEntry_Egg_Wyvern_Fertilized_Fire_Legendary_C,EngramHidden=true)</v>
      </c>
      <c r="K687" s="2"/>
    </row>
    <row r="688">
      <c r="A688" s="6"/>
      <c r="B688" s="6"/>
      <c r="C688" s="4">
        <f t="shared" si="134"/>
        <v>20</v>
      </c>
      <c r="D688" s="4" t="str">
        <f t="shared" si="135"/>
        <v>PrimalItemConsumable_Egg</v>
      </c>
      <c r="E688" s="22" t="s">
        <v>3652</v>
      </c>
      <c r="F688" s="22" t="s">
        <v>3653</v>
      </c>
      <c r="G688" s="23" t="str">
        <f t="shared" si="131"/>
        <v>cheat gfi PrimalItemConsumable_Egg_Yuty_Fertilized_Alpha_C 1 100 0</v>
      </c>
      <c r="H688" s="22" t="s">
        <v>3654</v>
      </c>
      <c r="I688" s="71" t="str">
        <f t="shared" si="132"/>
        <v>EngramEntry_Egg_Yuty_Fertilized_Alpha_C</v>
      </c>
      <c r="J688" s="98" t="str">
        <f t="shared" si="133"/>
        <v>OverrideNamedEngramEntries=(EngramEntry_Egg_Yuty_Fertilized_Alpha_C,EngramHidden=true)</v>
      </c>
      <c r="K688" s="2"/>
    </row>
    <row r="689">
      <c r="A689" s="13"/>
      <c r="B689" s="13"/>
      <c r="C689" s="4">
        <f t="shared" si="134"/>
        <v>20</v>
      </c>
      <c r="D689" s="4" t="str">
        <f t="shared" si="135"/>
        <v>PrimalItemConsumable_Egg</v>
      </c>
      <c r="E689" s="20" t="s">
        <v>3655</v>
      </c>
      <c r="F689" s="20" t="s">
        <v>3656</v>
      </c>
      <c r="G689" s="21" t="str">
        <f t="shared" si="131"/>
        <v>cheat gfi PrimalItemConsumable_Egg_Yuty_Fertilized_Beta_C 1 100 0</v>
      </c>
      <c r="H689" s="20" t="s">
        <v>3657</v>
      </c>
      <c r="I689" s="70" t="str">
        <f t="shared" si="132"/>
        <v>EngramEntry_Egg_Yuty_Fertilized_Beta_C</v>
      </c>
      <c r="J689" s="99" t="str">
        <f t="shared" si="133"/>
        <v>OverrideNamedEngramEntries=(EngramEntry_Egg_Yuty_Fertilized_Beta_C,EngramHidden=true)</v>
      </c>
      <c r="K689" s="2"/>
    </row>
    <row r="690" ht="35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</sheetData>
  <autoFilter ref="$C$2:$J$689">
    <sortState ref="C2:J689">
      <sortCondition ref="C2:C689"/>
      <sortCondition ref="E2:E689"/>
    </sortState>
  </autoFilter>
  <mergeCells count="15">
    <mergeCell ref="B71:B91"/>
    <mergeCell ref="B93:B131"/>
    <mergeCell ref="B133:B143"/>
    <mergeCell ref="B145:B177"/>
    <mergeCell ref="B179:B218"/>
    <mergeCell ref="B220:B504"/>
    <mergeCell ref="B506:B518"/>
    <mergeCell ref="B520:B689"/>
    <mergeCell ref="A1:J1"/>
    <mergeCell ref="A2:A689"/>
    <mergeCell ref="B2:B20"/>
    <mergeCell ref="B22:B27"/>
    <mergeCell ref="B29:B41"/>
    <mergeCell ref="B43:B55"/>
    <mergeCell ref="B57:B69"/>
  </mergeCells>
  <printOptions/>
  <pageMargins bottom="0.75" footer="0.0" header="0.0" left="0.7" right="0.7" top="0.75"/>
  <pageSetup orientation="landscape"/>
  <drawing r:id="rId1"/>
</worksheet>
</file>